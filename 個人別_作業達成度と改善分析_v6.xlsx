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ダッシュボード" sheetId="1" r:id="rId1"/>
    <sheet name="入力" sheetId="2" r:id="rId2"/>
    <sheet name="集計用" sheetId="3" state="hidden" r:id="rId3"/>
    <sheet name="使い方" sheetId="4" r:id="rId4"/>
  </sheets>
  <definedNames>
    <definedName name="dispNames" localSheetId="2">OFFSET(集計用!$A$2,0,0,MAX(COUNT(集計用!$Z$2:$Z$51),1),1)</definedName>
    <definedName name="pickVals" localSheetId="2">OFFSET(集計用!$B$2,0,0,MAX(COUNT(集計用!$Z$2:$Z$51),1),1)</definedName>
    <definedName name="packVals" localSheetId="2">OFFSET(集計用!$C$2,0,0,MAX(COUNT(集計用!$Z$2:$Z$51),1),1)</definedName>
    <definedName name="pickTgt" localSheetId="2">OFFSET(集計用!$AC$2,0,0,MAX(COUNT(集計用!$Z$2:$Z$51),1),1)</definedName>
    <definedName name="packTgt" localSheetId="2">OFFSET(集計用!$AD$2,0,0,MAX(COUNT(集計用!$Z$2:$Z$51),1),1)</definedName>
    <definedName name="rateNames" localSheetId="2">OFFSET(集計用!$Q$2,0,0,MAX(COUNT(集計用!$AB$2:$AB$51),1),1)</definedName>
    <definedName name="rateVals" localSheetId="2">OFFSET(集計用!$R$2,0,0,MAX(COUNT(集計用!$AB$2:$AB$51),1),1)</definedName>
  </definedNames>
  <calcPr calcId="124519" fullCalcOnLoad="1"/>
</workbook>
</file>

<file path=xl/sharedStrings.xml><?xml version="1.0" encoding="utf-8"?>
<sst xmlns="http://schemas.openxmlformats.org/spreadsheetml/2006/main" count="110" uniqueCount="95">
  <si>
    <t>個人別 作業実績入力シート</t>
  </si>
  <si>
    <t>目標値（分/個）</t>
  </si>
  <si>
    <t>単位</t>
  </si>
  <si>
    <t>ピッキング目標</t>
  </si>
  <si>
    <t>梱包目標</t>
  </si>
  <si>
    <t>合計目標</t>
  </si>
  <si>
    <t>分/個</t>
  </si>
  <si>
    <t>黄色セルだけ入力してください。
B列=担当者名、C列=ピッキング実績、D列=梱包実績を入力すると、
ダッシュボードには入力した全員（最大50人）が反映されます。</t>
  </si>
  <si>
    <t>ダッシュボードへ戻る</t>
  </si>
  <si>
    <t>No</t>
  </si>
  <si>
    <t>担当者</t>
  </si>
  <si>
    <t>ピッキング実績
（分/個）</t>
  </si>
  <si>
    <t>梱包実績
（分/個）</t>
  </si>
  <si>
    <t>合計実績
（分/個）</t>
  </si>
  <si>
    <t>達成率</t>
  </si>
  <si>
    <t>ピック差
（分）</t>
  </si>
  <si>
    <t>梱包差
（分）</t>
  </si>
  <si>
    <t>目標との差
（分）</t>
  </si>
  <si>
    <t>改善分類</t>
  </si>
  <si>
    <t>コメント</t>
  </si>
  <si>
    <t>優先キー</t>
  </si>
  <si>
    <t>達成率キー</t>
  </si>
  <si>
    <t>Aさん</t>
  </si>
  <si>
    <t>Bさん</t>
  </si>
  <si>
    <t>Cさん</t>
  </si>
  <si>
    <t>Dさん</t>
  </si>
  <si>
    <t>Eさん</t>
  </si>
  <si>
    <t>Fさん</t>
  </si>
  <si>
    <t>Gさん</t>
  </si>
  <si>
    <t>Hさん</t>
  </si>
  <si>
    <t>表示順_担当者</t>
  </si>
  <si>
    <t>ピック</t>
  </si>
  <si>
    <t>梱包</t>
  </si>
  <si>
    <t>合計</t>
  </si>
  <si>
    <t>分類</t>
  </si>
  <si>
    <t>優先順_担当者</t>
  </si>
  <si>
    <t>合計差</t>
  </si>
  <si>
    <t>達成率順_担当者</t>
  </si>
  <si>
    <t>表示用索引</t>
  </si>
  <si>
    <t>優先順位索引</t>
  </si>
  <si>
    <t>達成率順位索引</t>
  </si>
  <si>
    <t>目標ピック</t>
  </si>
  <si>
    <t>目標梱包</t>
  </si>
  <si>
    <t>x基準</t>
  </si>
  <si>
    <t>y最小</t>
  </si>
  <si>
    <t>x最小</t>
  </si>
  <si>
    <t>y基準</t>
  </si>
  <si>
    <t>個人別 作業達成度と改善分析（Excelテンプレート）</t>
  </si>
  <si>
    <t>目標：ピッキング1.6分 / 梱包1.6分 / 合計3.2分/個</t>
  </si>
  <si>
    <t>達成率 ＝ 3.2 ÷ 実績合計 × 100
（実績合計＝ピッキング＋梱包）</t>
  </si>
  <si>
    <t>入力シートへ移動</t>
  </si>
  <si>
    <t>※このシートが最初に表示されます。入力は「入力」シートの黄色セルへ。</t>
  </si>
  <si>
    <t>平均達成率</t>
  </si>
  <si>
    <t>目標達成人数</t>
  </si>
  <si>
    <t>要改善人数</t>
  </si>
  <si>
    <t>平均ピック</t>
  </si>
  <si>
    <t>平均梱包</t>
  </si>
  <si>
    <t>平均合計</t>
  </si>
  <si>
    <t>① 個人別 総合達成率</t>
  </si>
  <si>
    <t>入力した全員（最大50人）を表示。達成率が高いほど良い。</t>
  </si>
  <si>
    <t>② ピッキング・梱包 内訳比較（縦棒）</t>
  </si>
  <si>
    <t>入力した全員を縦棒グラフで表示。50人でも崩れにくいよう、名前は縦向き表示。</t>
  </si>
  <si>
    <t>③ 改善優先度マトリクス</t>
  </si>
  <si>
    <t>入力した全員の名前を直接表示。ラベル位置を分散して重なりを軽減。</t>
  </si>
  <si>
    <t>④ 改善優先順位</t>
  </si>
  <si>
    <t>入力した全員を優先度順に一覧表示。</t>
  </si>
  <si>
    <t>順位</t>
  </si>
  <si>
    <t>読み取り方</t>
  </si>
  <si>
    <t>① まず「総合達成率」で全員の達成度を確認</t>
  </si>
  <si>
    <t>② 縦棒グラフでピック・梱包のどちらが遅いかを確認</t>
  </si>
  <si>
    <t>③ マトリクスで全員の位置関係と改善方向を確認</t>
  </si>
  <si>
    <t>④ 最後に改善優先順位で、どの担当者から改善するかを決める</t>
  </si>
  <si>
    <t>※目標値：ピッキング1.6分/個、梱包1.6分/個、合計3.2分/個 ／ 達成率＝3.2 ÷ 実績合計 × 100</t>
  </si>
  <si>
    <t>個人別 作業達成度と改善分析テンプレート｜使い方</t>
  </si>
  <si>
    <t>手順</t>
  </si>
  <si>
    <t>やること</t>
  </si>
  <si>
    <t>説明</t>
  </si>
  <si>
    <t>1</t>
  </si>
  <si>
    <t>まず入力</t>
  </si>
  <si>
    <t>「入力」シートの黄色セルに、担当者名・ピッキング実績・梱包実績を入力します。最大50人です。</t>
  </si>
  <si>
    <t>2</t>
  </si>
  <si>
    <t>ダッシュボードが最初に開く</t>
  </si>
  <si>
    <t>この版では「ダッシュボード」シートを先頭・アクティブにしてあります。</t>
  </si>
  <si>
    <t>3</t>
  </si>
  <si>
    <t>②は縦棒グラフ</t>
  </si>
  <si>
    <t>②はピッキング・梱包を担当者ごとに並べた縦棒グラフです。目標線（点線）より高い工程が改善対象です。</t>
  </si>
  <si>
    <t>4</t>
  </si>
  <si>
    <t>③マトリクス</t>
  </si>
  <si>
    <t>入力した全員の名前を直接表示します。50人全員だと密集するため、文字サイズは小さめです。</t>
  </si>
  <si>
    <t>5</t>
  </si>
  <si>
    <t>間隔</t>
  </si>
  <si>
    <t>①②③④の間隔を大きく空け、下にスクロールしながら確認する設計です。</t>
  </si>
  <si>
    <t>6</t>
  </si>
  <si>
    <t>表示倍率</t>
  </si>
  <si>
    <t>70%前後推奨です。Excelで保存し直すと表示が安定します。</t>
  </si>
</sst>
</file>

<file path=xl/styles.xml><?xml version="1.0" encoding="utf-8"?>
<styleSheet xmlns="http://schemas.openxmlformats.org/spreadsheetml/2006/main">
  <numFmts count="3">
    <numFmt numFmtId="164" formatCode="0%"/>
    <numFmt numFmtId="165" formatCode="0.00"/>
    <numFmt numFmtId="166" formatCode="+0.00;-0.00;0.00"/>
  </numFmts>
  <fonts count="11">
    <font>
      <sz val="11"/>
      <color theme="1"/>
      <name val="Calibri"/>
      <family val="2"/>
      <scheme val="minor"/>
    </font>
    <font>
      <b/>
      <sz val="22"/>
      <color theme="1"/>
      <name val="Meiryo UI"/>
      <family val="2"/>
    </font>
    <font>
      <sz val="12"/>
      <color theme="1"/>
      <name val="Meiryo UI"/>
      <family val="2"/>
    </font>
    <font>
      <u/>
      <sz val="11"/>
      <color rgb="FF0563C1"/>
      <name val="Meiryo UI"/>
      <family val="2"/>
    </font>
    <font>
      <sz val="11"/>
      <color theme="1"/>
      <name val="Meiryo UI"/>
      <family val="2"/>
    </font>
    <font>
      <sz val="10"/>
      <color theme="1"/>
      <name val="Meiryo UI"/>
      <family val="2"/>
    </font>
    <font>
      <b/>
      <sz val="11"/>
      <color theme="1"/>
      <name val="Meiryo UI"/>
      <family val="2"/>
    </font>
    <font>
      <b/>
      <sz val="15"/>
      <color rgb="FFFFFFFF"/>
      <name val="Meiryo UI"/>
      <family val="2"/>
    </font>
    <font>
      <b/>
      <sz val="11"/>
      <color rgb="FFFFFFFF"/>
      <name val="Meiryo UI"/>
      <family val="2"/>
    </font>
    <font>
      <b/>
      <sz val="11"/>
      <color rgb="FFC00000"/>
      <name val="Meiryo UI"/>
      <family val="2"/>
    </font>
    <font>
      <sz val="9"/>
      <color theme="1"/>
      <name val="Meiryo UI"/>
      <family val="2"/>
    </font>
  </fonts>
  <fills count="9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0" fillId="0" borderId="0" xfId="0" applyFont="1"/>
    <xf numFmtId="0" fontId="4" fillId="8" borderId="1" xfId="0" applyFont="1" applyFill="1" applyBorder="1" applyAlignment="1">
      <alignment vertical="center" wrapText="1"/>
    </xf>
    <xf numFmtId="165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8">
    <dxf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DEBF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4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1F4E78"/>
      </font>
      <numFmt numFmtId="166" formatCode="+0.00;-0.00;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rgb="FFF4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Meiryo UI"/>
              </a:defRPr>
            </a:pPr>
            <a:r>
              <a:rPr lang="en-US" sz="1200" b="1" baseline="0">
                <a:latin typeface="Meiryo UI"/>
              </a:rPr>
              <a:t>① 個人別 総合達成率（全員）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達成率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dLbls>
            <c:numFmt formatCode="0%" sourceLinked="0"/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showVal val="1"/>
          </c:dLbls>
          <c:cat>
            <c:strRef>
              <c:f>集計用!rateNames</c:f>
              <c:strCache>
                <c:ptCount val="8"/>
                <c:pt idx="0">
                  <c:v>Aさん</c:v>
                </c:pt>
                <c:pt idx="1">
                  <c:v>Bさん</c:v>
                </c:pt>
                <c:pt idx="2">
                  <c:v>Cさん</c:v>
                </c:pt>
                <c:pt idx="3">
                  <c:v>Dさん</c:v>
                </c:pt>
                <c:pt idx="4">
                  <c:v>Eさん</c:v>
                </c:pt>
                <c:pt idx="5">
                  <c:v>Fさん</c:v>
                </c:pt>
                <c:pt idx="6">
                  <c:v>Gさん</c:v>
                </c:pt>
                <c:pt idx="7">
                  <c:v>Hさん</c:v>
                </c:pt>
              </c:strCache>
            </c:strRef>
          </c:cat>
          <c:val>
            <c:numRef>
              <c:f>集計用!rateVals</c:f>
              <c:numCache>
                <c:formatCode>General</c:formatCode>
                <c:ptCount val="8"/>
                <c:pt idx="0">
                  <c:v>1.1552346570397112</c:v>
                </c:pt>
                <c:pt idx="1">
                  <c:v>1.0738255033557047</c:v>
                </c:pt>
                <c:pt idx="2">
                  <c:v>1.0158730158730158</c:v>
                </c:pt>
                <c:pt idx="3">
                  <c:v>1.0094637223974765</c:v>
                </c:pt>
                <c:pt idx="4">
                  <c:v>0.9552238805970151</c:v>
                </c:pt>
                <c:pt idx="5">
                  <c:v>0.9552238805970149</c:v>
                </c:pt>
                <c:pt idx="6">
                  <c:v>0.9411764705882353</c:v>
                </c:pt>
                <c:pt idx="7">
                  <c:v>0.8533333333333334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.4"/>
          <c:min val="0.6"/>
        </c:scaling>
        <c:axPos val="t"/>
        <c:majorGridlines/>
        <c:numFmt formatCode="0%" sourceLinked="0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en-US"/>
          </a:p>
        </c:txPr>
        <c:crossAx val="50010001"/>
        <c:crosses val="autoZero"/>
        <c:crossBetween val="between"/>
        <c:majorUnit val="0.2"/>
      </c:valAx>
      <c:spPr>
        <a:ln>
          <a:noFill/>
        </a:ln>
      </c:spPr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Meiryo UI"/>
              </a:defRPr>
            </a:pPr>
            <a:r>
              <a:rPr lang="en-US" sz="1200" b="1" baseline="0">
                <a:latin typeface="Meiryo UI"/>
              </a:rPr>
              <a:t>② ピッキング・梱包 内訳比較（縦棒・全員）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ピッキング（分/個）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cat>
            <c:strRef>
              <c:f>集計用!dispNames</c:f>
              <c:strCache>
                <c:ptCount val="8"/>
                <c:pt idx="0">
                  <c:v>Aさん</c:v>
                </c:pt>
                <c:pt idx="1">
                  <c:v>Bさん</c:v>
                </c:pt>
                <c:pt idx="2">
                  <c:v>Cさん</c:v>
                </c:pt>
                <c:pt idx="3">
                  <c:v>Dさん</c:v>
                </c:pt>
                <c:pt idx="4">
                  <c:v>Eさん</c:v>
                </c:pt>
                <c:pt idx="5">
                  <c:v>Fさん</c:v>
                </c:pt>
                <c:pt idx="6">
                  <c:v>Gさん</c:v>
                </c:pt>
                <c:pt idx="7">
                  <c:v>Hさん</c:v>
                </c:pt>
              </c:strCache>
            </c:strRef>
          </c:cat>
          <c:val>
            <c:numRef>
              <c:f>集計用!pickVals</c:f>
              <c:numCache>
                <c:formatCode>General</c:formatCode>
                <c:ptCount val="8"/>
                <c:pt idx="0">
                  <c:v>1.35</c:v>
                </c:pt>
                <c:pt idx="1">
                  <c:v>1.48</c:v>
                </c:pt>
                <c:pt idx="2">
                  <c:v>1.55</c:v>
                </c:pt>
                <c:pt idx="3">
                  <c:v>1.62</c:v>
                </c:pt>
                <c:pt idx="4">
                  <c:v>1.7</c:v>
                </c:pt>
                <c:pt idx="5">
                  <c:v>1.8</c:v>
                </c:pt>
                <c:pt idx="6">
                  <c:v>1.58</c:v>
                </c:pt>
                <c:pt idx="7">
                  <c:v>1.9</c:v>
                </c:pt>
              </c:numCache>
            </c:numRef>
          </c:val>
        </c:ser>
        <c:ser>
          <c:idx val="1"/>
          <c:order val="1"/>
          <c:tx>
            <c:v>梱包（分/個）</c:v>
          </c:tx>
          <c:spPr>
            <a:solidFill>
              <a:srgbClr val="ED7D31"/>
            </a:solidFill>
            <a:ln>
              <a:solidFill>
                <a:srgbClr val="ED7D31"/>
              </a:solidFill>
            </a:ln>
          </c:spPr>
          <c:cat>
            <c:strRef>
              <c:f>集計用!dispNames</c:f>
              <c:strCache>
                <c:ptCount val="8"/>
                <c:pt idx="0">
                  <c:v>Aさん</c:v>
                </c:pt>
                <c:pt idx="1">
                  <c:v>Bさん</c:v>
                </c:pt>
                <c:pt idx="2">
                  <c:v>Cさん</c:v>
                </c:pt>
                <c:pt idx="3">
                  <c:v>Dさん</c:v>
                </c:pt>
                <c:pt idx="4">
                  <c:v>Eさん</c:v>
                </c:pt>
                <c:pt idx="5">
                  <c:v>Fさん</c:v>
                </c:pt>
                <c:pt idx="6">
                  <c:v>Gさん</c:v>
                </c:pt>
                <c:pt idx="7">
                  <c:v>Hさん</c:v>
                </c:pt>
              </c:strCache>
            </c:strRef>
          </c:cat>
          <c:val>
            <c:numRef>
              <c:f>集計用!packVals</c:f>
              <c:numCache>
                <c:formatCode>General</c:formatCode>
                <c:ptCount val="8"/>
                <c:pt idx="0">
                  <c:v>1.42</c:v>
                </c:pt>
                <c:pt idx="1">
                  <c:v>1.5</c:v>
                </c:pt>
                <c:pt idx="2">
                  <c:v>1.6</c:v>
                </c:pt>
                <c:pt idx="3">
                  <c:v>1.55</c:v>
                </c:pt>
                <c:pt idx="4">
                  <c:v>1.65</c:v>
                </c:pt>
                <c:pt idx="5">
                  <c:v>1.55</c:v>
                </c:pt>
                <c:pt idx="6">
                  <c:v>1.82</c:v>
                </c:pt>
                <c:pt idx="7">
                  <c:v>1.85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2"/>
          <c:order val="2"/>
          <c:tx>
            <c:strRef>
              <c:f>集計用!$A$53</c:f>
              <c:strCache>
                <c:ptCount val="1"/>
                <c:pt idx="0">
                  <c:v>ピッキング目標 1.6分</c:v>
                </c:pt>
              </c:strCache>
            </c:strRef>
          </c:tx>
          <c:spPr>
            <a:ln>
              <a:solidFill>
                <a:srgbClr val="4472C4"/>
              </a:solidFill>
              <a:prstDash val="dash"/>
            </a:ln>
          </c:spPr>
          <c:marker>
            <c:symbol val="none"/>
          </c:marker>
          <c:cat>
            <c:strRef>
              <c:f>集計用!dispNames</c:f>
              <c:strCache>
                <c:ptCount val="8"/>
                <c:pt idx="0">
                  <c:v>Aさん</c:v>
                </c:pt>
                <c:pt idx="1">
                  <c:v>Bさん</c:v>
                </c:pt>
                <c:pt idx="2">
                  <c:v>Cさん</c:v>
                </c:pt>
                <c:pt idx="3">
                  <c:v>Dさん</c:v>
                </c:pt>
                <c:pt idx="4">
                  <c:v>Eさん</c:v>
                </c:pt>
                <c:pt idx="5">
                  <c:v>Fさん</c:v>
                </c:pt>
                <c:pt idx="6">
                  <c:v>Gさん</c:v>
                </c:pt>
                <c:pt idx="7">
                  <c:v>Hさん</c:v>
                </c:pt>
              </c:strCache>
            </c:strRef>
          </c:cat>
          <c:val>
            <c:numRef>
              <c:f>集計用!pickTgt</c:f>
              <c:numCache>
                <c:formatCode>General</c:formatCode>
                <c:ptCount val="8"/>
                <c:pt idx="0">
                  <c:v>1.6</c:v>
                </c:pt>
                <c:pt idx="1">
                  <c:v>1.6</c:v>
                </c:pt>
                <c:pt idx="2">
                  <c:v>1.6</c:v>
                </c:pt>
                <c:pt idx="3">
                  <c:v>1.6</c:v>
                </c:pt>
                <c:pt idx="4">
                  <c:v>1.6</c:v>
                </c:pt>
                <c:pt idx="5">
                  <c:v>1.6</c:v>
                </c:pt>
                <c:pt idx="6">
                  <c:v>1.6</c:v>
                </c:pt>
                <c:pt idx="7">
                  <c:v>1.6</c:v>
                </c:pt>
              </c:numCache>
            </c:numRef>
          </c:val>
        </c:ser>
        <c:ser>
          <c:idx val="3"/>
          <c:order val="3"/>
          <c:tx>
            <c:strRef>
              <c:f>集計用!$A$54</c:f>
              <c:strCache>
                <c:ptCount val="1"/>
                <c:pt idx="0">
                  <c:v>梱包目標 1.6分</c:v>
                </c:pt>
              </c:strCache>
            </c:strRef>
          </c:tx>
          <c:spPr>
            <a:ln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strRef>
              <c:f>集計用!dispNames</c:f>
              <c:strCache>
                <c:ptCount val="8"/>
                <c:pt idx="0">
                  <c:v>Aさん</c:v>
                </c:pt>
                <c:pt idx="1">
                  <c:v>Bさん</c:v>
                </c:pt>
                <c:pt idx="2">
                  <c:v>Cさん</c:v>
                </c:pt>
                <c:pt idx="3">
                  <c:v>Dさん</c:v>
                </c:pt>
                <c:pt idx="4">
                  <c:v>Eさん</c:v>
                </c:pt>
                <c:pt idx="5">
                  <c:v>Fさん</c:v>
                </c:pt>
                <c:pt idx="6">
                  <c:v>Gさん</c:v>
                </c:pt>
                <c:pt idx="7">
                  <c:v>Hさん</c:v>
                </c:pt>
              </c:strCache>
            </c:strRef>
          </c:cat>
          <c:val>
            <c:numRef>
              <c:f>集計用!packTgt</c:f>
              <c:numCache>
                <c:formatCode>General</c:formatCode>
                <c:ptCount val="8"/>
                <c:pt idx="0">
                  <c:v>1.6</c:v>
                </c:pt>
                <c:pt idx="1">
                  <c:v>1.6</c:v>
                </c:pt>
                <c:pt idx="2">
                  <c:v>1.6</c:v>
                </c:pt>
                <c:pt idx="3">
                  <c:v>1.6</c:v>
                </c:pt>
                <c:pt idx="4">
                  <c:v>1.6</c:v>
                </c:pt>
                <c:pt idx="5">
                  <c:v>1.6</c:v>
                </c:pt>
                <c:pt idx="6">
                  <c:v>1.6</c:v>
                </c:pt>
                <c:pt idx="7">
                  <c:v>1.6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low"/>
        <c:txPr>
          <a:bodyPr rot="-5400000" vert="horz"/>
          <a:lstStyle/>
          <a:p>
            <a:pPr>
              <a:defRPr sz="700" baseline="0">
                <a:latin typeface="Meiryo U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2.5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（分/個）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en-US"/>
          </a:p>
        </c:txPr>
        <c:crossAx val="50020001"/>
        <c:crosses val="autoZero"/>
        <c:crossBetween val="between"/>
        <c:majorUnit val="0.5"/>
      </c:valAx>
      <c:spPr>
        <a:ln>
          <a:noFill/>
        </a:ln>
      </c:spPr>
    </c:plotArea>
    <c:legend>
      <c:legendPos val="r"/>
      <c:layout/>
      <c:txPr>
        <a:bodyPr/>
        <a:lstStyle/>
        <a:p>
          <a:pPr>
            <a:defRPr sz="900" baseline="0">
              <a:latin typeface="Meiryo UI"/>
            </a:defRPr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Meiryo UI"/>
              </a:defRPr>
            </a:pPr>
            <a:r>
              <a:rPr lang="en-US" sz="1200" b="1" baseline="0">
                <a:latin typeface="Meiryo UI"/>
              </a:rPr>
              <a:t>③ 改善優先度マトリクス（全員の名前を直接表示）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集計用!$A$2</c:f>
              <c:strCache>
                <c:ptCount val="1"/>
                <c:pt idx="0">
                  <c:v>Aさん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showSerName val="1"/>
          </c:dLbls>
          <c:xVal>
            <c:numRef>
              <c:f>集計用!$B$2:$B$2</c:f>
              <c:numCache>
                <c:formatCode>General</c:formatCode>
                <c:ptCount val="1"/>
                <c:pt idx="0">
                  <c:v>1.35</c:v>
                </c:pt>
              </c:numCache>
            </c:numRef>
          </c:xVal>
          <c:yVal>
            <c:numRef>
              <c:f>集計用!$C$2:$C$2</c:f>
              <c:numCache>
                <c:formatCode>General</c:formatCode>
                <c:ptCount val="1"/>
                <c:pt idx="0">
                  <c:v>1.42</c:v>
                </c:pt>
              </c:numCache>
            </c:numRef>
          </c:yVal>
        </c:ser>
        <c:ser>
          <c:idx val="1"/>
          <c:order val="1"/>
          <c:tx>
            <c:strRef>
              <c:f>集計用!$A$3</c:f>
              <c:strCache>
                <c:ptCount val="1"/>
                <c:pt idx="0">
                  <c:v>Bさん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l"/>
            <c:showSerName val="1"/>
          </c:dLbls>
          <c:xVal>
            <c:numRef>
              <c:f>集計用!$B$3:$B$3</c:f>
              <c:numCache>
                <c:formatCode>General</c:formatCode>
                <c:ptCount val="1"/>
                <c:pt idx="0">
                  <c:v>1.48</c:v>
                </c:pt>
              </c:numCache>
            </c:numRef>
          </c:xVal>
          <c:yVal>
            <c:numRef>
              <c:f>集計用!$C$3:$C$3</c:f>
              <c:numCache>
                <c:formatCode>General</c:formatCode>
                <c:ptCount val="1"/>
                <c:pt idx="0">
                  <c:v>1.5</c:v>
                </c:pt>
              </c:numCache>
            </c:numRef>
          </c:yVal>
        </c:ser>
        <c:ser>
          <c:idx val="2"/>
          <c:order val="2"/>
          <c:tx>
            <c:strRef>
              <c:f>集計用!$A$4</c:f>
              <c:strCache>
                <c:ptCount val="1"/>
                <c:pt idx="0">
                  <c:v>Cさん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t"/>
            <c:showSerName val="1"/>
          </c:dLbls>
          <c:xVal>
            <c:numRef>
              <c:f>集計用!$B$4:$B$4</c:f>
              <c:numCache>
                <c:formatCode>General</c:formatCode>
                <c:ptCount val="1"/>
                <c:pt idx="0">
                  <c:v>1.55</c:v>
                </c:pt>
              </c:numCache>
            </c:numRef>
          </c:xVal>
          <c:yVal>
            <c:numRef>
              <c:f>集計用!$C$4:$C$4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</c:ser>
        <c:ser>
          <c:idx val="3"/>
          <c:order val="3"/>
          <c:tx>
            <c:strRef>
              <c:f>集計用!$A$5</c:f>
              <c:strCache>
                <c:ptCount val="1"/>
                <c:pt idx="0">
                  <c:v>Dさん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b"/>
            <c:showSerName val="1"/>
          </c:dLbls>
          <c:xVal>
            <c:numRef>
              <c:f>集計用!$B$5:$B$5</c:f>
              <c:numCache>
                <c:formatCode>General</c:formatCode>
                <c:ptCount val="1"/>
                <c:pt idx="0">
                  <c:v>1.62</c:v>
                </c:pt>
              </c:numCache>
            </c:numRef>
          </c:xVal>
          <c:yVal>
            <c:numRef>
              <c:f>集計用!$C$5:$C$5</c:f>
              <c:numCache>
                <c:formatCode>General</c:formatCode>
                <c:ptCount val="1"/>
                <c:pt idx="0">
                  <c:v>1.55</c:v>
                </c:pt>
              </c:numCache>
            </c:numRef>
          </c:yVal>
        </c:ser>
        <c:ser>
          <c:idx val="4"/>
          <c:order val="4"/>
          <c:tx>
            <c:strRef>
              <c:f>集計用!$A$6</c:f>
              <c:strCache>
                <c:ptCount val="1"/>
                <c:pt idx="0">
                  <c:v>Eさん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showSerName val="1"/>
          </c:dLbls>
          <c:xVal>
            <c:numRef>
              <c:f>集計用!$B$6:$B$6</c:f>
              <c:numCache>
                <c:formatCode>General</c:formatCode>
                <c:ptCount val="1"/>
                <c:pt idx="0">
                  <c:v>1.7</c:v>
                </c:pt>
              </c:numCache>
            </c:numRef>
          </c:xVal>
          <c:yVal>
            <c:numRef>
              <c:f>集計用!$C$6:$C$6</c:f>
              <c:numCache>
                <c:formatCode>General</c:formatCode>
                <c:ptCount val="1"/>
                <c:pt idx="0">
                  <c:v>1.65</c:v>
                </c:pt>
              </c:numCache>
            </c:numRef>
          </c:yVal>
        </c:ser>
        <c:ser>
          <c:idx val="5"/>
          <c:order val="5"/>
          <c:tx>
            <c:strRef>
              <c:f>集計用!$A$7</c:f>
              <c:strCache>
                <c:ptCount val="1"/>
                <c:pt idx="0">
                  <c:v>Fさん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l"/>
            <c:showSerName val="1"/>
          </c:dLbls>
          <c:xVal>
            <c:numRef>
              <c:f>集計用!$B$7:$B$7</c:f>
              <c:numCache>
                <c:formatCode>General</c:formatCode>
                <c:ptCount val="1"/>
                <c:pt idx="0">
                  <c:v>1.8</c:v>
                </c:pt>
              </c:numCache>
            </c:numRef>
          </c:xVal>
          <c:yVal>
            <c:numRef>
              <c:f>集計用!$C$7:$C$7</c:f>
              <c:numCache>
                <c:formatCode>General</c:formatCode>
                <c:ptCount val="1"/>
                <c:pt idx="0">
                  <c:v>1.55</c:v>
                </c:pt>
              </c:numCache>
            </c:numRef>
          </c:yVal>
        </c:ser>
        <c:ser>
          <c:idx val="6"/>
          <c:order val="6"/>
          <c:tx>
            <c:strRef>
              <c:f>集計用!$A$8</c:f>
              <c:strCache>
                <c:ptCount val="1"/>
                <c:pt idx="0">
                  <c:v>Gさん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t"/>
            <c:showSerName val="1"/>
          </c:dLbls>
          <c:xVal>
            <c:numRef>
              <c:f>集計用!$B$8:$B$8</c:f>
              <c:numCache>
                <c:formatCode>General</c:formatCode>
                <c:ptCount val="1"/>
                <c:pt idx="0">
                  <c:v>1.58</c:v>
                </c:pt>
              </c:numCache>
            </c:numRef>
          </c:xVal>
          <c:yVal>
            <c:numRef>
              <c:f>集計用!$C$8:$C$8</c:f>
              <c:numCache>
                <c:formatCode>General</c:formatCode>
                <c:ptCount val="1"/>
                <c:pt idx="0">
                  <c:v>1.82</c:v>
                </c:pt>
              </c:numCache>
            </c:numRef>
          </c:yVal>
        </c:ser>
        <c:ser>
          <c:idx val="7"/>
          <c:order val="7"/>
          <c:tx>
            <c:strRef>
              <c:f>集計用!$A$9</c:f>
              <c:strCache>
                <c:ptCount val="1"/>
                <c:pt idx="0">
                  <c:v>Hさん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b"/>
            <c:showSerName val="1"/>
          </c:dLbls>
          <c:xVal>
            <c:numRef>
              <c:f>集計用!$B$9:$B$9</c:f>
              <c:numCache>
                <c:formatCode>General</c:formatCode>
                <c:ptCount val="1"/>
                <c:pt idx="0">
                  <c:v>1.9</c:v>
                </c:pt>
              </c:numCache>
            </c:numRef>
          </c:xVal>
          <c:yVal>
            <c:numRef>
              <c:f>集計用!$C$9:$C$9</c:f>
              <c:numCache>
                <c:formatCode>General</c:formatCode>
                <c:ptCount val="1"/>
                <c:pt idx="0">
                  <c:v>1.85</c:v>
                </c:pt>
              </c:numCache>
            </c:numRef>
          </c:yVal>
        </c:ser>
        <c:ser>
          <c:idx val="8"/>
          <c:order val="8"/>
          <c:tx>
            <c:strRef>
              <c:f>集計用!$A$10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showSerName val="1"/>
          </c:dLbls>
          <c:xVal>
            <c:strRef>
              <c:f>集計用!$B$10:$B$10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集計用!$C$10:$C$10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9"/>
          <c:order val="9"/>
          <c:tx>
            <c:strRef>
              <c:f>集計用!$A$11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l"/>
            <c:showSerName val="1"/>
          </c:dLbls>
          <c:xVal>
            <c:strRef>
              <c:f>集計用!$B$11:$B$11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集計用!$C$11:$C$11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0"/>
          <c:order val="10"/>
          <c:tx>
            <c:strRef>
              <c:f>集計用!$A$12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t"/>
            <c:showSerName val="1"/>
          </c:dLbls>
          <c:xVal>
            <c:strRef>
              <c:f>集計用!$B$12:$B$12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集計用!$C$12:$C$12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1"/>
          <c:order val="11"/>
          <c:tx>
            <c:strRef>
              <c:f>集計用!$A$13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b"/>
            <c:showSerName val="1"/>
          </c:dLbls>
          <c:xVal>
            <c:strRef>
              <c:f>集計用!$B$13:$B$13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集計用!$C$13:$C$13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2"/>
          <c:order val="12"/>
          <c:tx>
            <c:strRef>
              <c:f>集計用!$A$14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showSerName val="1"/>
          </c:dLbls>
          <c:xVal>
            <c:strRef>
              <c:f>集計用!$B$14:$B$14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集計用!$C$14:$C$14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3"/>
          <c:order val="13"/>
          <c:tx>
            <c:strRef>
              <c:f>集計用!$A$15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l"/>
            <c:showSerName val="1"/>
          </c:dLbls>
          <c:xVal>
            <c:strRef>
              <c:f>集計用!$B$15:$B$15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集計用!$C$15:$C$15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4"/>
          <c:order val="14"/>
          <c:tx>
            <c:strRef>
              <c:f>集計用!$A$16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t"/>
            <c:showSerName val="1"/>
          </c:dLbls>
          <c:xVal>
            <c:strRef>
              <c:f>集計用!$B$16:$B$16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集計用!$C$16:$C$16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5"/>
          <c:order val="15"/>
          <c:tx>
            <c:strRef>
              <c:f>集計用!$A$17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b"/>
            <c:showSerName val="1"/>
          </c:dLbls>
          <c:xVal>
            <c:strRef>
              <c:f>集計用!$B$17:$B$17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集計用!$C$17:$C$17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6"/>
          <c:order val="16"/>
          <c:tx>
            <c:strRef>
              <c:f>集計用!$A$18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showSerName val="1"/>
          </c:dLbls>
          <c:xVal>
            <c:strRef>
              <c:f>集計用!$B$18:$B$18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集計用!$C$18:$C$18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7"/>
          <c:order val="17"/>
          <c:tx>
            <c:strRef>
              <c:f>集計用!$A$19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l"/>
            <c:showSerName val="1"/>
          </c:dLbls>
          <c:xVal>
            <c:strRef>
              <c:f>集計用!$B$19:$B$19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集計用!$C$19:$C$19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8"/>
          <c:order val="18"/>
          <c:tx>
            <c:strRef>
              <c:f>集計用!$A$20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t"/>
            <c:showSerName val="1"/>
          </c:dLbls>
          <c:xVal>
            <c:strRef>
              <c:f>集計用!$B$20:$B$20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集計用!$C$20:$C$20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9"/>
          <c:order val="19"/>
          <c:tx>
            <c:strRef>
              <c:f>集計用!$A$21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b"/>
            <c:showSerName val="1"/>
          </c:dLbls>
          <c:xVal>
            <c:strRef>
              <c:f>集計用!$B$21:$B$21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集計用!$C$21:$C$21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0"/>
          <c:order val="20"/>
          <c:tx>
            <c:strRef>
              <c:f>集計用!$A$22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showSerName val="1"/>
          </c:dLbls>
          <c:xVal>
            <c:strRef>
              <c:f>集計用!$B$22:$B$22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集計用!$C$22:$C$22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1"/>
          <c:order val="21"/>
          <c:tx>
            <c:strRef>
              <c:f>集計用!$A$23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l"/>
            <c:showSerName val="1"/>
          </c:dLbls>
          <c:xVal>
            <c:strRef>
              <c:f>集計用!$B$23:$B$23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集計用!$C$23:$C$23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2"/>
          <c:order val="22"/>
          <c:tx>
            <c:strRef>
              <c:f>集計用!$A$24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t"/>
            <c:showSerName val="1"/>
          </c:dLbls>
          <c:xVal>
            <c:strRef>
              <c:f>集計用!$B$24:$B$24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集計用!$C$24:$C$24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3"/>
          <c:order val="23"/>
          <c:tx>
            <c:strRef>
              <c:f>集計用!$A$25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b"/>
            <c:showSerName val="1"/>
          </c:dLbls>
          <c:xVal>
            <c:strRef>
              <c:f>集計用!$B$25:$B$25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集計用!$C$25:$C$25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4"/>
          <c:order val="24"/>
          <c:tx>
            <c:strRef>
              <c:f>集計用!$A$26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showSerName val="1"/>
          </c:dLbls>
          <c:xVal>
            <c:strRef>
              <c:f>集計用!$B$26:$B$26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集計用!$C$26:$C$26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5"/>
          <c:order val="25"/>
          <c:tx>
            <c:strRef>
              <c:f>集計用!$A$27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l"/>
            <c:showSerName val="1"/>
          </c:dLbls>
          <c:xVal>
            <c:strRef>
              <c:f>集計用!$B$27:$B$27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集計用!$C$27:$C$27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6"/>
          <c:order val="26"/>
          <c:tx>
            <c:strRef>
              <c:f>集計用!$A$28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t"/>
            <c:showSerName val="1"/>
          </c:dLbls>
          <c:xVal>
            <c:strRef>
              <c:f>集計用!$B$28:$B$28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集計用!$C$28:$C$28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7"/>
          <c:order val="27"/>
          <c:tx>
            <c:strRef>
              <c:f>集計用!$A$29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b"/>
            <c:showSerName val="1"/>
          </c:dLbls>
          <c:xVal>
            <c:strRef>
              <c:f>集計用!$B$29:$B$29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集計用!$C$29:$C$29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8"/>
          <c:order val="28"/>
          <c:tx>
            <c:strRef>
              <c:f>集計用!$A$30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showSerName val="1"/>
          </c:dLbls>
          <c:xVal>
            <c:strRef>
              <c:f>集計用!$B$30:$B$30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集計用!$C$30:$C$30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9"/>
          <c:order val="29"/>
          <c:tx>
            <c:strRef>
              <c:f>集計用!$A$31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l"/>
            <c:showSerName val="1"/>
          </c:dLbls>
          <c:xVal>
            <c:strRef>
              <c:f>集計用!$B$31:$B$31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集計用!$C$31:$C$31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0"/>
          <c:order val="30"/>
          <c:tx>
            <c:strRef>
              <c:f>集計用!$A$32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t"/>
            <c:showSerName val="1"/>
          </c:dLbls>
          <c:xVal>
            <c:strRef>
              <c:f>集計用!$B$32:$B$32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集計用!$C$32:$C$32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1"/>
          <c:order val="31"/>
          <c:tx>
            <c:strRef>
              <c:f>集計用!$A$33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b"/>
            <c:showSerName val="1"/>
          </c:dLbls>
          <c:xVal>
            <c:strRef>
              <c:f>集計用!$B$33:$B$33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集計用!$C$33:$C$33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2"/>
          <c:order val="32"/>
          <c:tx>
            <c:strRef>
              <c:f>集計用!$A$34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showSerName val="1"/>
          </c:dLbls>
          <c:xVal>
            <c:strRef>
              <c:f>集計用!$B$34:$B$34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集計用!$C$34:$C$34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3"/>
          <c:order val="33"/>
          <c:tx>
            <c:strRef>
              <c:f>集計用!$A$35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l"/>
            <c:showSerName val="1"/>
          </c:dLbls>
          <c:xVal>
            <c:strRef>
              <c:f>集計用!$B$35:$B$35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集計用!$C$35:$C$35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4"/>
          <c:order val="34"/>
          <c:tx>
            <c:strRef>
              <c:f>集計用!$A$36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t"/>
            <c:showSerName val="1"/>
          </c:dLbls>
          <c:xVal>
            <c:strRef>
              <c:f>集計用!$B$36:$B$36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集計用!$C$36:$C$36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5"/>
          <c:order val="35"/>
          <c:tx>
            <c:strRef>
              <c:f>集計用!$A$37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b"/>
            <c:showSerName val="1"/>
          </c:dLbls>
          <c:xVal>
            <c:strRef>
              <c:f>集計用!$B$37:$B$37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集計用!$C$37:$C$37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6"/>
          <c:order val="36"/>
          <c:tx>
            <c:strRef>
              <c:f>集計用!$A$38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showSerName val="1"/>
          </c:dLbls>
          <c:xVal>
            <c:strRef>
              <c:f>集計用!$B$38:$B$38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集計用!$C$38:$C$38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7"/>
          <c:order val="37"/>
          <c:tx>
            <c:strRef>
              <c:f>集計用!$A$39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l"/>
            <c:showSerName val="1"/>
          </c:dLbls>
          <c:xVal>
            <c:strRef>
              <c:f>集計用!$B$39:$B$39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集計用!$C$39:$C$39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8"/>
          <c:order val="38"/>
          <c:tx>
            <c:strRef>
              <c:f>集計用!$A$40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t"/>
            <c:showSerName val="1"/>
          </c:dLbls>
          <c:xVal>
            <c:strRef>
              <c:f>集計用!$B$40:$B$40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集計用!$C$40:$C$40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9"/>
          <c:order val="39"/>
          <c:tx>
            <c:strRef>
              <c:f>集計用!$A$41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b"/>
            <c:showSerName val="1"/>
          </c:dLbls>
          <c:xVal>
            <c:strRef>
              <c:f>集計用!$B$41:$B$41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集計用!$C$41:$C$41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40"/>
          <c:order val="40"/>
          <c:tx>
            <c:strRef>
              <c:f>集計用!$A$42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showSerName val="1"/>
          </c:dLbls>
          <c:xVal>
            <c:strRef>
              <c:f>集計用!$B$42:$B$42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集計用!$C$42:$C$42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41"/>
          <c:order val="41"/>
          <c:tx>
            <c:strRef>
              <c:f>集計用!$A$43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l"/>
            <c:showSerName val="1"/>
          </c:dLbls>
          <c:xVal>
            <c:strRef>
              <c:f>集計用!$B$43:$B$43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集計用!$C$43:$C$43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42"/>
          <c:order val="42"/>
          <c:tx>
            <c:strRef>
              <c:f>集計用!$A$44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t"/>
            <c:showSerName val="1"/>
          </c:dLbls>
          <c:xVal>
            <c:strRef>
              <c:f>集計用!$B$44:$B$44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集計用!$C$44:$C$44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43"/>
          <c:order val="43"/>
          <c:tx>
            <c:strRef>
              <c:f>集計用!$A$45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b"/>
            <c:showSerName val="1"/>
          </c:dLbls>
          <c:xVal>
            <c:strRef>
              <c:f>集計用!$B$45:$B$45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集計用!$C$45:$C$45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44"/>
          <c:order val="44"/>
          <c:tx>
            <c:strRef>
              <c:f>集計用!$A$46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showSerName val="1"/>
          </c:dLbls>
          <c:xVal>
            <c:strRef>
              <c:f>集計用!$B$46:$B$46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集計用!$C$46:$C$46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45"/>
          <c:order val="45"/>
          <c:tx>
            <c:strRef>
              <c:f>集計用!$A$47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l"/>
            <c:showSerName val="1"/>
          </c:dLbls>
          <c:xVal>
            <c:strRef>
              <c:f>集計用!$B$47:$B$47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集計用!$C$47:$C$47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46"/>
          <c:order val="46"/>
          <c:tx>
            <c:strRef>
              <c:f>集計用!$A$48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t"/>
            <c:showSerName val="1"/>
          </c:dLbls>
          <c:xVal>
            <c:strRef>
              <c:f>集計用!$B$48:$B$48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集計用!$C$48:$C$48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47"/>
          <c:order val="47"/>
          <c:tx>
            <c:strRef>
              <c:f>集計用!$A$49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b"/>
            <c:showSerName val="1"/>
          </c:dLbls>
          <c:xVal>
            <c:strRef>
              <c:f>集計用!$B$49:$B$49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集計用!$C$49:$C$49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48"/>
          <c:order val="48"/>
          <c:tx>
            <c:strRef>
              <c:f>集計用!$A$50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showSerName val="1"/>
          </c:dLbls>
          <c:xVal>
            <c:strRef>
              <c:f>集計用!$B$50:$B$50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集計用!$C$50:$C$50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49"/>
          <c:order val="49"/>
          <c:tx>
            <c:strRef>
              <c:f>集計用!$A$51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en-US"/>
              </a:p>
            </c:txPr>
            <c:dLblPos val="l"/>
            <c:showSerName val="1"/>
          </c:dLbls>
          <c:xVal>
            <c:strRef>
              <c:f>集計用!$B$51:$B$51</c:f>
              <c:strCache>
                <c:ptCount val="1"/>
                <c:pt idx="0">
                  <c:v/>
                </c:pt>
              </c:strCache>
            </c:strRef>
          </c:xVal>
          <c:yVal>
            <c:numRef>
              <c:f>集計用!$C$51:$C$51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50"/>
          <c:order val="50"/>
          <c:tx>
            <c:v>x基準</c:v>
          </c:tx>
          <c:spPr>
            <a:ln>
              <a:solidFill>
                <a:srgbClr val="4472C4"/>
              </a:solidFill>
              <a:prstDash val="dash"/>
            </a:ln>
          </c:spPr>
          <c:marker>
            <c:symbol val="none"/>
          </c:marker>
          <c:xVal>
            <c:numRef>
              <c:f>集計用!$AE$2:$AE$3</c:f>
              <c:numCache>
                <c:formatCode>General</c:formatCode>
                <c:ptCount val="2"/>
                <c:pt idx="0">
                  <c:v>1.6</c:v>
                </c:pt>
                <c:pt idx="1">
                  <c:v>1.6</c:v>
                </c:pt>
              </c:numCache>
            </c:numRef>
          </c:xVal>
          <c:yVal>
            <c:numRef>
              <c:f>集計用!$AF$2:$AF$3</c:f>
              <c:numCache>
                <c:formatCode>General</c:formatCode>
                <c:ptCount val="2"/>
                <c:pt idx="0">
                  <c:v>1</c:v>
                </c:pt>
                <c:pt idx="1">
                  <c:v>2.4</c:v>
                </c:pt>
              </c:numCache>
            </c:numRef>
          </c:yVal>
        </c:ser>
        <c:ser>
          <c:idx val="51"/>
          <c:order val="51"/>
          <c:tx>
            <c:v>y基準</c:v>
          </c:tx>
          <c:spPr>
            <a:ln>
              <a:solidFill>
                <a:srgbClr val="ED7D31"/>
              </a:solidFill>
              <a:prstDash val="dash"/>
            </a:ln>
          </c:spPr>
          <c:marker>
            <c:symbol val="none"/>
          </c:marker>
          <c:xVal>
            <c:numRef>
              <c:f>集計用!$AG$2:$AG$3</c:f>
              <c:numCache>
                <c:formatCode>General</c:formatCode>
                <c:ptCount val="2"/>
                <c:pt idx="0">
                  <c:v>1</c:v>
                </c:pt>
                <c:pt idx="1">
                  <c:v>2.4</c:v>
                </c:pt>
              </c:numCache>
            </c:numRef>
          </c:xVal>
          <c:yVal>
            <c:numRef>
              <c:f>集計用!$AH$2:$AH$3</c:f>
              <c:numCache>
                <c:formatCode>General</c:formatCode>
                <c:ptCount val="2"/>
                <c:pt idx="0">
                  <c:v>1.6</c:v>
                </c:pt>
                <c:pt idx="1">
                  <c:v>1.6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ax val="2.4"/>
          <c:min val="1.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ピッキング時間（分/個）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en-US"/>
          </a:p>
        </c:txPr>
        <c:crossAx val="50030002"/>
        <c:crosses val="autoZero"/>
        <c:crossBetween val="midCat"/>
        <c:majorUnit val="0.2"/>
      </c:valAx>
      <c:valAx>
        <c:axId val="50030002"/>
        <c:scaling>
          <c:orientation val="minMax"/>
          <c:max val="2.4"/>
          <c:min val="1.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梱包時間（分/個）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en-US"/>
          </a:p>
        </c:txPr>
        <c:crossAx val="50030001"/>
        <c:crosses val="autoZero"/>
        <c:crossBetween val="midCat"/>
        <c:majorUnit val="0.2"/>
      </c:valAx>
      <c:spPr>
        <a:ln>
          <a:noFill/>
        </a:ln>
      </c:spPr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38100</xdr:rowOff>
    </xdr:from>
    <xdr:to>
      <xdr:col>16</xdr:col>
      <xdr:colOff>266700</xdr:colOff>
      <xdr:row>42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52</xdr:row>
      <xdr:rowOff>38100</xdr:rowOff>
    </xdr:from>
    <xdr:to>
      <xdr:col>19</xdr:col>
      <xdr:colOff>28575</xdr:colOff>
      <xdr:row>80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94</xdr:row>
      <xdr:rowOff>38100</xdr:rowOff>
    </xdr:from>
    <xdr:to>
      <xdr:col>19</xdr:col>
      <xdr:colOff>28575</xdr:colOff>
      <xdr:row>129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86</xdr:row>
      <xdr:rowOff>0</xdr:rowOff>
    </xdr:from>
    <xdr:to>
      <xdr:col>6</xdr:col>
      <xdr:colOff>238125</xdr:colOff>
      <xdr:row>87</xdr:row>
      <xdr:rowOff>171450</xdr:rowOff>
    </xdr:to>
    <xdr:sp macro="" textlink="">
      <xdr:nvSpPr>
        <xdr:cNvPr id="5" name="TextBox 4"/>
        <xdr:cNvSpPr txBox="1"/>
      </xdr:nvSpPr>
      <xdr:spPr>
        <a:xfrm>
          <a:off x="3038475" y="16383000"/>
          <a:ext cx="952500" cy="361950"/>
        </a:xfrm>
        <a:prstGeom prst="rect">
          <a:avLst/>
        </a:prstGeom>
        <a:solidFill>
          <a:srgbClr val="DDEBF7"/>
        </a:solidFill>
        <a:ln w="9525" cmpd="sng">
          <a:solidFill>
            <a:srgbClr val="4472C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000" b="1">
              <a:solidFill>
                <a:srgbClr val="1F4E78"/>
              </a:solidFill>
              <a:latin typeface="Meiryo UI"/>
              <a:cs typeface="Meiryo UI"/>
            </a:rPr>
            <a:t>ピッキング</a:t>
          </a:r>
        </a:p>
        <a:p>
          <a:r>
            <a:rPr lang="en-US" sz="1000" b="1">
              <a:solidFill>
                <a:srgbClr val="1F4E78"/>
              </a:solidFill>
              <a:latin typeface="Meiryo UI"/>
              <a:cs typeface="Meiryo UI"/>
            </a:rPr>
            <a:t>改善優先</a:t>
          </a: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9</xdr:col>
      <xdr:colOff>142875</xdr:colOff>
      <xdr:row>87</xdr:row>
      <xdr:rowOff>171450</xdr:rowOff>
    </xdr:to>
    <xdr:sp macro="" textlink="">
      <xdr:nvSpPr>
        <xdr:cNvPr id="6" name="TextBox 5"/>
        <xdr:cNvSpPr txBox="1"/>
      </xdr:nvSpPr>
      <xdr:spPr>
        <a:xfrm>
          <a:off x="5181600" y="16383000"/>
          <a:ext cx="857250" cy="361950"/>
        </a:xfrm>
        <a:prstGeom prst="rect">
          <a:avLst/>
        </a:prstGeom>
        <a:solidFill>
          <a:srgbClr val="FCE4D6"/>
        </a:solidFill>
        <a:ln w="9525" cmpd="sng">
          <a:solidFill>
            <a:srgbClr val="ED7D3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000" b="1">
              <a:solidFill>
                <a:srgbClr val="7F3F00"/>
              </a:solidFill>
              <a:latin typeface="Meiryo UI"/>
              <a:cs typeface="Meiryo UI"/>
            </a:rPr>
            <a:t>梱包</a:t>
          </a:r>
        </a:p>
        <a:p>
          <a:r>
            <a:rPr lang="en-US" sz="1000" b="1">
              <a:solidFill>
                <a:srgbClr val="7F3F00"/>
              </a:solidFill>
              <a:latin typeface="Meiryo UI"/>
              <a:cs typeface="Meiryo UI"/>
            </a:rPr>
            <a:t>改善優先</a:t>
          </a: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12</xdr:col>
      <xdr:colOff>333375</xdr:colOff>
      <xdr:row>87</xdr:row>
      <xdr:rowOff>171450</xdr:rowOff>
    </xdr:to>
    <xdr:sp macro="" textlink="">
      <xdr:nvSpPr>
        <xdr:cNvPr id="7" name="TextBox 6"/>
        <xdr:cNvSpPr txBox="1"/>
      </xdr:nvSpPr>
      <xdr:spPr>
        <a:xfrm>
          <a:off x="6858000" y="16383000"/>
          <a:ext cx="1047750" cy="361950"/>
        </a:xfrm>
        <a:prstGeom prst="rect">
          <a:avLst/>
        </a:prstGeom>
        <a:solidFill>
          <a:srgbClr val="F8CBAD"/>
        </a:solidFill>
        <a:ln w="952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000" b="1">
              <a:solidFill>
                <a:srgbClr val="9C0006"/>
              </a:solidFill>
              <a:latin typeface="Meiryo UI"/>
              <a:cs typeface="Meiryo UI"/>
            </a:rPr>
            <a:t>両工程の</a:t>
          </a:r>
        </a:p>
        <a:p>
          <a:r>
            <a:rPr lang="en-US" sz="1000" b="1">
              <a:solidFill>
                <a:srgbClr val="9C0006"/>
              </a:solidFill>
              <a:latin typeface="Meiryo UI"/>
              <a:cs typeface="Meiryo UI"/>
            </a:rPr>
            <a:t>改善が必要</a:t>
          </a:r>
        </a:p>
      </xdr:txBody>
    </xdr:sp>
    <xdr:clientData/>
  </xdr:twoCellAnchor>
  <xdr:twoCellAnchor>
    <xdr:from>
      <xdr:col>1</xdr:col>
      <xdr:colOff>0</xdr:colOff>
      <xdr:row>93</xdr:row>
      <xdr:rowOff>0</xdr:rowOff>
    </xdr:from>
    <xdr:to>
      <xdr:col>2</xdr:col>
      <xdr:colOff>47625</xdr:colOff>
      <xdr:row>94</xdr:row>
      <xdr:rowOff>76200</xdr:rowOff>
    </xdr:to>
    <xdr:sp macro="" textlink="">
      <xdr:nvSpPr>
        <xdr:cNvPr id="8" name="TextBox 7"/>
        <xdr:cNvSpPr txBox="1"/>
      </xdr:nvSpPr>
      <xdr:spPr>
        <a:xfrm>
          <a:off x="180975" y="17716500"/>
          <a:ext cx="762000" cy="266700"/>
        </a:xfrm>
        <a:prstGeom prst="rect">
          <a:avLst/>
        </a:prstGeom>
        <a:solidFill>
          <a:srgbClr val="FCE4D6"/>
        </a:solidFill>
        <a:ln w="9525" cmpd="sng">
          <a:solidFill>
            <a:srgbClr val="ED7D3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>
              <a:solidFill>
                <a:srgbClr val="7F3F00"/>
              </a:solidFill>
              <a:latin typeface="Meiryo UI"/>
              <a:cs typeface="Meiryo UI"/>
            </a:rPr>
            <a:t>梱包改善</a:t>
          </a:r>
        </a:p>
      </xdr:txBody>
    </xdr:sp>
    <xdr:clientData/>
  </xdr:twoCellAnchor>
  <xdr:twoCellAnchor>
    <xdr:from>
      <xdr:col>5</xdr:col>
      <xdr:colOff>0</xdr:colOff>
      <xdr:row>93</xdr:row>
      <xdr:rowOff>0</xdr:rowOff>
    </xdr:from>
    <xdr:to>
      <xdr:col>6</xdr:col>
      <xdr:colOff>523875</xdr:colOff>
      <xdr:row>94</xdr:row>
      <xdr:rowOff>76200</xdr:rowOff>
    </xdr:to>
    <xdr:sp macro="" textlink="">
      <xdr:nvSpPr>
        <xdr:cNvPr id="9" name="TextBox 8"/>
        <xdr:cNvSpPr txBox="1"/>
      </xdr:nvSpPr>
      <xdr:spPr>
        <a:xfrm>
          <a:off x="3038475" y="17716500"/>
          <a:ext cx="1238250" cy="266700"/>
        </a:xfrm>
        <a:prstGeom prst="rect">
          <a:avLst/>
        </a:prstGeom>
        <a:solidFill>
          <a:srgbClr val="F4CCCC"/>
        </a:solidFill>
        <a:ln w="952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>
              <a:solidFill>
                <a:srgbClr val="9C0006"/>
              </a:solidFill>
              <a:latin typeface="Meiryo UI"/>
              <a:cs typeface="Meiryo UI"/>
            </a:rPr>
            <a:t>要改善（両方遅い）</a:t>
          </a:r>
        </a:p>
      </xdr:txBody>
    </xdr:sp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571500</xdr:colOff>
      <xdr:row>132</xdr:row>
      <xdr:rowOff>76200</xdr:rowOff>
    </xdr:to>
    <xdr:sp macro="" textlink="">
      <xdr:nvSpPr>
        <xdr:cNvPr id="10" name="TextBox 9"/>
        <xdr:cNvSpPr txBox="1"/>
      </xdr:nvSpPr>
      <xdr:spPr>
        <a:xfrm>
          <a:off x="180975" y="24955500"/>
          <a:ext cx="571500" cy="266700"/>
        </a:xfrm>
        <a:prstGeom prst="rect">
          <a:avLst/>
        </a:prstGeom>
        <a:solidFill>
          <a:srgbClr val="E2F0D9"/>
        </a:solidFill>
        <a:ln w="9525" cmpd="sng">
          <a:solidFill>
            <a:srgbClr val="70AD4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>
              <a:solidFill>
                <a:srgbClr val="006100"/>
              </a:solidFill>
              <a:latin typeface="Meiryo UI"/>
              <a:cs typeface="Meiryo UI"/>
            </a:rPr>
            <a:t>良好</a:t>
          </a:r>
        </a:p>
      </xdr:txBody>
    </xdr:sp>
    <xdr:clientData/>
  </xdr:twoCellAnchor>
  <xdr:twoCellAnchor>
    <xdr:from>
      <xdr:col>5</xdr:col>
      <xdr:colOff>0</xdr:colOff>
      <xdr:row>131</xdr:row>
      <xdr:rowOff>0</xdr:rowOff>
    </xdr:from>
    <xdr:to>
      <xdr:col>6</xdr:col>
      <xdr:colOff>333375</xdr:colOff>
      <xdr:row>132</xdr:row>
      <xdr:rowOff>76200</xdr:rowOff>
    </xdr:to>
    <xdr:sp macro="" textlink="">
      <xdr:nvSpPr>
        <xdr:cNvPr id="11" name="TextBox 10"/>
        <xdr:cNvSpPr txBox="1"/>
      </xdr:nvSpPr>
      <xdr:spPr>
        <a:xfrm>
          <a:off x="3038475" y="24955500"/>
          <a:ext cx="1047750" cy="266700"/>
        </a:xfrm>
        <a:prstGeom prst="rect">
          <a:avLst/>
        </a:prstGeom>
        <a:solidFill>
          <a:srgbClr val="DDEBF7"/>
        </a:solidFill>
        <a:ln w="9525" cmpd="sng">
          <a:solidFill>
            <a:srgbClr val="4472C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>
              <a:solidFill>
                <a:srgbClr val="1F4E78"/>
              </a:solidFill>
              <a:latin typeface="Meiryo UI"/>
              <a:cs typeface="Meiryo UI"/>
            </a:rPr>
            <a:t>ピッキング改善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T204"/>
  <sheetViews>
    <sheetView showGridLines="0" tabSelected="1" zoomScale="70" zoomScaleNormal="70" workbookViewId="0">
      <pane ySplit="6" topLeftCell="A7" activePane="bottomLeft" state="frozen"/>
      <selection pane="bottomLeft"/>
    </sheetView>
  </sheetViews>
  <sheetFormatPr defaultRowHeight="15"/>
  <cols>
    <col min="1" max="1" width="2.7109375" customWidth="1"/>
    <col min="2" max="10" width="10.7109375" customWidth="1"/>
    <col min="11" max="11" width="3.7109375" customWidth="1"/>
    <col min="12" max="20" width="10.7109375" customWidth="1"/>
  </cols>
  <sheetData>
    <row r="1" spans="2:20">
      <c r="B1" s="1" t="s">
        <v>47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>
      <c r="B2" s="2" t="str">
        <f>"目標：ピッキング"&amp;TEXT(入力!$B$5,"0.0")&amp;"分 / 梱包"&amp;TEXT(入力!$C$5,"0.0")&amp;"分 / 合計"&amp;TEXT(入力!$D$5,"0.0")&amp;"分/個"</f>
        <v>目標：ピッキング1.6分 / 梱包1.6分 / 合計3.2分/個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0">
      <c r="B3" s="3" t="s">
        <v>50</v>
      </c>
      <c r="Q3" s="4" t="str">
        <f>"達成率 ＝ "&amp;TEXT(入力!$D$5,"0.0")&amp;" ÷ 実績合計 × 100"&amp;CHAR(10)&amp;"（実績合計＝ピッキング＋梱包）"</f>
        <v>達成率 ＝ 3.2 ÷ 実績合計 × 100
（実績合計＝ピッキング＋梱包）</v>
      </c>
      <c r="R3" s="4"/>
      <c r="S3" s="4"/>
      <c r="T3" s="4"/>
    </row>
    <row r="4" spans="2:20">
      <c r="B4" s="5" t="s">
        <v>51</v>
      </c>
      <c r="Q4" s="4"/>
      <c r="R4" s="4"/>
      <c r="S4" s="4"/>
      <c r="T4" s="4"/>
    </row>
    <row r="5" spans="2:20">
      <c r="B5" s="6" t="s">
        <v>52</v>
      </c>
      <c r="C5" s="6"/>
      <c r="D5" s="6" t="s">
        <v>53</v>
      </c>
      <c r="E5" s="6"/>
      <c r="F5" s="6" t="s">
        <v>54</v>
      </c>
      <c r="G5" s="6"/>
      <c r="H5" s="6" t="s">
        <v>55</v>
      </c>
      <c r="I5" s="6"/>
      <c r="J5" s="6" t="s">
        <v>56</v>
      </c>
      <c r="K5" s="6"/>
      <c r="L5" s="6" t="s">
        <v>57</v>
      </c>
      <c r="M5" s="6"/>
      <c r="Q5" s="4"/>
      <c r="R5" s="4"/>
      <c r="S5" s="4"/>
      <c r="T5" s="4"/>
    </row>
    <row r="6" spans="2:20">
      <c r="B6" s="7">
        <f>IFERROR(AVERAGE(入力!F9:F58),"")</f>
        <v>0.9949193079726883</v>
      </c>
      <c r="C6" s="7"/>
      <c r="D6" s="8">
        <f>COUNTIF(入力!F9:F58,"&gt;=1")</f>
        <v>4</v>
      </c>
      <c r="E6" s="8"/>
      <c r="F6" s="8">
        <f>COUNTIF(入力!I9:I58,"&gt;0")</f>
        <v>4</v>
      </c>
      <c r="G6" s="8"/>
      <c r="H6" s="9">
        <f>IFERROR(AVERAGE(入力!C9:C58),"")</f>
        <v>1.6225</v>
      </c>
      <c r="I6" s="9"/>
      <c r="J6" s="9">
        <f>IFERROR(AVERAGE(入力!D9:D58),"")</f>
        <v>1.6175</v>
      </c>
      <c r="K6" s="9"/>
      <c r="L6" s="9">
        <f>IFERROR(AVERAGE(入力!E9:E58),"")</f>
        <v>3.24</v>
      </c>
      <c r="M6" s="9"/>
    </row>
    <row r="9" spans="2:20">
      <c r="B9" s="10" t="s">
        <v>58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2:20">
      <c r="B10" s="5" t="s">
        <v>59</v>
      </c>
    </row>
    <row r="50" spans="2:20">
      <c r="B50" s="10" t="s">
        <v>60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2:20">
      <c r="B51" s="5" t="s">
        <v>61</v>
      </c>
    </row>
    <row r="92" spans="2:20">
      <c r="B92" s="10" t="s">
        <v>62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2:20">
      <c r="B93" s="5" t="s">
        <v>63</v>
      </c>
    </row>
    <row r="140" spans="2:20">
      <c r="B140" s="10" t="s">
        <v>64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2:20">
      <c r="B141" s="5" t="s">
        <v>65</v>
      </c>
    </row>
    <row r="143" spans="2:20">
      <c r="B143" s="11" t="s">
        <v>66</v>
      </c>
      <c r="C143" s="11" t="s">
        <v>10</v>
      </c>
      <c r="D143" s="11"/>
      <c r="E143" s="11" t="s">
        <v>13</v>
      </c>
      <c r="F143" s="11"/>
      <c r="G143" s="11" t="s">
        <v>17</v>
      </c>
      <c r="H143" s="11"/>
      <c r="I143" s="11" t="s">
        <v>19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2:20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2:20">
      <c r="B145" s="24">
        <v>1</v>
      </c>
      <c r="C145" s="25" t="str">
        <f>集計用!I2</f>
        <v>Hさん</v>
      </c>
      <c r="D145" s="25"/>
      <c r="E145" s="26">
        <f>集計用!L2</f>
        <v>3.75</v>
      </c>
      <c r="F145" s="26"/>
      <c r="G145" s="27">
        <f>集計用!M2</f>
        <v>0.5499999999999998</v>
      </c>
      <c r="H145" s="27"/>
      <c r="I145" s="28" t="str">
        <f>集計用!O2</f>
        <v>両工程を見直し</v>
      </c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</row>
    <row r="146" spans="2:20">
      <c r="B146" s="24">
        <v>2</v>
      </c>
      <c r="C146" s="25" t="str">
        <f>集計用!I3</f>
        <v>Gさん</v>
      </c>
      <c r="D146" s="25"/>
      <c r="E146" s="26">
        <f>集計用!L3</f>
        <v>3.4000000000000004</v>
      </c>
      <c r="F146" s="26"/>
      <c r="G146" s="27">
        <f>集計用!M3</f>
        <v>0.20000000000000018</v>
      </c>
      <c r="H146" s="27"/>
      <c r="I146" s="28" t="str">
        <f>集計用!O3</f>
        <v>梱包手順を改善</v>
      </c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</row>
    <row r="147" spans="2:20">
      <c r="B147" s="24">
        <v>3</v>
      </c>
      <c r="C147" s="25" t="str">
        <f>集計用!I4</f>
        <v>Fさん</v>
      </c>
      <c r="D147" s="25"/>
      <c r="E147" s="26">
        <f>集計用!L4</f>
        <v>3.35</v>
      </c>
      <c r="F147" s="26"/>
      <c r="G147" s="27">
        <f>集計用!M4</f>
        <v>0.1499999999999999</v>
      </c>
      <c r="H147" s="27"/>
      <c r="I147" s="28" t="str">
        <f>集計用!O4</f>
        <v>ピック導線を改善</v>
      </c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</row>
    <row r="148" spans="2:20">
      <c r="B148" s="24">
        <v>4</v>
      </c>
      <c r="C148" s="25" t="str">
        <f>集計用!I5</f>
        <v>Eさん</v>
      </c>
      <c r="D148" s="25"/>
      <c r="E148" s="26">
        <f>集計用!L5</f>
        <v>3.3499999999999996</v>
      </c>
      <c r="F148" s="26"/>
      <c r="G148" s="27">
        <f>集計用!M5</f>
        <v>0.14999999999999947</v>
      </c>
      <c r="H148" s="27"/>
      <c r="I148" s="28" t="str">
        <f>集計用!O5</f>
        <v>両工程を微改善</v>
      </c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</row>
    <row r="149" spans="2:20">
      <c r="B149" s="24">
        <v>5</v>
      </c>
      <c r="C149" s="25" t="str">
        <f>集計用!I6</f>
        <v>Dさん</v>
      </c>
      <c r="D149" s="25"/>
      <c r="E149" s="26">
        <f>集計用!L6</f>
        <v>3.17</v>
      </c>
      <c r="F149" s="26"/>
      <c r="G149" s="27">
        <f>集計用!M6</f>
        <v>-0.03000000000000025</v>
      </c>
      <c r="H149" s="27"/>
      <c r="I149" s="28" t="str">
        <f>集計用!O6</f>
        <v>目標達成</v>
      </c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</row>
    <row r="150" spans="2:20">
      <c r="B150" s="24">
        <v>6</v>
      </c>
      <c r="C150" s="25" t="str">
        <f>集計用!I7</f>
        <v>Cさん</v>
      </c>
      <c r="D150" s="25"/>
      <c r="E150" s="26">
        <f>集計用!L7</f>
        <v>3.1500000000000004</v>
      </c>
      <c r="F150" s="26"/>
      <c r="G150" s="27">
        <f>集計用!M7</f>
        <v>-0.04999999999999982</v>
      </c>
      <c r="H150" s="27"/>
      <c r="I150" s="28" t="str">
        <f>集計用!O7</f>
        <v>目標達成</v>
      </c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</row>
    <row r="151" spans="2:20">
      <c r="B151" s="24">
        <v>7</v>
      </c>
      <c r="C151" s="25" t="str">
        <f>集計用!I8</f>
        <v>Bさん</v>
      </c>
      <c r="D151" s="25"/>
      <c r="E151" s="26">
        <f>集計用!L8</f>
        <v>2.98</v>
      </c>
      <c r="F151" s="26"/>
      <c r="G151" s="27">
        <f>集計用!M8</f>
        <v>-0.2200000000000002</v>
      </c>
      <c r="H151" s="27"/>
      <c r="I151" s="28" t="str">
        <f>集計用!O8</f>
        <v>良好</v>
      </c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</row>
    <row r="152" spans="2:20">
      <c r="B152" s="24">
        <v>8</v>
      </c>
      <c r="C152" s="25" t="str">
        <f>集計用!I9</f>
        <v>Aさん</v>
      </c>
      <c r="D152" s="25"/>
      <c r="E152" s="26">
        <f>集計用!L9</f>
        <v>2.77</v>
      </c>
      <c r="F152" s="26"/>
      <c r="G152" s="27">
        <f>集計用!M9</f>
        <v>-0.43000000000000016</v>
      </c>
      <c r="H152" s="27"/>
      <c r="I152" s="28" t="str">
        <f>集計用!O9</f>
        <v>良好</v>
      </c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</row>
    <row r="153" spans="2:20">
      <c r="B153" s="24">
        <v>9</v>
      </c>
      <c r="C153" s="25" t="str">
        <f>集計用!I10</f>
        <v/>
      </c>
      <c r="D153" s="25"/>
      <c r="E153" s="26" t="str">
        <f>集計用!L10</f>
        <v/>
      </c>
      <c r="F153" s="26"/>
      <c r="G153" s="27" t="str">
        <f>集計用!M10</f>
        <v/>
      </c>
      <c r="H153" s="27"/>
      <c r="I153" s="28" t="str">
        <f>集計用!O10</f>
        <v/>
      </c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</row>
    <row r="154" spans="2:20">
      <c r="B154" s="24">
        <v>10</v>
      </c>
      <c r="C154" s="25" t="str">
        <f>集計用!I11</f>
        <v/>
      </c>
      <c r="D154" s="25"/>
      <c r="E154" s="26" t="str">
        <f>集計用!L11</f>
        <v/>
      </c>
      <c r="F154" s="26"/>
      <c r="G154" s="27" t="str">
        <f>集計用!M11</f>
        <v/>
      </c>
      <c r="H154" s="27"/>
      <c r="I154" s="28" t="str">
        <f>集計用!O11</f>
        <v/>
      </c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</row>
    <row r="155" spans="2:20">
      <c r="B155" s="24">
        <v>11</v>
      </c>
      <c r="C155" s="25" t="str">
        <f>集計用!I12</f>
        <v/>
      </c>
      <c r="D155" s="25"/>
      <c r="E155" s="26" t="str">
        <f>集計用!L12</f>
        <v/>
      </c>
      <c r="F155" s="26"/>
      <c r="G155" s="27" t="str">
        <f>集計用!M12</f>
        <v/>
      </c>
      <c r="H155" s="27"/>
      <c r="I155" s="28" t="str">
        <f>集計用!O12</f>
        <v/>
      </c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</row>
    <row r="156" spans="2:20">
      <c r="B156" s="24">
        <v>12</v>
      </c>
      <c r="C156" s="25" t="str">
        <f>集計用!I13</f>
        <v/>
      </c>
      <c r="D156" s="25"/>
      <c r="E156" s="26" t="str">
        <f>集計用!L13</f>
        <v/>
      </c>
      <c r="F156" s="26"/>
      <c r="G156" s="27" t="str">
        <f>集計用!M13</f>
        <v/>
      </c>
      <c r="H156" s="27"/>
      <c r="I156" s="28" t="str">
        <f>集計用!O13</f>
        <v/>
      </c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</row>
    <row r="157" spans="2:20">
      <c r="B157" s="24">
        <v>13</v>
      </c>
      <c r="C157" s="25" t="str">
        <f>集計用!I14</f>
        <v/>
      </c>
      <c r="D157" s="25"/>
      <c r="E157" s="26" t="str">
        <f>集計用!L14</f>
        <v/>
      </c>
      <c r="F157" s="26"/>
      <c r="G157" s="27" t="str">
        <f>集計用!M14</f>
        <v/>
      </c>
      <c r="H157" s="27"/>
      <c r="I157" s="28" t="str">
        <f>集計用!O14</f>
        <v/>
      </c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</row>
    <row r="158" spans="2:20">
      <c r="B158" s="24">
        <v>14</v>
      </c>
      <c r="C158" s="25" t="str">
        <f>集計用!I15</f>
        <v/>
      </c>
      <c r="D158" s="25"/>
      <c r="E158" s="26" t="str">
        <f>集計用!L15</f>
        <v/>
      </c>
      <c r="F158" s="26"/>
      <c r="G158" s="27" t="str">
        <f>集計用!M15</f>
        <v/>
      </c>
      <c r="H158" s="27"/>
      <c r="I158" s="28" t="str">
        <f>集計用!O15</f>
        <v/>
      </c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</row>
    <row r="159" spans="2:20">
      <c r="B159" s="24">
        <v>15</v>
      </c>
      <c r="C159" s="25" t="str">
        <f>集計用!I16</f>
        <v/>
      </c>
      <c r="D159" s="25"/>
      <c r="E159" s="26" t="str">
        <f>集計用!L16</f>
        <v/>
      </c>
      <c r="F159" s="26"/>
      <c r="G159" s="27" t="str">
        <f>集計用!M16</f>
        <v/>
      </c>
      <c r="H159" s="27"/>
      <c r="I159" s="28" t="str">
        <f>集計用!O16</f>
        <v/>
      </c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</row>
    <row r="160" spans="2:20">
      <c r="B160" s="24">
        <v>16</v>
      </c>
      <c r="C160" s="25" t="str">
        <f>集計用!I17</f>
        <v/>
      </c>
      <c r="D160" s="25"/>
      <c r="E160" s="26" t="str">
        <f>集計用!L17</f>
        <v/>
      </c>
      <c r="F160" s="26"/>
      <c r="G160" s="27" t="str">
        <f>集計用!M17</f>
        <v/>
      </c>
      <c r="H160" s="27"/>
      <c r="I160" s="28" t="str">
        <f>集計用!O17</f>
        <v/>
      </c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</row>
    <row r="161" spans="2:20">
      <c r="B161" s="24">
        <v>17</v>
      </c>
      <c r="C161" s="25" t="str">
        <f>集計用!I18</f>
        <v/>
      </c>
      <c r="D161" s="25"/>
      <c r="E161" s="26" t="str">
        <f>集計用!L18</f>
        <v/>
      </c>
      <c r="F161" s="26"/>
      <c r="G161" s="27" t="str">
        <f>集計用!M18</f>
        <v/>
      </c>
      <c r="H161" s="27"/>
      <c r="I161" s="28" t="str">
        <f>集計用!O18</f>
        <v/>
      </c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</row>
    <row r="162" spans="2:20">
      <c r="B162" s="24">
        <v>18</v>
      </c>
      <c r="C162" s="25" t="str">
        <f>集計用!I19</f>
        <v/>
      </c>
      <c r="D162" s="25"/>
      <c r="E162" s="26" t="str">
        <f>集計用!L19</f>
        <v/>
      </c>
      <c r="F162" s="26"/>
      <c r="G162" s="27" t="str">
        <f>集計用!M19</f>
        <v/>
      </c>
      <c r="H162" s="27"/>
      <c r="I162" s="28" t="str">
        <f>集計用!O19</f>
        <v/>
      </c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</row>
    <row r="163" spans="2:20">
      <c r="B163" s="24">
        <v>19</v>
      </c>
      <c r="C163" s="25" t="str">
        <f>集計用!I20</f>
        <v/>
      </c>
      <c r="D163" s="25"/>
      <c r="E163" s="26" t="str">
        <f>集計用!L20</f>
        <v/>
      </c>
      <c r="F163" s="26"/>
      <c r="G163" s="27" t="str">
        <f>集計用!M20</f>
        <v/>
      </c>
      <c r="H163" s="27"/>
      <c r="I163" s="28" t="str">
        <f>集計用!O20</f>
        <v/>
      </c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</row>
    <row r="164" spans="2:20">
      <c r="B164" s="24">
        <v>20</v>
      </c>
      <c r="C164" s="25" t="str">
        <f>集計用!I21</f>
        <v/>
      </c>
      <c r="D164" s="25"/>
      <c r="E164" s="26" t="str">
        <f>集計用!L21</f>
        <v/>
      </c>
      <c r="F164" s="26"/>
      <c r="G164" s="27" t="str">
        <f>集計用!M21</f>
        <v/>
      </c>
      <c r="H164" s="27"/>
      <c r="I164" s="28" t="str">
        <f>集計用!O21</f>
        <v/>
      </c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</row>
    <row r="165" spans="2:20">
      <c r="B165" s="24">
        <v>21</v>
      </c>
      <c r="C165" s="25" t="str">
        <f>集計用!I22</f>
        <v/>
      </c>
      <c r="D165" s="25"/>
      <c r="E165" s="26" t="str">
        <f>集計用!L22</f>
        <v/>
      </c>
      <c r="F165" s="26"/>
      <c r="G165" s="27" t="str">
        <f>集計用!M22</f>
        <v/>
      </c>
      <c r="H165" s="27"/>
      <c r="I165" s="28" t="str">
        <f>集計用!O22</f>
        <v/>
      </c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</row>
    <row r="166" spans="2:20">
      <c r="B166" s="24">
        <v>22</v>
      </c>
      <c r="C166" s="25" t="str">
        <f>集計用!I23</f>
        <v/>
      </c>
      <c r="D166" s="25"/>
      <c r="E166" s="26" t="str">
        <f>集計用!L23</f>
        <v/>
      </c>
      <c r="F166" s="26"/>
      <c r="G166" s="27" t="str">
        <f>集計用!M23</f>
        <v/>
      </c>
      <c r="H166" s="27"/>
      <c r="I166" s="28" t="str">
        <f>集計用!O23</f>
        <v/>
      </c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</row>
    <row r="167" spans="2:20">
      <c r="B167" s="24">
        <v>23</v>
      </c>
      <c r="C167" s="25" t="str">
        <f>集計用!I24</f>
        <v/>
      </c>
      <c r="D167" s="25"/>
      <c r="E167" s="26" t="str">
        <f>集計用!L24</f>
        <v/>
      </c>
      <c r="F167" s="26"/>
      <c r="G167" s="27" t="str">
        <f>集計用!M24</f>
        <v/>
      </c>
      <c r="H167" s="27"/>
      <c r="I167" s="28" t="str">
        <f>集計用!O24</f>
        <v/>
      </c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</row>
    <row r="168" spans="2:20">
      <c r="B168" s="24">
        <v>24</v>
      </c>
      <c r="C168" s="25" t="str">
        <f>集計用!I25</f>
        <v/>
      </c>
      <c r="D168" s="25"/>
      <c r="E168" s="26" t="str">
        <f>集計用!L25</f>
        <v/>
      </c>
      <c r="F168" s="26"/>
      <c r="G168" s="27" t="str">
        <f>集計用!M25</f>
        <v/>
      </c>
      <c r="H168" s="27"/>
      <c r="I168" s="28" t="str">
        <f>集計用!O25</f>
        <v/>
      </c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</row>
    <row r="169" spans="2:20">
      <c r="B169" s="24">
        <v>25</v>
      </c>
      <c r="C169" s="25" t="str">
        <f>集計用!I26</f>
        <v/>
      </c>
      <c r="D169" s="25"/>
      <c r="E169" s="26" t="str">
        <f>集計用!L26</f>
        <v/>
      </c>
      <c r="F169" s="26"/>
      <c r="G169" s="27" t="str">
        <f>集計用!M26</f>
        <v/>
      </c>
      <c r="H169" s="27"/>
      <c r="I169" s="28" t="str">
        <f>集計用!O26</f>
        <v/>
      </c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</row>
    <row r="170" spans="2:20">
      <c r="B170" s="24">
        <v>26</v>
      </c>
      <c r="C170" s="25" t="str">
        <f>集計用!I27</f>
        <v/>
      </c>
      <c r="D170" s="25"/>
      <c r="E170" s="26" t="str">
        <f>集計用!L27</f>
        <v/>
      </c>
      <c r="F170" s="26"/>
      <c r="G170" s="27" t="str">
        <f>集計用!M27</f>
        <v/>
      </c>
      <c r="H170" s="27"/>
      <c r="I170" s="28" t="str">
        <f>集計用!O27</f>
        <v/>
      </c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</row>
    <row r="171" spans="2:20">
      <c r="B171" s="24">
        <v>27</v>
      </c>
      <c r="C171" s="25" t="str">
        <f>集計用!I28</f>
        <v/>
      </c>
      <c r="D171" s="25"/>
      <c r="E171" s="26" t="str">
        <f>集計用!L28</f>
        <v/>
      </c>
      <c r="F171" s="26"/>
      <c r="G171" s="27" t="str">
        <f>集計用!M28</f>
        <v/>
      </c>
      <c r="H171" s="27"/>
      <c r="I171" s="28" t="str">
        <f>集計用!O28</f>
        <v/>
      </c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</row>
    <row r="172" spans="2:20">
      <c r="B172" s="24">
        <v>28</v>
      </c>
      <c r="C172" s="25" t="str">
        <f>集計用!I29</f>
        <v/>
      </c>
      <c r="D172" s="25"/>
      <c r="E172" s="26" t="str">
        <f>集計用!L29</f>
        <v/>
      </c>
      <c r="F172" s="26"/>
      <c r="G172" s="27" t="str">
        <f>集計用!M29</f>
        <v/>
      </c>
      <c r="H172" s="27"/>
      <c r="I172" s="28" t="str">
        <f>集計用!O29</f>
        <v/>
      </c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</row>
    <row r="173" spans="2:20">
      <c r="B173" s="24">
        <v>29</v>
      </c>
      <c r="C173" s="25" t="str">
        <f>集計用!I30</f>
        <v/>
      </c>
      <c r="D173" s="25"/>
      <c r="E173" s="26" t="str">
        <f>集計用!L30</f>
        <v/>
      </c>
      <c r="F173" s="26"/>
      <c r="G173" s="27" t="str">
        <f>集計用!M30</f>
        <v/>
      </c>
      <c r="H173" s="27"/>
      <c r="I173" s="28" t="str">
        <f>集計用!O30</f>
        <v/>
      </c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</row>
    <row r="174" spans="2:20">
      <c r="B174" s="24">
        <v>30</v>
      </c>
      <c r="C174" s="25" t="str">
        <f>集計用!I31</f>
        <v/>
      </c>
      <c r="D174" s="25"/>
      <c r="E174" s="26" t="str">
        <f>集計用!L31</f>
        <v/>
      </c>
      <c r="F174" s="26"/>
      <c r="G174" s="27" t="str">
        <f>集計用!M31</f>
        <v/>
      </c>
      <c r="H174" s="27"/>
      <c r="I174" s="28" t="str">
        <f>集計用!O31</f>
        <v/>
      </c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</row>
    <row r="175" spans="2:20">
      <c r="B175" s="24">
        <v>31</v>
      </c>
      <c r="C175" s="25" t="str">
        <f>集計用!I32</f>
        <v/>
      </c>
      <c r="D175" s="25"/>
      <c r="E175" s="26" t="str">
        <f>集計用!L32</f>
        <v/>
      </c>
      <c r="F175" s="26"/>
      <c r="G175" s="27" t="str">
        <f>集計用!M32</f>
        <v/>
      </c>
      <c r="H175" s="27"/>
      <c r="I175" s="28" t="str">
        <f>集計用!O32</f>
        <v/>
      </c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</row>
    <row r="176" spans="2:20">
      <c r="B176" s="24">
        <v>32</v>
      </c>
      <c r="C176" s="25" t="str">
        <f>集計用!I33</f>
        <v/>
      </c>
      <c r="D176" s="25"/>
      <c r="E176" s="26" t="str">
        <f>集計用!L33</f>
        <v/>
      </c>
      <c r="F176" s="26"/>
      <c r="G176" s="27" t="str">
        <f>集計用!M33</f>
        <v/>
      </c>
      <c r="H176" s="27"/>
      <c r="I176" s="28" t="str">
        <f>集計用!O33</f>
        <v/>
      </c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</row>
    <row r="177" spans="2:20">
      <c r="B177" s="24">
        <v>33</v>
      </c>
      <c r="C177" s="25" t="str">
        <f>集計用!I34</f>
        <v/>
      </c>
      <c r="D177" s="25"/>
      <c r="E177" s="26" t="str">
        <f>集計用!L34</f>
        <v/>
      </c>
      <c r="F177" s="26"/>
      <c r="G177" s="27" t="str">
        <f>集計用!M34</f>
        <v/>
      </c>
      <c r="H177" s="27"/>
      <c r="I177" s="28" t="str">
        <f>集計用!O34</f>
        <v/>
      </c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</row>
    <row r="178" spans="2:20">
      <c r="B178" s="24">
        <v>34</v>
      </c>
      <c r="C178" s="25" t="str">
        <f>集計用!I35</f>
        <v/>
      </c>
      <c r="D178" s="25"/>
      <c r="E178" s="26" t="str">
        <f>集計用!L35</f>
        <v/>
      </c>
      <c r="F178" s="26"/>
      <c r="G178" s="27" t="str">
        <f>集計用!M35</f>
        <v/>
      </c>
      <c r="H178" s="27"/>
      <c r="I178" s="28" t="str">
        <f>集計用!O35</f>
        <v/>
      </c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</row>
    <row r="179" spans="2:20">
      <c r="B179" s="24">
        <v>35</v>
      </c>
      <c r="C179" s="25" t="str">
        <f>集計用!I36</f>
        <v/>
      </c>
      <c r="D179" s="25"/>
      <c r="E179" s="26" t="str">
        <f>集計用!L36</f>
        <v/>
      </c>
      <c r="F179" s="26"/>
      <c r="G179" s="27" t="str">
        <f>集計用!M36</f>
        <v/>
      </c>
      <c r="H179" s="27"/>
      <c r="I179" s="28" t="str">
        <f>集計用!O36</f>
        <v/>
      </c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</row>
    <row r="180" spans="2:20">
      <c r="B180" s="24">
        <v>36</v>
      </c>
      <c r="C180" s="25" t="str">
        <f>集計用!I37</f>
        <v/>
      </c>
      <c r="D180" s="25"/>
      <c r="E180" s="26" t="str">
        <f>集計用!L37</f>
        <v/>
      </c>
      <c r="F180" s="26"/>
      <c r="G180" s="27" t="str">
        <f>集計用!M37</f>
        <v/>
      </c>
      <c r="H180" s="27"/>
      <c r="I180" s="28" t="str">
        <f>集計用!O37</f>
        <v/>
      </c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</row>
    <row r="181" spans="2:20">
      <c r="B181" s="24">
        <v>37</v>
      </c>
      <c r="C181" s="25" t="str">
        <f>集計用!I38</f>
        <v/>
      </c>
      <c r="D181" s="25"/>
      <c r="E181" s="26" t="str">
        <f>集計用!L38</f>
        <v/>
      </c>
      <c r="F181" s="26"/>
      <c r="G181" s="27" t="str">
        <f>集計用!M38</f>
        <v/>
      </c>
      <c r="H181" s="27"/>
      <c r="I181" s="28" t="str">
        <f>集計用!O38</f>
        <v/>
      </c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</row>
    <row r="182" spans="2:20">
      <c r="B182" s="24">
        <v>38</v>
      </c>
      <c r="C182" s="25" t="str">
        <f>集計用!I39</f>
        <v/>
      </c>
      <c r="D182" s="25"/>
      <c r="E182" s="26" t="str">
        <f>集計用!L39</f>
        <v/>
      </c>
      <c r="F182" s="26"/>
      <c r="G182" s="27" t="str">
        <f>集計用!M39</f>
        <v/>
      </c>
      <c r="H182" s="27"/>
      <c r="I182" s="28" t="str">
        <f>集計用!O39</f>
        <v/>
      </c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</row>
    <row r="183" spans="2:20">
      <c r="B183" s="24">
        <v>39</v>
      </c>
      <c r="C183" s="25" t="str">
        <f>集計用!I40</f>
        <v/>
      </c>
      <c r="D183" s="25"/>
      <c r="E183" s="26" t="str">
        <f>集計用!L40</f>
        <v/>
      </c>
      <c r="F183" s="26"/>
      <c r="G183" s="27" t="str">
        <f>集計用!M40</f>
        <v/>
      </c>
      <c r="H183" s="27"/>
      <c r="I183" s="28" t="str">
        <f>集計用!O40</f>
        <v/>
      </c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</row>
    <row r="184" spans="2:20">
      <c r="B184" s="24">
        <v>40</v>
      </c>
      <c r="C184" s="25" t="str">
        <f>集計用!I41</f>
        <v/>
      </c>
      <c r="D184" s="25"/>
      <c r="E184" s="26" t="str">
        <f>集計用!L41</f>
        <v/>
      </c>
      <c r="F184" s="26"/>
      <c r="G184" s="27" t="str">
        <f>集計用!M41</f>
        <v/>
      </c>
      <c r="H184" s="27"/>
      <c r="I184" s="28" t="str">
        <f>集計用!O41</f>
        <v/>
      </c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</row>
    <row r="185" spans="2:20">
      <c r="B185" s="24">
        <v>41</v>
      </c>
      <c r="C185" s="25" t="str">
        <f>集計用!I42</f>
        <v/>
      </c>
      <c r="D185" s="25"/>
      <c r="E185" s="26" t="str">
        <f>集計用!L42</f>
        <v/>
      </c>
      <c r="F185" s="26"/>
      <c r="G185" s="27" t="str">
        <f>集計用!M42</f>
        <v/>
      </c>
      <c r="H185" s="27"/>
      <c r="I185" s="28" t="str">
        <f>集計用!O42</f>
        <v/>
      </c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</row>
    <row r="186" spans="2:20">
      <c r="B186" s="24">
        <v>42</v>
      </c>
      <c r="C186" s="25" t="str">
        <f>集計用!I43</f>
        <v/>
      </c>
      <c r="D186" s="25"/>
      <c r="E186" s="26" t="str">
        <f>集計用!L43</f>
        <v/>
      </c>
      <c r="F186" s="26"/>
      <c r="G186" s="27" t="str">
        <f>集計用!M43</f>
        <v/>
      </c>
      <c r="H186" s="27"/>
      <c r="I186" s="28" t="str">
        <f>集計用!O43</f>
        <v/>
      </c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</row>
    <row r="187" spans="2:20">
      <c r="B187" s="24">
        <v>43</v>
      </c>
      <c r="C187" s="25" t="str">
        <f>集計用!I44</f>
        <v/>
      </c>
      <c r="D187" s="25"/>
      <c r="E187" s="26" t="str">
        <f>集計用!L44</f>
        <v/>
      </c>
      <c r="F187" s="26"/>
      <c r="G187" s="27" t="str">
        <f>集計用!M44</f>
        <v/>
      </c>
      <c r="H187" s="27"/>
      <c r="I187" s="28" t="str">
        <f>集計用!O44</f>
        <v/>
      </c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</row>
    <row r="188" spans="2:20">
      <c r="B188" s="24">
        <v>44</v>
      </c>
      <c r="C188" s="25" t="str">
        <f>集計用!I45</f>
        <v/>
      </c>
      <c r="D188" s="25"/>
      <c r="E188" s="26" t="str">
        <f>集計用!L45</f>
        <v/>
      </c>
      <c r="F188" s="26"/>
      <c r="G188" s="27" t="str">
        <f>集計用!M45</f>
        <v/>
      </c>
      <c r="H188" s="27"/>
      <c r="I188" s="28" t="str">
        <f>集計用!O45</f>
        <v/>
      </c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</row>
    <row r="189" spans="2:20">
      <c r="B189" s="24">
        <v>45</v>
      </c>
      <c r="C189" s="25" t="str">
        <f>集計用!I46</f>
        <v/>
      </c>
      <c r="D189" s="25"/>
      <c r="E189" s="26" t="str">
        <f>集計用!L46</f>
        <v/>
      </c>
      <c r="F189" s="26"/>
      <c r="G189" s="27" t="str">
        <f>集計用!M46</f>
        <v/>
      </c>
      <c r="H189" s="27"/>
      <c r="I189" s="28" t="str">
        <f>集計用!O46</f>
        <v/>
      </c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</row>
    <row r="190" spans="2:20">
      <c r="B190" s="24">
        <v>46</v>
      </c>
      <c r="C190" s="25" t="str">
        <f>集計用!I47</f>
        <v/>
      </c>
      <c r="D190" s="25"/>
      <c r="E190" s="26" t="str">
        <f>集計用!L47</f>
        <v/>
      </c>
      <c r="F190" s="26"/>
      <c r="G190" s="27" t="str">
        <f>集計用!M47</f>
        <v/>
      </c>
      <c r="H190" s="27"/>
      <c r="I190" s="28" t="str">
        <f>集計用!O47</f>
        <v/>
      </c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</row>
    <row r="191" spans="2:20">
      <c r="B191" s="24">
        <v>47</v>
      </c>
      <c r="C191" s="25" t="str">
        <f>集計用!I48</f>
        <v/>
      </c>
      <c r="D191" s="25"/>
      <c r="E191" s="26" t="str">
        <f>集計用!L48</f>
        <v/>
      </c>
      <c r="F191" s="26"/>
      <c r="G191" s="27" t="str">
        <f>集計用!M48</f>
        <v/>
      </c>
      <c r="H191" s="27"/>
      <c r="I191" s="28" t="str">
        <f>集計用!O48</f>
        <v/>
      </c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</row>
    <row r="192" spans="2:20">
      <c r="B192" s="24">
        <v>48</v>
      </c>
      <c r="C192" s="25" t="str">
        <f>集計用!I49</f>
        <v/>
      </c>
      <c r="D192" s="25"/>
      <c r="E192" s="26" t="str">
        <f>集計用!L49</f>
        <v/>
      </c>
      <c r="F192" s="26"/>
      <c r="G192" s="27" t="str">
        <f>集計用!M49</f>
        <v/>
      </c>
      <c r="H192" s="27"/>
      <c r="I192" s="28" t="str">
        <f>集計用!O49</f>
        <v/>
      </c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</row>
    <row r="193" spans="2:20">
      <c r="B193" s="24">
        <v>49</v>
      </c>
      <c r="C193" s="25" t="str">
        <f>集計用!I50</f>
        <v/>
      </c>
      <c r="D193" s="25"/>
      <c r="E193" s="26" t="str">
        <f>集計用!L50</f>
        <v/>
      </c>
      <c r="F193" s="26"/>
      <c r="G193" s="27" t="str">
        <f>集計用!M50</f>
        <v/>
      </c>
      <c r="H193" s="27"/>
      <c r="I193" s="28" t="str">
        <f>集計用!O50</f>
        <v/>
      </c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</row>
    <row r="194" spans="2:20">
      <c r="B194" s="24">
        <v>50</v>
      </c>
      <c r="C194" s="25" t="str">
        <f>集計用!I51</f>
        <v/>
      </c>
      <c r="D194" s="25"/>
      <c r="E194" s="26" t="str">
        <f>集計用!L51</f>
        <v/>
      </c>
      <c r="F194" s="26"/>
      <c r="G194" s="27" t="str">
        <f>集計用!M51</f>
        <v/>
      </c>
      <c r="H194" s="27"/>
      <c r="I194" s="28" t="str">
        <f>集計用!O51</f>
        <v/>
      </c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</row>
    <row r="198" spans="2:20">
      <c r="B198" s="17" t="s">
        <v>67</v>
      </c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</row>
    <row r="199" spans="2:20">
      <c r="B199" s="18" t="s">
        <v>68</v>
      </c>
      <c r="C199" s="18"/>
      <c r="D199" s="18"/>
      <c r="E199" s="18"/>
      <c r="F199" s="18" t="s">
        <v>69</v>
      </c>
      <c r="G199" s="18"/>
      <c r="H199" s="18"/>
      <c r="I199" s="18"/>
      <c r="J199" s="18" t="s">
        <v>70</v>
      </c>
      <c r="K199" s="18"/>
      <c r="L199" s="18"/>
      <c r="M199" s="18"/>
      <c r="N199" s="18" t="s">
        <v>71</v>
      </c>
      <c r="O199" s="18"/>
      <c r="P199" s="18"/>
      <c r="Q199" s="18"/>
      <c r="R199" s="18"/>
      <c r="S199" s="18"/>
      <c r="T199" s="18"/>
    </row>
    <row r="200" spans="2:20"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</row>
    <row r="201" spans="2:20"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</row>
    <row r="204" spans="2:20">
      <c r="B204" s="19" t="str">
        <f>"※目標値：ピッキング"&amp;TEXT(入力!$B$5,"0.0")&amp;"分/個、梱包"&amp;TEXT(入力!$C$5,"0.0")&amp;"分/個、合計"&amp;TEXT(入力!$D$5,"0.0")&amp;"分/個 ／ 達成率＝"&amp;TEXT(入力!$D$5,"0.0")&amp;" ÷ 実績合計 × 100"</f>
        <v>※目標値：ピッキング1.6分/個、梱包1.6分/個、合計3.2分/個 ／ 達成率＝3.2 ÷ 実績合計 × 100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</sheetData>
  <mergeCells count="233">
    <mergeCell ref="B1:T1"/>
    <mergeCell ref="B2:T2"/>
    <mergeCell ref="Q3:T5"/>
    <mergeCell ref="B5:C5"/>
    <mergeCell ref="B6:C6"/>
    <mergeCell ref="D5:E5"/>
    <mergeCell ref="D6:E6"/>
    <mergeCell ref="F5:G5"/>
    <mergeCell ref="F6:G6"/>
    <mergeCell ref="H5:I5"/>
    <mergeCell ref="H6:I6"/>
    <mergeCell ref="J5:K5"/>
    <mergeCell ref="J6:K6"/>
    <mergeCell ref="L5:M5"/>
    <mergeCell ref="L6:M6"/>
    <mergeCell ref="B9:T9"/>
    <mergeCell ref="B50:T50"/>
    <mergeCell ref="B92:T92"/>
    <mergeCell ref="B140:T140"/>
    <mergeCell ref="B143:B144"/>
    <mergeCell ref="C143:D144"/>
    <mergeCell ref="E143:F144"/>
    <mergeCell ref="G143:H144"/>
    <mergeCell ref="I143:T144"/>
    <mergeCell ref="C145:D145"/>
    <mergeCell ref="E145:F145"/>
    <mergeCell ref="G145:H145"/>
    <mergeCell ref="I145:T145"/>
    <mergeCell ref="C146:D146"/>
    <mergeCell ref="E146:F146"/>
    <mergeCell ref="G146:H146"/>
    <mergeCell ref="I146:T146"/>
    <mergeCell ref="C147:D147"/>
    <mergeCell ref="E147:F147"/>
    <mergeCell ref="G147:H147"/>
    <mergeCell ref="I147:T147"/>
    <mergeCell ref="C148:D148"/>
    <mergeCell ref="E148:F148"/>
    <mergeCell ref="G148:H148"/>
    <mergeCell ref="I148:T148"/>
    <mergeCell ref="C149:D149"/>
    <mergeCell ref="E149:F149"/>
    <mergeCell ref="G149:H149"/>
    <mergeCell ref="I149:T149"/>
    <mergeCell ref="C150:D150"/>
    <mergeCell ref="E150:F150"/>
    <mergeCell ref="G150:H150"/>
    <mergeCell ref="I150:T150"/>
    <mergeCell ref="C151:D151"/>
    <mergeCell ref="E151:F151"/>
    <mergeCell ref="G151:H151"/>
    <mergeCell ref="I151:T151"/>
    <mergeCell ref="C152:D152"/>
    <mergeCell ref="E152:F152"/>
    <mergeCell ref="G152:H152"/>
    <mergeCell ref="I152:T152"/>
    <mergeCell ref="C153:D153"/>
    <mergeCell ref="E153:F153"/>
    <mergeCell ref="G153:H153"/>
    <mergeCell ref="I153:T153"/>
    <mergeCell ref="C154:D154"/>
    <mergeCell ref="E154:F154"/>
    <mergeCell ref="G154:H154"/>
    <mergeCell ref="I154:T154"/>
    <mergeCell ref="C155:D155"/>
    <mergeCell ref="E155:F155"/>
    <mergeCell ref="G155:H155"/>
    <mergeCell ref="I155:T155"/>
    <mergeCell ref="C156:D156"/>
    <mergeCell ref="E156:F156"/>
    <mergeCell ref="G156:H156"/>
    <mergeCell ref="I156:T156"/>
    <mergeCell ref="C157:D157"/>
    <mergeCell ref="E157:F157"/>
    <mergeCell ref="G157:H157"/>
    <mergeCell ref="I157:T157"/>
    <mergeCell ref="C158:D158"/>
    <mergeCell ref="E158:F158"/>
    <mergeCell ref="G158:H158"/>
    <mergeCell ref="I158:T158"/>
    <mergeCell ref="C159:D159"/>
    <mergeCell ref="E159:F159"/>
    <mergeCell ref="G159:H159"/>
    <mergeCell ref="I159:T159"/>
    <mergeCell ref="C160:D160"/>
    <mergeCell ref="E160:F160"/>
    <mergeCell ref="G160:H160"/>
    <mergeCell ref="I160:T160"/>
    <mergeCell ref="C161:D161"/>
    <mergeCell ref="E161:F161"/>
    <mergeCell ref="G161:H161"/>
    <mergeCell ref="I161:T161"/>
    <mergeCell ref="C162:D162"/>
    <mergeCell ref="E162:F162"/>
    <mergeCell ref="G162:H162"/>
    <mergeCell ref="I162:T162"/>
    <mergeCell ref="C163:D163"/>
    <mergeCell ref="E163:F163"/>
    <mergeCell ref="G163:H163"/>
    <mergeCell ref="I163:T163"/>
    <mergeCell ref="C164:D164"/>
    <mergeCell ref="E164:F164"/>
    <mergeCell ref="G164:H164"/>
    <mergeCell ref="I164:T164"/>
    <mergeCell ref="C165:D165"/>
    <mergeCell ref="E165:F165"/>
    <mergeCell ref="G165:H165"/>
    <mergeCell ref="I165:T165"/>
    <mergeCell ref="C166:D166"/>
    <mergeCell ref="E166:F166"/>
    <mergeCell ref="G166:H166"/>
    <mergeCell ref="I166:T166"/>
    <mergeCell ref="C167:D167"/>
    <mergeCell ref="E167:F167"/>
    <mergeCell ref="G167:H167"/>
    <mergeCell ref="I167:T167"/>
    <mergeCell ref="C168:D168"/>
    <mergeCell ref="E168:F168"/>
    <mergeCell ref="G168:H168"/>
    <mergeCell ref="I168:T168"/>
    <mergeCell ref="C169:D169"/>
    <mergeCell ref="E169:F169"/>
    <mergeCell ref="G169:H169"/>
    <mergeCell ref="I169:T169"/>
    <mergeCell ref="C170:D170"/>
    <mergeCell ref="E170:F170"/>
    <mergeCell ref="G170:H170"/>
    <mergeCell ref="I170:T170"/>
    <mergeCell ref="C171:D171"/>
    <mergeCell ref="E171:F171"/>
    <mergeCell ref="G171:H171"/>
    <mergeCell ref="I171:T171"/>
    <mergeCell ref="C172:D172"/>
    <mergeCell ref="E172:F172"/>
    <mergeCell ref="G172:H172"/>
    <mergeCell ref="I172:T172"/>
    <mergeCell ref="C173:D173"/>
    <mergeCell ref="E173:F173"/>
    <mergeCell ref="G173:H173"/>
    <mergeCell ref="I173:T173"/>
    <mergeCell ref="C174:D174"/>
    <mergeCell ref="E174:F174"/>
    <mergeCell ref="G174:H174"/>
    <mergeCell ref="I174:T174"/>
    <mergeCell ref="C175:D175"/>
    <mergeCell ref="E175:F175"/>
    <mergeCell ref="G175:H175"/>
    <mergeCell ref="I175:T175"/>
    <mergeCell ref="C176:D176"/>
    <mergeCell ref="E176:F176"/>
    <mergeCell ref="G176:H176"/>
    <mergeCell ref="I176:T176"/>
    <mergeCell ref="C177:D177"/>
    <mergeCell ref="E177:F177"/>
    <mergeCell ref="G177:H177"/>
    <mergeCell ref="I177:T177"/>
    <mergeCell ref="C178:D178"/>
    <mergeCell ref="E178:F178"/>
    <mergeCell ref="G178:H178"/>
    <mergeCell ref="I178:T178"/>
    <mergeCell ref="C179:D179"/>
    <mergeCell ref="E179:F179"/>
    <mergeCell ref="G179:H179"/>
    <mergeCell ref="I179:T179"/>
    <mergeCell ref="C180:D180"/>
    <mergeCell ref="E180:F180"/>
    <mergeCell ref="G180:H180"/>
    <mergeCell ref="I180:T180"/>
    <mergeCell ref="C181:D181"/>
    <mergeCell ref="E181:F181"/>
    <mergeCell ref="G181:H181"/>
    <mergeCell ref="I181:T181"/>
    <mergeCell ref="C182:D182"/>
    <mergeCell ref="E182:F182"/>
    <mergeCell ref="G182:H182"/>
    <mergeCell ref="I182:T182"/>
    <mergeCell ref="C183:D183"/>
    <mergeCell ref="E183:F183"/>
    <mergeCell ref="G183:H183"/>
    <mergeCell ref="I183:T183"/>
    <mergeCell ref="C184:D184"/>
    <mergeCell ref="E184:F184"/>
    <mergeCell ref="G184:H184"/>
    <mergeCell ref="I184:T184"/>
    <mergeCell ref="C185:D185"/>
    <mergeCell ref="E185:F185"/>
    <mergeCell ref="G185:H185"/>
    <mergeCell ref="I185:T185"/>
    <mergeCell ref="C186:D186"/>
    <mergeCell ref="E186:F186"/>
    <mergeCell ref="G186:H186"/>
    <mergeCell ref="I186:T186"/>
    <mergeCell ref="C187:D187"/>
    <mergeCell ref="E187:F187"/>
    <mergeCell ref="G187:H187"/>
    <mergeCell ref="I187:T187"/>
    <mergeCell ref="C188:D188"/>
    <mergeCell ref="E188:F188"/>
    <mergeCell ref="G188:H188"/>
    <mergeCell ref="I188:T188"/>
    <mergeCell ref="C189:D189"/>
    <mergeCell ref="E189:F189"/>
    <mergeCell ref="G189:H189"/>
    <mergeCell ref="I189:T189"/>
    <mergeCell ref="C190:D190"/>
    <mergeCell ref="E190:F190"/>
    <mergeCell ref="G190:H190"/>
    <mergeCell ref="I190:T190"/>
    <mergeCell ref="C191:D191"/>
    <mergeCell ref="E191:F191"/>
    <mergeCell ref="G191:H191"/>
    <mergeCell ref="I191:T191"/>
    <mergeCell ref="C192:D192"/>
    <mergeCell ref="E192:F192"/>
    <mergeCell ref="G192:H192"/>
    <mergeCell ref="I192:T192"/>
    <mergeCell ref="C193:D193"/>
    <mergeCell ref="E193:F193"/>
    <mergeCell ref="G193:H193"/>
    <mergeCell ref="I193:T193"/>
    <mergeCell ref="C194:D194"/>
    <mergeCell ref="E194:F194"/>
    <mergeCell ref="G194:H194"/>
    <mergeCell ref="I194:T194"/>
    <mergeCell ref="B198:E198"/>
    <mergeCell ref="B199:E201"/>
    <mergeCell ref="F198:I198"/>
    <mergeCell ref="F199:I201"/>
    <mergeCell ref="J198:M198"/>
    <mergeCell ref="J199:M201"/>
    <mergeCell ref="N198:T198"/>
    <mergeCell ref="N199:T201"/>
    <mergeCell ref="B204:T204"/>
  </mergeCells>
  <conditionalFormatting sqref="B145:B194">
    <cfRule type="expression" dxfId="7" priority="1" stopIfTrue="1">
      <formula>AND($C145&lt;&gt;"",$G145&lt;=0)</formula>
    </cfRule>
    <cfRule type="expression" dxfId="6" priority="2">
      <formula>$C145&lt;&gt;""</formula>
    </cfRule>
  </conditionalFormatting>
  <conditionalFormatting sqref="G145:H194">
    <cfRule type="cellIs" dxfId="4" priority="3" operator="lessThanOrEqual">
      <formula>0</formula>
    </cfRule>
  </conditionalFormatting>
  <conditionalFormatting sqref="C145:T194">
    <cfRule type="expression" dxfId="5" priority="4">
      <formula>$C145&lt;&gt;""</formula>
    </cfRule>
  </conditionalFormatting>
  <hyperlinks>
    <hyperlink ref="B3" location="'入力'!B9" display="入力シートへ移動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8"/>
  <sheetViews>
    <sheetView zoomScale="90" zoomScaleNormal="90" workbookViewId="0">
      <pane ySplit="8" topLeftCell="A9" activePane="bottomLeft" state="frozen"/>
      <selection pane="bottomLeft"/>
    </sheetView>
  </sheetViews>
  <sheetFormatPr defaultRowHeight="15"/>
  <cols>
    <col min="1" max="1" width="5.7109375" customWidth="1"/>
    <col min="2" max="2" width="16.7109375" customWidth="1"/>
    <col min="3" max="5" width="14.7109375" customWidth="1"/>
    <col min="6" max="9" width="12.7109375" customWidth="1"/>
    <col min="10" max="10" width="18.7109375" customWidth="1"/>
    <col min="11" max="11" width="20.7109375" customWidth="1"/>
    <col min="12" max="13" width="0" hidden="1" customWidth="1"/>
    <col min="14" max="14" width="0" hidden="1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>
      <c r="A3" s="11" t="s">
        <v>1</v>
      </c>
      <c r="B3" s="11"/>
      <c r="C3" s="11"/>
      <c r="D3" s="11"/>
      <c r="F3" s="20" t="s">
        <v>7</v>
      </c>
      <c r="G3" s="20"/>
      <c r="H3" s="20"/>
      <c r="I3" s="20"/>
      <c r="J3" s="20"/>
      <c r="K3" s="20"/>
      <c r="L3" s="20"/>
      <c r="M3" s="20"/>
    </row>
    <row r="4" spans="1:13">
      <c r="A4" s="11" t="s">
        <v>2</v>
      </c>
      <c r="B4" s="11" t="s">
        <v>3</v>
      </c>
      <c r="C4" s="11" t="s">
        <v>4</v>
      </c>
      <c r="D4" s="11" t="s">
        <v>5</v>
      </c>
      <c r="F4" s="20"/>
      <c r="G4" s="20"/>
      <c r="H4" s="20"/>
      <c r="I4" s="20"/>
      <c r="J4" s="20"/>
      <c r="K4" s="20"/>
      <c r="L4" s="20"/>
      <c r="M4" s="20"/>
    </row>
    <row r="5" spans="1:13">
      <c r="A5" s="8" t="s">
        <v>6</v>
      </c>
      <c r="B5" s="21">
        <v>1.6</v>
      </c>
      <c r="C5" s="21">
        <v>1.6</v>
      </c>
      <c r="D5" s="9">
        <f>B5+C5</f>
        <v>3.2</v>
      </c>
      <c r="F5" s="20"/>
      <c r="G5" s="20"/>
      <c r="H5" s="20"/>
      <c r="I5" s="20"/>
      <c r="J5" s="20"/>
      <c r="K5" s="20"/>
      <c r="L5" s="20"/>
      <c r="M5" s="20"/>
    </row>
    <row r="6" spans="1:13">
      <c r="F6" s="3" t="s">
        <v>8</v>
      </c>
    </row>
    <row r="8" spans="1:14" ht="34" customHeight="1">
      <c r="A8" s="11" t="s">
        <v>9</v>
      </c>
      <c r="B8" s="11" t="s">
        <v>10</v>
      </c>
      <c r="C8" s="11" t="s">
        <v>11</v>
      </c>
      <c r="D8" s="11" t="s">
        <v>12</v>
      </c>
      <c r="E8" s="11" t="s">
        <v>13</v>
      </c>
      <c r="F8" s="11" t="s">
        <v>14</v>
      </c>
      <c r="G8" s="11" t="s">
        <v>15</v>
      </c>
      <c r="H8" s="11" t="s">
        <v>16</v>
      </c>
      <c r="I8" s="11" t="s">
        <v>17</v>
      </c>
      <c r="J8" s="11" t="s">
        <v>18</v>
      </c>
      <c r="K8" s="11" t="s">
        <v>19</v>
      </c>
      <c r="L8" s="11" t="s">
        <v>20</v>
      </c>
      <c r="M8" s="11" t="s">
        <v>21</v>
      </c>
      <c r="N8" s="11" t="inlineStr">
        <is>
          <t>表示順キー</t>
        </is>
      </c>
    </row>
    <row r="9" spans="1:14">
      <c r="A9" s="8">
        <v>1</v>
      </c>
      <c r="B9" s="22" t="s">
        <v>22</v>
      </c>
      <c r="C9" s="21">
        <v>1.35</v>
      </c>
      <c r="D9" s="21">
        <v>1.42</v>
      </c>
      <c r="E9" s="9">
        <f>IF(OR(B9="",NOT(ISNUMBER(C9)),NOT(ISNUMBER(D9))),"",C9+D9)</f>
        <v>2.77</v>
      </c>
      <c r="F9" s="7">
        <f>IF(OR(E9="",E9=0),"",$D$5/E9)</f>
        <v>1.1552346570397112</v>
      </c>
      <c r="G9" s="9">
        <f>IF(OR(B9="",NOT(ISNUMBER(C9))),"",C9-$B$5)</f>
        <v>-0.25</v>
      </c>
      <c r="H9" s="9">
        <f>IF(OR(B9="",NOT(ISNUMBER(D9))),"",D9-$C$5)</f>
        <v>-0.18000000000000016</v>
      </c>
      <c r="I9" s="9">
        <f>IF(OR(E9="",E9=0),"",E9-$D$5)</f>
        <v>-0.43000000000000016</v>
      </c>
      <c r="J9" s="14" t="str">
        <f>IF(OR(E9="",E9=0),"",IF(AND(G9&gt;0,H9&gt;0),"要改善（両方遅い）",IF(G9&gt;0,"ピッキング改善",IF(H9&gt;0,"梱包改善","良好"))))</f>
        <v>良好</v>
      </c>
      <c r="K9" s="14" t="str">
        <f>IF(OR(E9="",E9=0),"",IF(AND(G9&gt;0,H9&gt;0),IF(I9&gt;=0.2,"両工程を見直し","両工程を微改善"),IF(AND(I9&gt;0,G9&gt;0),"ピック導線を改善",IF(AND(I9&gt;0,H9&gt;0),"梱包手順を改善",IF(AND(G9&lt;0,H9&lt;0),"良好","目標達成")))))</f>
        <v>良好</v>
      </c>
      <c r="L9" s="9">
        <f>IF(OR(E9="",E9=0),-1E+99,I9+ROW()/100000)</f>
        <v>-0.4299100000000002</v>
      </c>
      <c r="M9" s="9">
        <f>IF(OR(E9="",E9=0),-1E+99,F9-ROW()/100000)</f>
        <v>1.1551446570397113</v>
      </c>
      <c r="N9" s="9">
        <f>IF(B9="","",COUNTA($B$9:B9))</f>
        <v>1</v>
      </c>
    </row>
    <row r="10" spans="1:14">
      <c r="A10" s="8">
        <v>2</v>
      </c>
      <c r="B10" s="22" t="s">
        <v>23</v>
      </c>
      <c r="C10" s="21">
        <v>1.48</v>
      </c>
      <c r="D10" s="21">
        <v>1.5</v>
      </c>
      <c r="E10" s="9">
        <f>IF(OR(B10="",NOT(ISNUMBER(C10)),NOT(ISNUMBER(D10))),"",C10+D10)</f>
        <v>2.98</v>
      </c>
      <c r="F10" s="7">
        <f>IF(OR(E10="",E10=0),"",$D$5/E10)</f>
        <v>1.0738255033557047</v>
      </c>
      <c r="G10" s="9">
        <f>IF(OR(B10="",NOT(ISNUMBER(C10))),"",C10-$B$5)</f>
        <v>-0.1200000000000001</v>
      </c>
      <c r="H10" s="9">
        <f>IF(OR(B10="",NOT(ISNUMBER(D10))),"",D10-$C$5)</f>
        <v>-0.10000000000000009</v>
      </c>
      <c r="I10" s="9">
        <f>IF(OR(E10="",E10=0),"",E10-$D$5)</f>
        <v>-0.2200000000000002</v>
      </c>
      <c r="J10" s="14" t="str">
        <f>IF(OR(E10="",E10=0),"",IF(AND(G10&gt;0,H10&gt;0),"要改善（両方遅い）",IF(G10&gt;0,"ピッキング改善",IF(H10&gt;0,"梱包改善","良好"))))</f>
        <v>良好</v>
      </c>
      <c r="K10" s="14" t="str">
        <f>IF(OR(E10="",E10=0),"",IF(AND(G10&gt;0,H10&gt;0),IF(I10&gt;=0.2,"両工程を見直し","両工程を微改善"),IF(AND(I10&gt;0,G10&gt;0),"ピック導線を改善",IF(AND(I10&gt;0,H10&gt;0),"梱包手順を改善",IF(AND(G10&lt;0,H10&lt;0),"良好","目標達成")))))</f>
        <v>良好</v>
      </c>
      <c r="L10" s="9">
        <f>IF(OR(E10="",E10=0),-1E+99,I10+ROW()/100000)</f>
        <v>-0.2199000000000002</v>
      </c>
      <c r="M10" s="9">
        <f>IF(OR(E10="",E10=0),-1E+99,F10-ROW()/100000)</f>
        <v>1.0737255033557047</v>
      </c>
      <c r="N10" s="9">
        <f>IF(B10="","",COUNTA($B$9:B10))</f>
        <v>2</v>
      </c>
    </row>
    <row r="11" spans="1:14">
      <c r="A11" s="8">
        <v>3</v>
      </c>
      <c r="B11" s="22" t="s">
        <v>24</v>
      </c>
      <c r="C11" s="21">
        <v>1.55</v>
      </c>
      <c r="D11" s="21">
        <v>1.6</v>
      </c>
      <c r="E11" s="9">
        <f>IF(OR(B11="",NOT(ISNUMBER(C11)),NOT(ISNUMBER(D11))),"",C11+D11)</f>
        <v>3.1500000000000004</v>
      </c>
      <c r="F11" s="7">
        <f>IF(OR(E11="",E11=0),"",$D$5/E11)</f>
        <v>1.0158730158730158</v>
      </c>
      <c r="G11" s="9">
        <f>IF(OR(B11="",NOT(ISNUMBER(C11))),"",C11-$B$5)</f>
        <v>-0.050000000000000044</v>
      </c>
      <c r="H11" s="9">
        <f>IF(OR(B11="",NOT(ISNUMBER(D11))),"",D11-$C$5)</f>
        <v>0</v>
      </c>
      <c r="I11" s="9">
        <f>IF(OR(E11="",E11=0),"",E11-$D$5)</f>
        <v>-0.04999999999999982</v>
      </c>
      <c r="J11" s="14" t="str">
        <f>IF(OR(E11="",E11=0),"",IF(AND(G11&gt;0,H11&gt;0),"要改善（両方遅い）",IF(G11&gt;0,"ピッキング改善",IF(H11&gt;0,"梱包改善","良好"))))</f>
        <v>良好</v>
      </c>
      <c r="K11" s="14" t="str">
        <f>IF(OR(E11="",E11=0),"",IF(AND(G11&gt;0,H11&gt;0),IF(I11&gt;=0.2,"両工程を見直し","両工程を微改善"),IF(AND(I11&gt;0,G11&gt;0),"ピック導線を改善",IF(AND(I11&gt;0,H11&gt;0),"梱包手順を改善",IF(AND(G11&lt;0,H11&lt;0),"良好","目標達成")))))</f>
        <v>目標達成</v>
      </c>
      <c r="L11" s="9">
        <f>IF(OR(E11="",E11=0),-1E+99,I11+ROW()/100000)</f>
        <v>-0.04988999999999982</v>
      </c>
      <c r="M11" s="9">
        <f>IF(OR(E11="",E11=0),-1E+99,F11-ROW()/100000)</f>
        <v>1.0157630158730158</v>
      </c>
      <c r="N11" s="9">
        <f>IF(B11="","",COUNTA($B$9:B11))</f>
        <v>3</v>
      </c>
    </row>
    <row r="12" spans="1:14">
      <c r="A12" s="8">
        <v>4</v>
      </c>
      <c r="B12" s="22" t="s">
        <v>25</v>
      </c>
      <c r="C12" s="21">
        <v>1.62</v>
      </c>
      <c r="D12" s="21">
        <v>1.55</v>
      </c>
      <c r="E12" s="9">
        <f>IF(OR(B12="",NOT(ISNUMBER(C12)),NOT(ISNUMBER(D12))),"",C12+D12)</f>
        <v>3.17</v>
      </c>
      <c r="F12" s="7">
        <f>IF(OR(E12="",E12=0),"",$D$5/E12)</f>
        <v>1.0094637223974765</v>
      </c>
      <c r="G12" s="9">
        <f>IF(OR(B12="",NOT(ISNUMBER(C12))),"",C12-$B$5)</f>
        <v>0.020000000000000018</v>
      </c>
      <c r="H12" s="9">
        <f>IF(OR(B12="",NOT(ISNUMBER(D12))),"",D12-$C$5)</f>
        <v>-0.050000000000000044</v>
      </c>
      <c r="I12" s="9">
        <f>IF(OR(E12="",E12=0),"",E12-$D$5)</f>
        <v>-0.03000000000000025</v>
      </c>
      <c r="J12" s="14" t="str">
        <f>IF(OR(E12="",E12=0),"",IF(AND(G12&gt;0,H12&gt;0),"要改善（両方遅い）",IF(G12&gt;0,"ピッキング改善",IF(H12&gt;0,"梱包改善","良好"))))</f>
        <v>ピッキング改善</v>
      </c>
      <c r="K12" s="14" t="str">
        <f>IF(OR(E12="",E12=0),"",IF(AND(G12&gt;0,H12&gt;0),IF(I12&gt;=0.2,"両工程を見直し","両工程を微改善"),IF(AND(I12&gt;0,G12&gt;0),"ピック導線を改善",IF(AND(I12&gt;0,H12&gt;0),"梱包手順を改善",IF(AND(G12&lt;0,H12&lt;0),"良好","目標達成")))))</f>
        <v>目標達成</v>
      </c>
      <c r="L12" s="9">
        <f>IF(OR(E12="",E12=0),-1E+99,I12+ROW()/100000)</f>
        <v>-0.02988000000000025</v>
      </c>
      <c r="M12" s="9">
        <f>IF(OR(E12="",E12=0),-1E+99,F12-ROW()/100000)</f>
        <v>1.0093437223974766</v>
      </c>
      <c r="N12" s="9">
        <f>IF(B12="","",COUNTA($B$9:B12))</f>
        <v>4</v>
      </c>
    </row>
    <row r="13" spans="1:14">
      <c r="A13" s="8">
        <v>5</v>
      </c>
      <c r="B13" s="22" t="s">
        <v>26</v>
      </c>
      <c r="C13" s="21">
        <v>1.7</v>
      </c>
      <c r="D13" s="21">
        <v>1.65</v>
      </c>
      <c r="E13" s="9">
        <f>IF(OR(B13="",NOT(ISNUMBER(C13)),NOT(ISNUMBER(D13))),"",C13+D13)</f>
        <v>3.3499999999999996</v>
      </c>
      <c r="F13" s="7">
        <f>IF(OR(E13="",E13=0),"",$D$5/E13)</f>
        <v>0.9552238805970151</v>
      </c>
      <c r="G13" s="9">
        <f>IF(OR(B13="",NOT(ISNUMBER(C13))),"",C13-$B$5)</f>
        <v>0.09999999999999987</v>
      </c>
      <c r="H13" s="9">
        <f>IF(OR(B13="",NOT(ISNUMBER(D13))),"",D13-$C$5)</f>
        <v>0.04999999999999982</v>
      </c>
      <c r="I13" s="9">
        <f>IF(OR(E13="",E13=0),"",E13-$D$5)</f>
        <v>0.14999999999999947</v>
      </c>
      <c r="J13" s="14" t="str">
        <f>IF(OR(E13="",E13=0),"",IF(AND(G13&gt;0,H13&gt;0),"要改善（両方遅い）",IF(G13&gt;0,"ピッキング改善",IF(H13&gt;0,"梱包改善","良好"))))</f>
        <v>要改善（両方遅い）</v>
      </c>
      <c r="K13" s="14" t="str">
        <f>IF(OR(E13="",E13=0),"",IF(AND(G13&gt;0,H13&gt;0),IF(I13&gt;=0.2,"両工程を見直し","両工程を微改善"),IF(AND(I13&gt;0,G13&gt;0),"ピック導線を改善",IF(AND(I13&gt;0,H13&gt;0),"梱包手順を改善",IF(AND(G13&lt;0,H13&lt;0),"良好","目標達成")))))</f>
        <v>両工程を微改善</v>
      </c>
      <c r="L13" s="9">
        <f>IF(OR(E13="",E13=0),-1E+99,I13+ROW()/100000)</f>
        <v>0.15012999999999946</v>
      </c>
      <c r="M13" s="9">
        <f>IF(OR(E13="",E13=0),-1E+99,F13-ROW()/100000)</f>
        <v>0.9550938805970152</v>
      </c>
      <c r="N13" s="9">
        <f>IF(B13="","",COUNTA($B$9:B13))</f>
        <v>5</v>
      </c>
    </row>
    <row r="14" spans="1:14">
      <c r="A14" s="8">
        <v>6</v>
      </c>
      <c r="B14" s="22" t="s">
        <v>27</v>
      </c>
      <c r="C14" s="21">
        <v>1.8</v>
      </c>
      <c r="D14" s="21">
        <v>1.55</v>
      </c>
      <c r="E14" s="9">
        <f>IF(OR(B14="",NOT(ISNUMBER(C14)),NOT(ISNUMBER(D14))),"",C14+D14)</f>
        <v>3.35</v>
      </c>
      <c r="F14" s="7">
        <f>IF(OR(E14="",E14=0),"",$D$5/E14)</f>
        <v>0.9552238805970149</v>
      </c>
      <c r="G14" s="9">
        <f>IF(OR(B14="",NOT(ISNUMBER(C14))),"",C14-$B$5)</f>
        <v>0.19999999999999996</v>
      </c>
      <c r="H14" s="9">
        <f>IF(OR(B14="",NOT(ISNUMBER(D14))),"",D14-$C$5)</f>
        <v>-0.050000000000000044</v>
      </c>
      <c r="I14" s="9">
        <f>IF(OR(E14="",E14=0),"",E14-$D$5)</f>
        <v>0.1499999999999999</v>
      </c>
      <c r="J14" s="14" t="str">
        <f>IF(OR(E14="",E14=0),"",IF(AND(G14&gt;0,H14&gt;0),"要改善（両方遅い）",IF(G14&gt;0,"ピッキング改善",IF(H14&gt;0,"梱包改善","良好"))))</f>
        <v>ピッキング改善</v>
      </c>
      <c r="K14" s="14" t="str">
        <f>IF(OR(E14="",E14=0),"",IF(AND(G14&gt;0,H14&gt;0),IF(I14&gt;=0.2,"両工程を見直し","両工程を微改善"),IF(AND(I14&gt;0,G14&gt;0),"ピック導線を改善",IF(AND(I14&gt;0,H14&gt;0),"梱包手順を改善",IF(AND(G14&lt;0,H14&lt;0),"良好","目標達成")))))</f>
        <v>ピック導線を改善</v>
      </c>
      <c r="L14" s="9">
        <f>IF(OR(E14="",E14=0),-1E+99,I14+ROW()/100000)</f>
        <v>0.1501399999999999</v>
      </c>
      <c r="M14" s="9">
        <f>IF(OR(E14="",E14=0),-1E+99,F14-ROW()/100000)</f>
        <v>0.9550838805970149</v>
      </c>
      <c r="N14" s="9">
        <f>IF(B14="","",COUNTA($B$9:B14))</f>
        <v>6</v>
      </c>
    </row>
    <row r="15" spans="1:14">
      <c r="A15" s="8">
        <v>7</v>
      </c>
      <c r="B15" s="22" t="s">
        <v>28</v>
      </c>
      <c r="C15" s="21">
        <v>1.58</v>
      </c>
      <c r="D15" s="21">
        <v>1.82</v>
      </c>
      <c r="E15" s="9">
        <f>IF(OR(B15="",NOT(ISNUMBER(C15)),NOT(ISNUMBER(D15))),"",C15+D15)</f>
        <v>3.4000000000000004</v>
      </c>
      <c r="F15" s="7">
        <f>IF(OR(E15="",E15=0),"",$D$5/E15)</f>
        <v>0.9411764705882353</v>
      </c>
      <c r="G15" s="9">
        <f>IF(OR(B15="",NOT(ISNUMBER(C15))),"",C15-$B$5)</f>
        <v>-0.020000000000000018</v>
      </c>
      <c r="H15" s="9">
        <f>IF(OR(B15="",NOT(ISNUMBER(D15))),"",D15-$C$5)</f>
        <v>0.21999999999999997</v>
      </c>
      <c r="I15" s="9">
        <f>IF(OR(E15="",E15=0),"",E15-$D$5)</f>
        <v>0.20000000000000018</v>
      </c>
      <c r="J15" s="14" t="str">
        <f>IF(OR(E15="",E15=0),"",IF(AND(G15&gt;0,H15&gt;0),"要改善（両方遅い）",IF(G15&gt;0,"ピッキング改善",IF(H15&gt;0,"梱包改善","良好"))))</f>
        <v>梱包改善</v>
      </c>
      <c r="K15" s="14" t="str">
        <f>IF(OR(E15="",E15=0),"",IF(AND(G15&gt;0,H15&gt;0),IF(I15&gt;=0.2,"両工程を見直し","両工程を微改善"),IF(AND(I15&gt;0,G15&gt;0),"ピック導線を改善",IF(AND(I15&gt;0,H15&gt;0),"梱包手順を改善",IF(AND(G15&lt;0,H15&lt;0),"良好","目標達成")))))</f>
        <v>梱包手順を改善</v>
      </c>
      <c r="L15" s="9">
        <f>IF(OR(E15="",E15=0),-1E+99,I15+ROW()/100000)</f>
        <v>0.2001500000000002</v>
      </c>
      <c r="M15" s="9">
        <f>IF(OR(E15="",E15=0),-1E+99,F15-ROW()/100000)</f>
        <v>0.9410264705882353</v>
      </c>
      <c r="N15" s="9">
        <f>IF(B15="","",COUNTA($B$9:B15))</f>
        <v>7</v>
      </c>
    </row>
    <row r="16" spans="1:14">
      <c r="A16" s="8">
        <v>8</v>
      </c>
      <c r="B16" s="22" t="s">
        <v>29</v>
      </c>
      <c r="C16" s="21">
        <v>1.9</v>
      </c>
      <c r="D16" s="21">
        <v>1.85</v>
      </c>
      <c r="E16" s="9">
        <f>IF(OR(B16="",NOT(ISNUMBER(C16)),NOT(ISNUMBER(D16))),"",C16+D16)</f>
        <v>3.75</v>
      </c>
      <c r="F16" s="7">
        <f>IF(OR(E16="",E16=0),"",$D$5/E16)</f>
        <v>0.8533333333333334</v>
      </c>
      <c r="G16" s="9">
        <f>IF(OR(B16="",NOT(ISNUMBER(C16))),"",C16-$B$5)</f>
        <v>0.2999999999999998</v>
      </c>
      <c r="H16" s="9">
        <f>IF(OR(B16="",NOT(ISNUMBER(D16))),"",D16-$C$5)</f>
        <v>0.25</v>
      </c>
      <c r="I16" s="9">
        <f>IF(OR(E16="",E16=0),"",E16-$D$5)</f>
        <v>0.5499999999999998</v>
      </c>
      <c r="J16" s="14" t="str">
        <f>IF(OR(E16="",E16=0),"",IF(AND(G16&gt;0,H16&gt;0),"要改善（両方遅い）",IF(G16&gt;0,"ピッキング改善",IF(H16&gt;0,"梱包改善","良好"))))</f>
        <v>要改善（両方遅い）</v>
      </c>
      <c r="K16" s="14" t="str">
        <f>IF(OR(E16="",E16=0),"",IF(AND(G16&gt;0,H16&gt;0),IF(I16&gt;=0.2,"両工程を見直し","両工程を微改善"),IF(AND(I16&gt;0,G16&gt;0),"ピック導線を改善",IF(AND(I16&gt;0,H16&gt;0),"梱包手順を改善",IF(AND(G16&lt;0,H16&lt;0),"良好","目標達成")))))</f>
        <v>両工程を見直し</v>
      </c>
      <c r="L16" s="9">
        <f>IF(OR(E16="",E16=0),-1E+99,I16+ROW()/100000)</f>
        <v>0.5501599999999999</v>
      </c>
      <c r="M16" s="9">
        <f>IF(OR(E16="",E16=0),-1E+99,F16-ROW()/100000)</f>
        <v>0.8531733333333333</v>
      </c>
      <c r="N16" s="9">
        <f>IF(B16="","",COUNTA($B$9:B16))</f>
        <v>8</v>
      </c>
    </row>
    <row r="17" spans="1:14">
      <c r="A17" s="8">
        <v>9</v>
      </c>
      <c r="B17" s="22"/>
      <c r="C17" s="21"/>
      <c r="D17" s="21"/>
      <c r="E17" s="9" t="str">
        <f>IF(OR(B17="",NOT(ISNUMBER(C17)),NOT(ISNUMBER(D17))),"",C17+D17)</f>
        <v/>
      </c>
      <c r="F17" s="7" t="str">
        <f>IF(OR(E17="",E17=0),"",$D$5/E17)</f>
        <v/>
      </c>
      <c r="G17" s="9" t="str">
        <f>IF(OR(B17="",NOT(ISNUMBER(C17))),"",C17-$B$5)</f>
        <v/>
      </c>
      <c r="H17" s="9" t="str">
        <f>IF(OR(B17="",NOT(ISNUMBER(D17))),"",D17-$C$5)</f>
        <v/>
      </c>
      <c r="I17" s="9" t="str">
        <f>IF(OR(E17="",E17=0),"",E17-$D$5)</f>
        <v/>
      </c>
      <c r="J17" s="14" t="str">
        <f>IF(OR(E17="",E17=0),"",IF(AND(G17&gt;0,H17&gt;0),"要改善（両方遅い）",IF(G17&gt;0,"ピッキング改善",IF(H17&gt;0,"梱包改善","良好"))))</f>
        <v/>
      </c>
      <c r="K17" s="14" t="str">
        <f>IF(OR(E17="",E17=0),"",IF(AND(G17&gt;0,H17&gt;0),IF(I17&gt;=0.2,"両工程を見直し","両工程を微改善"),IF(AND(I17&gt;0,G17&gt;0),"ピック導線を改善",IF(AND(I17&gt;0,H17&gt;0),"梱包手順を改善",IF(AND(G17&lt;0,H17&lt;0),"良好","目標達成")))))</f>
        <v/>
      </c>
      <c r="L17" s="9">
        <f>IF(OR(E17="",E17=0),-1E+99,I17+ROW()/100000)</f>
        <v>-1E+99</v>
      </c>
      <c r="M17" s="9">
        <f>IF(OR(E17="",E17=0),-1E+99,F17-ROW()/100000)</f>
        <v>-1E+99</v>
      </c>
      <c r="N17" s="9" t="str">
        <f>IF(B17="","",COUNTA($B$9:B17))</f>
        <v/>
      </c>
    </row>
    <row r="18" spans="1:14">
      <c r="A18" s="8">
        <v>10</v>
      </c>
      <c r="B18" s="22"/>
      <c r="C18" s="21"/>
      <c r="D18" s="21"/>
      <c r="E18" s="9" t="str">
        <f>IF(OR(B18="",NOT(ISNUMBER(C18)),NOT(ISNUMBER(D18))),"",C18+D18)</f>
        <v/>
      </c>
      <c r="F18" s="7" t="str">
        <f>IF(OR(E18="",E18=0),"",$D$5/E18)</f>
        <v/>
      </c>
      <c r="G18" s="9" t="str">
        <f>IF(OR(B18="",NOT(ISNUMBER(C18))),"",C18-$B$5)</f>
        <v/>
      </c>
      <c r="H18" s="9" t="str">
        <f>IF(OR(B18="",NOT(ISNUMBER(D18))),"",D18-$C$5)</f>
        <v/>
      </c>
      <c r="I18" s="9" t="str">
        <f>IF(OR(E18="",E18=0),"",E18-$D$5)</f>
        <v/>
      </c>
      <c r="J18" s="14" t="str">
        <f>IF(OR(E18="",E18=0),"",IF(AND(G18&gt;0,H18&gt;0),"要改善（両方遅い）",IF(G18&gt;0,"ピッキング改善",IF(H18&gt;0,"梱包改善","良好"))))</f>
        <v/>
      </c>
      <c r="K18" s="14" t="str">
        <f>IF(OR(E18="",E18=0),"",IF(AND(G18&gt;0,H18&gt;0),IF(I18&gt;=0.2,"両工程を見直し","両工程を微改善"),IF(AND(I18&gt;0,G18&gt;0),"ピック導線を改善",IF(AND(I18&gt;0,H18&gt;0),"梱包手順を改善",IF(AND(G18&lt;0,H18&lt;0),"良好","目標達成")))))</f>
        <v/>
      </c>
      <c r="L18" s="9">
        <f>IF(OR(E18="",E18=0),-1E+99,I18+ROW()/100000)</f>
        <v>-1E+99</v>
      </c>
      <c r="M18" s="9">
        <f>IF(OR(E18="",E18=0),-1E+99,F18-ROW()/100000)</f>
        <v>-1E+99</v>
      </c>
      <c r="N18" s="9" t="str">
        <f>IF(B18="","",COUNTA($B$9:B18))</f>
        <v/>
      </c>
    </row>
    <row r="19" spans="1:14">
      <c r="A19" s="8">
        <v>11</v>
      </c>
      <c r="B19" s="22"/>
      <c r="C19" s="21"/>
      <c r="D19" s="21"/>
      <c r="E19" s="9" t="str">
        <f>IF(OR(B19="",NOT(ISNUMBER(C19)),NOT(ISNUMBER(D19))),"",C19+D19)</f>
        <v/>
      </c>
      <c r="F19" s="7" t="str">
        <f>IF(OR(E19="",E19=0),"",$D$5/E19)</f>
        <v/>
      </c>
      <c r="G19" s="9" t="str">
        <f>IF(OR(B19="",NOT(ISNUMBER(C19))),"",C19-$B$5)</f>
        <v/>
      </c>
      <c r="H19" s="9" t="str">
        <f>IF(OR(B19="",NOT(ISNUMBER(D19))),"",D19-$C$5)</f>
        <v/>
      </c>
      <c r="I19" s="9" t="str">
        <f>IF(OR(E19="",E19=0),"",E19-$D$5)</f>
        <v/>
      </c>
      <c r="J19" s="14" t="str">
        <f>IF(OR(E19="",E19=0),"",IF(AND(G19&gt;0,H19&gt;0),"要改善（両方遅い）",IF(G19&gt;0,"ピッキング改善",IF(H19&gt;0,"梱包改善","良好"))))</f>
        <v/>
      </c>
      <c r="K19" s="14" t="str">
        <f>IF(OR(E19="",E19=0),"",IF(AND(G19&gt;0,H19&gt;0),IF(I19&gt;=0.2,"両工程を見直し","両工程を微改善"),IF(AND(I19&gt;0,G19&gt;0),"ピック導線を改善",IF(AND(I19&gt;0,H19&gt;0),"梱包手順を改善",IF(AND(G19&lt;0,H19&lt;0),"良好","目標達成")))))</f>
        <v/>
      </c>
      <c r="L19" s="9">
        <f>IF(OR(E19="",E19=0),-1E+99,I19+ROW()/100000)</f>
        <v>-1E+99</v>
      </c>
      <c r="M19" s="9">
        <f>IF(OR(E19="",E19=0),-1E+99,F19-ROW()/100000)</f>
        <v>-1E+99</v>
      </c>
      <c r="N19" s="9" t="str">
        <f>IF(B19="","",COUNTA($B$9:B19))</f>
        <v/>
      </c>
    </row>
    <row r="20" spans="1:14">
      <c r="A20" s="8">
        <v>12</v>
      </c>
      <c r="B20" s="22"/>
      <c r="C20" s="21"/>
      <c r="D20" s="21"/>
      <c r="E20" s="9" t="str">
        <f>IF(OR(B20="",NOT(ISNUMBER(C20)),NOT(ISNUMBER(D20))),"",C20+D20)</f>
        <v/>
      </c>
      <c r="F20" s="7" t="str">
        <f>IF(OR(E20="",E20=0),"",$D$5/E20)</f>
        <v/>
      </c>
      <c r="G20" s="9" t="str">
        <f>IF(OR(B20="",NOT(ISNUMBER(C20))),"",C20-$B$5)</f>
        <v/>
      </c>
      <c r="H20" s="9" t="str">
        <f>IF(OR(B20="",NOT(ISNUMBER(D20))),"",D20-$C$5)</f>
        <v/>
      </c>
      <c r="I20" s="9" t="str">
        <f>IF(OR(E20="",E20=0),"",E20-$D$5)</f>
        <v/>
      </c>
      <c r="J20" s="14" t="str">
        <f>IF(OR(E20="",E20=0),"",IF(AND(G20&gt;0,H20&gt;0),"要改善（両方遅い）",IF(G20&gt;0,"ピッキング改善",IF(H20&gt;0,"梱包改善","良好"))))</f>
        <v/>
      </c>
      <c r="K20" s="14" t="str">
        <f>IF(OR(E20="",E20=0),"",IF(AND(G20&gt;0,H20&gt;0),IF(I20&gt;=0.2,"両工程を見直し","両工程を微改善"),IF(AND(I20&gt;0,G20&gt;0),"ピック導線を改善",IF(AND(I20&gt;0,H20&gt;0),"梱包手順を改善",IF(AND(G20&lt;0,H20&lt;0),"良好","目標達成")))))</f>
        <v/>
      </c>
      <c r="L20" s="9">
        <f>IF(OR(E20="",E20=0),-1E+99,I20+ROW()/100000)</f>
        <v>-1E+99</v>
      </c>
      <c r="M20" s="9">
        <f>IF(OR(E20="",E20=0),-1E+99,F20-ROW()/100000)</f>
        <v>-1E+99</v>
      </c>
      <c r="N20" s="9" t="str">
        <f>IF(B20="","",COUNTA($B$9:B20))</f>
        <v/>
      </c>
    </row>
    <row r="21" spans="1:14">
      <c r="A21" s="8">
        <v>13</v>
      </c>
      <c r="B21" s="22"/>
      <c r="C21" s="21"/>
      <c r="D21" s="21"/>
      <c r="E21" s="9" t="str">
        <f>IF(OR(B21="",NOT(ISNUMBER(C21)),NOT(ISNUMBER(D21))),"",C21+D21)</f>
        <v/>
      </c>
      <c r="F21" s="7" t="str">
        <f>IF(OR(E21="",E21=0),"",$D$5/E21)</f>
        <v/>
      </c>
      <c r="G21" s="9" t="str">
        <f>IF(OR(B21="",NOT(ISNUMBER(C21))),"",C21-$B$5)</f>
        <v/>
      </c>
      <c r="H21" s="9" t="str">
        <f>IF(OR(B21="",NOT(ISNUMBER(D21))),"",D21-$C$5)</f>
        <v/>
      </c>
      <c r="I21" s="9" t="str">
        <f>IF(OR(E21="",E21=0),"",E21-$D$5)</f>
        <v/>
      </c>
      <c r="J21" s="14" t="str">
        <f>IF(OR(E21="",E21=0),"",IF(AND(G21&gt;0,H21&gt;0),"要改善（両方遅い）",IF(G21&gt;0,"ピッキング改善",IF(H21&gt;0,"梱包改善","良好"))))</f>
        <v/>
      </c>
      <c r="K21" s="14" t="str">
        <f>IF(OR(E21="",E21=0),"",IF(AND(G21&gt;0,H21&gt;0),IF(I21&gt;=0.2,"両工程を見直し","両工程を微改善"),IF(AND(I21&gt;0,G21&gt;0),"ピック導線を改善",IF(AND(I21&gt;0,H21&gt;0),"梱包手順を改善",IF(AND(G21&lt;0,H21&lt;0),"良好","目標達成")))))</f>
        <v/>
      </c>
      <c r="L21" s="9">
        <f>IF(OR(E21="",E21=0),-1E+99,I21+ROW()/100000)</f>
        <v>-1E+99</v>
      </c>
      <c r="M21" s="9">
        <f>IF(OR(E21="",E21=0),-1E+99,F21-ROW()/100000)</f>
        <v>-1E+99</v>
      </c>
      <c r="N21" s="9" t="str">
        <f>IF(B21="","",COUNTA($B$9:B21))</f>
        <v/>
      </c>
    </row>
    <row r="22" spans="1:14">
      <c r="A22" s="8">
        <v>14</v>
      </c>
      <c r="B22" s="22"/>
      <c r="C22" s="21"/>
      <c r="D22" s="21"/>
      <c r="E22" s="9" t="str">
        <f>IF(OR(B22="",NOT(ISNUMBER(C22)),NOT(ISNUMBER(D22))),"",C22+D22)</f>
        <v/>
      </c>
      <c r="F22" s="7" t="str">
        <f>IF(OR(E22="",E22=0),"",$D$5/E22)</f>
        <v/>
      </c>
      <c r="G22" s="9" t="str">
        <f>IF(OR(B22="",NOT(ISNUMBER(C22))),"",C22-$B$5)</f>
        <v/>
      </c>
      <c r="H22" s="9" t="str">
        <f>IF(OR(B22="",NOT(ISNUMBER(D22))),"",D22-$C$5)</f>
        <v/>
      </c>
      <c r="I22" s="9" t="str">
        <f>IF(OR(E22="",E22=0),"",E22-$D$5)</f>
        <v/>
      </c>
      <c r="J22" s="14" t="str">
        <f>IF(OR(E22="",E22=0),"",IF(AND(G22&gt;0,H22&gt;0),"要改善（両方遅い）",IF(G22&gt;0,"ピッキング改善",IF(H22&gt;0,"梱包改善","良好"))))</f>
        <v/>
      </c>
      <c r="K22" s="14" t="str">
        <f>IF(OR(E22="",E22=0),"",IF(AND(G22&gt;0,H22&gt;0),IF(I22&gt;=0.2,"両工程を見直し","両工程を微改善"),IF(AND(I22&gt;0,G22&gt;0),"ピック導線を改善",IF(AND(I22&gt;0,H22&gt;0),"梱包手順を改善",IF(AND(G22&lt;0,H22&lt;0),"良好","目標達成")))))</f>
        <v/>
      </c>
      <c r="L22" s="9">
        <f>IF(OR(E22="",E22=0),-1E+99,I22+ROW()/100000)</f>
        <v>-1E+99</v>
      </c>
      <c r="M22" s="9">
        <f>IF(OR(E22="",E22=0),-1E+99,F22-ROW()/100000)</f>
        <v>-1E+99</v>
      </c>
      <c r="N22" s="9" t="str">
        <f>IF(B22="","",COUNTA($B$9:B22))</f>
        <v/>
      </c>
    </row>
    <row r="23" spans="1:14">
      <c r="A23" s="8">
        <v>15</v>
      </c>
      <c r="B23" s="22"/>
      <c r="C23" s="21"/>
      <c r="D23" s="21"/>
      <c r="E23" s="9" t="str">
        <f>IF(OR(B23="",NOT(ISNUMBER(C23)),NOT(ISNUMBER(D23))),"",C23+D23)</f>
        <v/>
      </c>
      <c r="F23" s="7" t="str">
        <f>IF(OR(E23="",E23=0),"",$D$5/E23)</f>
        <v/>
      </c>
      <c r="G23" s="9" t="str">
        <f>IF(OR(B23="",NOT(ISNUMBER(C23))),"",C23-$B$5)</f>
        <v/>
      </c>
      <c r="H23" s="9" t="str">
        <f>IF(OR(B23="",NOT(ISNUMBER(D23))),"",D23-$C$5)</f>
        <v/>
      </c>
      <c r="I23" s="9" t="str">
        <f>IF(OR(E23="",E23=0),"",E23-$D$5)</f>
        <v/>
      </c>
      <c r="J23" s="14" t="str">
        <f>IF(OR(E23="",E23=0),"",IF(AND(G23&gt;0,H23&gt;0),"要改善（両方遅い）",IF(G23&gt;0,"ピッキング改善",IF(H23&gt;0,"梱包改善","良好"))))</f>
        <v/>
      </c>
      <c r="K23" s="14" t="str">
        <f>IF(OR(E23="",E23=0),"",IF(AND(G23&gt;0,H23&gt;0),IF(I23&gt;=0.2,"両工程を見直し","両工程を微改善"),IF(AND(I23&gt;0,G23&gt;0),"ピック導線を改善",IF(AND(I23&gt;0,H23&gt;0),"梱包手順を改善",IF(AND(G23&lt;0,H23&lt;0),"良好","目標達成")))))</f>
        <v/>
      </c>
      <c r="L23" s="9">
        <f>IF(OR(E23="",E23=0),-1E+99,I23+ROW()/100000)</f>
        <v>-1E+99</v>
      </c>
      <c r="M23" s="9">
        <f>IF(OR(E23="",E23=0),-1E+99,F23-ROW()/100000)</f>
        <v>-1E+99</v>
      </c>
      <c r="N23" s="9" t="str">
        <f>IF(B23="","",COUNTA($B$9:B23))</f>
        <v/>
      </c>
    </row>
    <row r="24" spans="1:14">
      <c r="A24" s="8">
        <v>16</v>
      </c>
      <c r="B24" s="22"/>
      <c r="C24" s="21"/>
      <c r="D24" s="21"/>
      <c r="E24" s="9" t="str">
        <f>IF(OR(B24="",NOT(ISNUMBER(C24)),NOT(ISNUMBER(D24))),"",C24+D24)</f>
        <v/>
      </c>
      <c r="F24" s="7" t="str">
        <f>IF(OR(E24="",E24=0),"",$D$5/E24)</f>
        <v/>
      </c>
      <c r="G24" s="9" t="str">
        <f>IF(OR(B24="",NOT(ISNUMBER(C24))),"",C24-$B$5)</f>
        <v/>
      </c>
      <c r="H24" s="9" t="str">
        <f>IF(OR(B24="",NOT(ISNUMBER(D24))),"",D24-$C$5)</f>
        <v/>
      </c>
      <c r="I24" s="9" t="str">
        <f>IF(OR(E24="",E24=0),"",E24-$D$5)</f>
        <v/>
      </c>
      <c r="J24" s="14" t="str">
        <f>IF(OR(E24="",E24=0),"",IF(AND(G24&gt;0,H24&gt;0),"要改善（両方遅い）",IF(G24&gt;0,"ピッキング改善",IF(H24&gt;0,"梱包改善","良好"))))</f>
        <v/>
      </c>
      <c r="K24" s="14" t="str">
        <f>IF(OR(E24="",E24=0),"",IF(AND(G24&gt;0,H24&gt;0),IF(I24&gt;=0.2,"両工程を見直し","両工程を微改善"),IF(AND(I24&gt;0,G24&gt;0),"ピック導線を改善",IF(AND(I24&gt;0,H24&gt;0),"梱包手順を改善",IF(AND(G24&lt;0,H24&lt;0),"良好","目標達成")))))</f>
        <v/>
      </c>
      <c r="L24" s="9">
        <f>IF(OR(E24="",E24=0),-1E+99,I24+ROW()/100000)</f>
        <v>-1E+99</v>
      </c>
      <c r="M24" s="9">
        <f>IF(OR(E24="",E24=0),-1E+99,F24-ROW()/100000)</f>
        <v>-1E+99</v>
      </c>
      <c r="N24" s="9" t="str">
        <f>IF(B24="","",COUNTA($B$9:B24))</f>
        <v/>
      </c>
    </row>
    <row r="25" spans="1:14">
      <c r="A25" s="8">
        <v>17</v>
      </c>
      <c r="B25" s="22"/>
      <c r="C25" s="21"/>
      <c r="D25" s="21"/>
      <c r="E25" s="9" t="str">
        <f>IF(OR(B25="",NOT(ISNUMBER(C25)),NOT(ISNUMBER(D25))),"",C25+D25)</f>
        <v/>
      </c>
      <c r="F25" s="7" t="str">
        <f>IF(OR(E25="",E25=0),"",$D$5/E25)</f>
        <v/>
      </c>
      <c r="G25" s="9" t="str">
        <f>IF(OR(B25="",NOT(ISNUMBER(C25))),"",C25-$B$5)</f>
        <v/>
      </c>
      <c r="H25" s="9" t="str">
        <f>IF(OR(B25="",NOT(ISNUMBER(D25))),"",D25-$C$5)</f>
        <v/>
      </c>
      <c r="I25" s="9" t="str">
        <f>IF(OR(E25="",E25=0),"",E25-$D$5)</f>
        <v/>
      </c>
      <c r="J25" s="14" t="str">
        <f>IF(OR(E25="",E25=0),"",IF(AND(G25&gt;0,H25&gt;0),"要改善（両方遅い）",IF(G25&gt;0,"ピッキング改善",IF(H25&gt;0,"梱包改善","良好"))))</f>
        <v/>
      </c>
      <c r="K25" s="14" t="str">
        <f>IF(OR(E25="",E25=0),"",IF(AND(G25&gt;0,H25&gt;0),IF(I25&gt;=0.2,"両工程を見直し","両工程を微改善"),IF(AND(I25&gt;0,G25&gt;0),"ピック導線を改善",IF(AND(I25&gt;0,H25&gt;0),"梱包手順を改善",IF(AND(G25&lt;0,H25&lt;0),"良好","目標達成")))))</f>
        <v/>
      </c>
      <c r="L25" s="9">
        <f>IF(OR(E25="",E25=0),-1E+99,I25+ROW()/100000)</f>
        <v>-1E+99</v>
      </c>
      <c r="M25" s="9">
        <f>IF(OR(E25="",E25=0),-1E+99,F25-ROW()/100000)</f>
        <v>-1E+99</v>
      </c>
      <c r="N25" s="9" t="str">
        <f>IF(B25="","",COUNTA($B$9:B25))</f>
        <v/>
      </c>
    </row>
    <row r="26" spans="1:14">
      <c r="A26" s="8">
        <v>18</v>
      </c>
      <c r="B26" s="22"/>
      <c r="C26" s="21"/>
      <c r="D26" s="21"/>
      <c r="E26" s="9" t="str">
        <f>IF(OR(B26="",NOT(ISNUMBER(C26)),NOT(ISNUMBER(D26))),"",C26+D26)</f>
        <v/>
      </c>
      <c r="F26" s="7" t="str">
        <f>IF(OR(E26="",E26=0),"",$D$5/E26)</f>
        <v/>
      </c>
      <c r="G26" s="9" t="str">
        <f>IF(OR(B26="",NOT(ISNUMBER(C26))),"",C26-$B$5)</f>
        <v/>
      </c>
      <c r="H26" s="9" t="str">
        <f>IF(OR(B26="",NOT(ISNUMBER(D26))),"",D26-$C$5)</f>
        <v/>
      </c>
      <c r="I26" s="9" t="str">
        <f>IF(OR(E26="",E26=0),"",E26-$D$5)</f>
        <v/>
      </c>
      <c r="J26" s="14" t="str">
        <f>IF(OR(E26="",E26=0),"",IF(AND(G26&gt;0,H26&gt;0),"要改善（両方遅い）",IF(G26&gt;0,"ピッキング改善",IF(H26&gt;0,"梱包改善","良好"))))</f>
        <v/>
      </c>
      <c r="K26" s="14" t="str">
        <f>IF(OR(E26="",E26=0),"",IF(AND(G26&gt;0,H26&gt;0),IF(I26&gt;=0.2,"両工程を見直し","両工程を微改善"),IF(AND(I26&gt;0,G26&gt;0),"ピック導線を改善",IF(AND(I26&gt;0,H26&gt;0),"梱包手順を改善",IF(AND(G26&lt;0,H26&lt;0),"良好","目標達成")))))</f>
        <v/>
      </c>
      <c r="L26" s="9">
        <f>IF(OR(E26="",E26=0),-1E+99,I26+ROW()/100000)</f>
        <v>-1E+99</v>
      </c>
      <c r="M26" s="9">
        <f>IF(OR(E26="",E26=0),-1E+99,F26-ROW()/100000)</f>
        <v>-1E+99</v>
      </c>
      <c r="N26" s="9" t="str">
        <f>IF(B26="","",COUNTA($B$9:B26))</f>
        <v/>
      </c>
    </row>
    <row r="27" spans="1:14">
      <c r="A27" s="8">
        <v>19</v>
      </c>
      <c r="B27" s="22"/>
      <c r="C27" s="21"/>
      <c r="D27" s="21"/>
      <c r="E27" s="9" t="str">
        <f>IF(OR(B27="",NOT(ISNUMBER(C27)),NOT(ISNUMBER(D27))),"",C27+D27)</f>
        <v/>
      </c>
      <c r="F27" s="7" t="str">
        <f>IF(OR(E27="",E27=0),"",$D$5/E27)</f>
        <v/>
      </c>
      <c r="G27" s="9" t="str">
        <f>IF(OR(B27="",NOT(ISNUMBER(C27))),"",C27-$B$5)</f>
        <v/>
      </c>
      <c r="H27" s="9" t="str">
        <f>IF(OR(B27="",NOT(ISNUMBER(D27))),"",D27-$C$5)</f>
        <v/>
      </c>
      <c r="I27" s="9" t="str">
        <f>IF(OR(E27="",E27=0),"",E27-$D$5)</f>
        <v/>
      </c>
      <c r="J27" s="14" t="str">
        <f>IF(OR(E27="",E27=0),"",IF(AND(G27&gt;0,H27&gt;0),"要改善（両方遅い）",IF(G27&gt;0,"ピッキング改善",IF(H27&gt;0,"梱包改善","良好"))))</f>
        <v/>
      </c>
      <c r="K27" s="14" t="str">
        <f>IF(OR(E27="",E27=0),"",IF(AND(G27&gt;0,H27&gt;0),IF(I27&gt;=0.2,"両工程を見直し","両工程を微改善"),IF(AND(I27&gt;0,G27&gt;0),"ピック導線を改善",IF(AND(I27&gt;0,H27&gt;0),"梱包手順を改善",IF(AND(G27&lt;0,H27&lt;0),"良好","目標達成")))))</f>
        <v/>
      </c>
      <c r="L27" s="9">
        <f>IF(OR(E27="",E27=0),-1E+99,I27+ROW()/100000)</f>
        <v>-1E+99</v>
      </c>
      <c r="M27" s="9">
        <f>IF(OR(E27="",E27=0),-1E+99,F27-ROW()/100000)</f>
        <v>-1E+99</v>
      </c>
      <c r="N27" s="9" t="str">
        <f>IF(B27="","",COUNTA($B$9:B27))</f>
        <v/>
      </c>
    </row>
    <row r="28" spans="1:14">
      <c r="A28" s="8">
        <v>20</v>
      </c>
      <c r="B28" s="22"/>
      <c r="C28" s="21"/>
      <c r="D28" s="21"/>
      <c r="E28" s="9" t="str">
        <f>IF(OR(B28="",NOT(ISNUMBER(C28)),NOT(ISNUMBER(D28))),"",C28+D28)</f>
        <v/>
      </c>
      <c r="F28" s="7" t="str">
        <f>IF(OR(E28="",E28=0),"",$D$5/E28)</f>
        <v/>
      </c>
      <c r="G28" s="9" t="str">
        <f>IF(OR(B28="",NOT(ISNUMBER(C28))),"",C28-$B$5)</f>
        <v/>
      </c>
      <c r="H28" s="9" t="str">
        <f>IF(OR(B28="",NOT(ISNUMBER(D28))),"",D28-$C$5)</f>
        <v/>
      </c>
      <c r="I28" s="9" t="str">
        <f>IF(OR(E28="",E28=0),"",E28-$D$5)</f>
        <v/>
      </c>
      <c r="J28" s="14" t="str">
        <f>IF(OR(E28="",E28=0),"",IF(AND(G28&gt;0,H28&gt;0),"要改善（両方遅い）",IF(G28&gt;0,"ピッキング改善",IF(H28&gt;0,"梱包改善","良好"))))</f>
        <v/>
      </c>
      <c r="K28" s="14" t="str">
        <f>IF(OR(E28="",E28=0),"",IF(AND(G28&gt;0,H28&gt;0),IF(I28&gt;=0.2,"両工程を見直し","両工程を微改善"),IF(AND(I28&gt;0,G28&gt;0),"ピック導線を改善",IF(AND(I28&gt;0,H28&gt;0),"梱包手順を改善",IF(AND(G28&lt;0,H28&lt;0),"良好","目標達成")))))</f>
        <v/>
      </c>
      <c r="L28" s="9">
        <f>IF(OR(E28="",E28=0),-1E+99,I28+ROW()/100000)</f>
        <v>-1E+99</v>
      </c>
      <c r="M28" s="9">
        <f>IF(OR(E28="",E28=0),-1E+99,F28-ROW()/100000)</f>
        <v>-1E+99</v>
      </c>
      <c r="N28" s="9" t="str">
        <f>IF(B28="","",COUNTA($B$9:B28))</f>
        <v/>
      </c>
    </row>
    <row r="29" spans="1:14">
      <c r="A29" s="8">
        <v>21</v>
      </c>
      <c r="B29" s="22"/>
      <c r="C29" s="21"/>
      <c r="D29" s="21"/>
      <c r="E29" s="9" t="str">
        <f>IF(OR(B29="",NOT(ISNUMBER(C29)),NOT(ISNUMBER(D29))),"",C29+D29)</f>
        <v/>
      </c>
      <c r="F29" s="7" t="str">
        <f>IF(OR(E29="",E29=0),"",$D$5/E29)</f>
        <v/>
      </c>
      <c r="G29" s="9" t="str">
        <f>IF(OR(B29="",NOT(ISNUMBER(C29))),"",C29-$B$5)</f>
        <v/>
      </c>
      <c r="H29" s="9" t="str">
        <f>IF(OR(B29="",NOT(ISNUMBER(D29))),"",D29-$C$5)</f>
        <v/>
      </c>
      <c r="I29" s="9" t="str">
        <f>IF(OR(E29="",E29=0),"",E29-$D$5)</f>
        <v/>
      </c>
      <c r="J29" s="14" t="str">
        <f>IF(OR(E29="",E29=0),"",IF(AND(G29&gt;0,H29&gt;0),"要改善（両方遅い）",IF(G29&gt;0,"ピッキング改善",IF(H29&gt;0,"梱包改善","良好"))))</f>
        <v/>
      </c>
      <c r="K29" s="14" t="str">
        <f>IF(OR(E29="",E29=0),"",IF(AND(G29&gt;0,H29&gt;0),IF(I29&gt;=0.2,"両工程を見直し","両工程を微改善"),IF(AND(I29&gt;0,G29&gt;0),"ピック導線を改善",IF(AND(I29&gt;0,H29&gt;0),"梱包手順を改善",IF(AND(G29&lt;0,H29&lt;0),"良好","目標達成")))))</f>
        <v/>
      </c>
      <c r="L29" s="9">
        <f>IF(OR(E29="",E29=0),-1E+99,I29+ROW()/100000)</f>
        <v>-1E+99</v>
      </c>
      <c r="M29" s="9">
        <f>IF(OR(E29="",E29=0),-1E+99,F29-ROW()/100000)</f>
        <v>-1E+99</v>
      </c>
      <c r="N29" s="9" t="str">
        <f>IF(B29="","",COUNTA($B$9:B29))</f>
        <v/>
      </c>
    </row>
    <row r="30" spans="1:14">
      <c r="A30" s="8">
        <v>22</v>
      </c>
      <c r="B30" s="22"/>
      <c r="C30" s="21"/>
      <c r="D30" s="21"/>
      <c r="E30" s="9" t="str">
        <f>IF(OR(B30="",NOT(ISNUMBER(C30)),NOT(ISNUMBER(D30))),"",C30+D30)</f>
        <v/>
      </c>
      <c r="F30" s="7" t="str">
        <f>IF(OR(E30="",E30=0),"",$D$5/E30)</f>
        <v/>
      </c>
      <c r="G30" s="9" t="str">
        <f>IF(OR(B30="",NOT(ISNUMBER(C30))),"",C30-$B$5)</f>
        <v/>
      </c>
      <c r="H30" s="9" t="str">
        <f>IF(OR(B30="",NOT(ISNUMBER(D30))),"",D30-$C$5)</f>
        <v/>
      </c>
      <c r="I30" s="9" t="str">
        <f>IF(OR(E30="",E30=0),"",E30-$D$5)</f>
        <v/>
      </c>
      <c r="J30" s="14" t="str">
        <f>IF(OR(E30="",E30=0),"",IF(AND(G30&gt;0,H30&gt;0),"要改善（両方遅い）",IF(G30&gt;0,"ピッキング改善",IF(H30&gt;0,"梱包改善","良好"))))</f>
        <v/>
      </c>
      <c r="K30" s="14" t="str">
        <f>IF(OR(E30="",E30=0),"",IF(AND(G30&gt;0,H30&gt;0),IF(I30&gt;=0.2,"両工程を見直し","両工程を微改善"),IF(AND(I30&gt;0,G30&gt;0),"ピック導線を改善",IF(AND(I30&gt;0,H30&gt;0),"梱包手順を改善",IF(AND(G30&lt;0,H30&lt;0),"良好","目標達成")))))</f>
        <v/>
      </c>
      <c r="L30" s="9">
        <f>IF(OR(E30="",E30=0),-1E+99,I30+ROW()/100000)</f>
        <v>-1E+99</v>
      </c>
      <c r="M30" s="9">
        <f>IF(OR(E30="",E30=0),-1E+99,F30-ROW()/100000)</f>
        <v>-1E+99</v>
      </c>
      <c r="N30" s="9" t="str">
        <f>IF(B30="","",COUNTA($B$9:B30))</f>
        <v/>
      </c>
    </row>
    <row r="31" spans="1:14">
      <c r="A31" s="8">
        <v>23</v>
      </c>
      <c r="B31" s="22"/>
      <c r="C31" s="21"/>
      <c r="D31" s="21"/>
      <c r="E31" s="9" t="str">
        <f>IF(OR(B31="",NOT(ISNUMBER(C31)),NOT(ISNUMBER(D31))),"",C31+D31)</f>
        <v/>
      </c>
      <c r="F31" s="7" t="str">
        <f>IF(OR(E31="",E31=0),"",$D$5/E31)</f>
        <v/>
      </c>
      <c r="G31" s="9" t="str">
        <f>IF(OR(B31="",NOT(ISNUMBER(C31))),"",C31-$B$5)</f>
        <v/>
      </c>
      <c r="H31" s="9" t="str">
        <f>IF(OR(B31="",NOT(ISNUMBER(D31))),"",D31-$C$5)</f>
        <v/>
      </c>
      <c r="I31" s="9" t="str">
        <f>IF(OR(E31="",E31=0),"",E31-$D$5)</f>
        <v/>
      </c>
      <c r="J31" s="14" t="str">
        <f>IF(OR(E31="",E31=0),"",IF(AND(G31&gt;0,H31&gt;0),"要改善（両方遅い）",IF(G31&gt;0,"ピッキング改善",IF(H31&gt;0,"梱包改善","良好"))))</f>
        <v/>
      </c>
      <c r="K31" s="14" t="str">
        <f>IF(OR(E31="",E31=0),"",IF(AND(G31&gt;0,H31&gt;0),IF(I31&gt;=0.2,"両工程を見直し","両工程を微改善"),IF(AND(I31&gt;0,G31&gt;0),"ピック導線を改善",IF(AND(I31&gt;0,H31&gt;0),"梱包手順を改善",IF(AND(G31&lt;0,H31&lt;0),"良好","目標達成")))))</f>
        <v/>
      </c>
      <c r="L31" s="9">
        <f>IF(OR(E31="",E31=0),-1E+99,I31+ROW()/100000)</f>
        <v>-1E+99</v>
      </c>
      <c r="M31" s="9">
        <f>IF(OR(E31="",E31=0),-1E+99,F31-ROW()/100000)</f>
        <v>-1E+99</v>
      </c>
      <c r="N31" s="9" t="str">
        <f>IF(B31="","",COUNTA($B$9:B31))</f>
        <v/>
      </c>
    </row>
    <row r="32" spans="1:14">
      <c r="A32" s="8">
        <v>24</v>
      </c>
      <c r="B32" s="22"/>
      <c r="C32" s="21"/>
      <c r="D32" s="21"/>
      <c r="E32" s="9" t="str">
        <f>IF(OR(B32="",NOT(ISNUMBER(C32)),NOT(ISNUMBER(D32))),"",C32+D32)</f>
        <v/>
      </c>
      <c r="F32" s="7" t="str">
        <f>IF(OR(E32="",E32=0),"",$D$5/E32)</f>
        <v/>
      </c>
      <c r="G32" s="9" t="str">
        <f>IF(OR(B32="",NOT(ISNUMBER(C32))),"",C32-$B$5)</f>
        <v/>
      </c>
      <c r="H32" s="9" t="str">
        <f>IF(OR(B32="",NOT(ISNUMBER(D32))),"",D32-$C$5)</f>
        <v/>
      </c>
      <c r="I32" s="9" t="str">
        <f>IF(OR(E32="",E32=0),"",E32-$D$5)</f>
        <v/>
      </c>
      <c r="J32" s="14" t="str">
        <f>IF(OR(E32="",E32=0),"",IF(AND(G32&gt;0,H32&gt;0),"要改善（両方遅い）",IF(G32&gt;0,"ピッキング改善",IF(H32&gt;0,"梱包改善","良好"))))</f>
        <v/>
      </c>
      <c r="K32" s="14" t="str">
        <f>IF(OR(E32="",E32=0),"",IF(AND(G32&gt;0,H32&gt;0),IF(I32&gt;=0.2,"両工程を見直し","両工程を微改善"),IF(AND(I32&gt;0,G32&gt;0),"ピック導線を改善",IF(AND(I32&gt;0,H32&gt;0),"梱包手順を改善",IF(AND(G32&lt;0,H32&lt;0),"良好","目標達成")))))</f>
        <v/>
      </c>
      <c r="L32" s="9">
        <f>IF(OR(E32="",E32=0),-1E+99,I32+ROW()/100000)</f>
        <v>-1E+99</v>
      </c>
      <c r="M32" s="9">
        <f>IF(OR(E32="",E32=0),-1E+99,F32-ROW()/100000)</f>
        <v>-1E+99</v>
      </c>
      <c r="N32" s="9" t="str">
        <f>IF(B32="","",COUNTA($B$9:B32))</f>
        <v/>
      </c>
    </row>
    <row r="33" spans="1:14">
      <c r="A33" s="8">
        <v>25</v>
      </c>
      <c r="B33" s="22"/>
      <c r="C33" s="21"/>
      <c r="D33" s="21"/>
      <c r="E33" s="9" t="str">
        <f>IF(OR(B33="",NOT(ISNUMBER(C33)),NOT(ISNUMBER(D33))),"",C33+D33)</f>
        <v/>
      </c>
      <c r="F33" s="7" t="str">
        <f>IF(OR(E33="",E33=0),"",$D$5/E33)</f>
        <v/>
      </c>
      <c r="G33" s="9" t="str">
        <f>IF(OR(B33="",NOT(ISNUMBER(C33))),"",C33-$B$5)</f>
        <v/>
      </c>
      <c r="H33" s="9" t="str">
        <f>IF(OR(B33="",NOT(ISNUMBER(D33))),"",D33-$C$5)</f>
        <v/>
      </c>
      <c r="I33" s="9" t="str">
        <f>IF(OR(E33="",E33=0),"",E33-$D$5)</f>
        <v/>
      </c>
      <c r="J33" s="14" t="str">
        <f>IF(OR(E33="",E33=0),"",IF(AND(G33&gt;0,H33&gt;0),"要改善（両方遅い）",IF(G33&gt;0,"ピッキング改善",IF(H33&gt;0,"梱包改善","良好"))))</f>
        <v/>
      </c>
      <c r="K33" s="14" t="str">
        <f>IF(OR(E33="",E33=0),"",IF(AND(G33&gt;0,H33&gt;0),IF(I33&gt;=0.2,"両工程を見直し","両工程を微改善"),IF(AND(I33&gt;0,G33&gt;0),"ピック導線を改善",IF(AND(I33&gt;0,H33&gt;0),"梱包手順を改善",IF(AND(G33&lt;0,H33&lt;0),"良好","目標達成")))))</f>
        <v/>
      </c>
      <c r="L33" s="9">
        <f>IF(OR(E33="",E33=0),-1E+99,I33+ROW()/100000)</f>
        <v>-1E+99</v>
      </c>
      <c r="M33" s="9">
        <f>IF(OR(E33="",E33=0),-1E+99,F33-ROW()/100000)</f>
        <v>-1E+99</v>
      </c>
      <c r="N33" s="9" t="str">
        <f>IF(B33="","",COUNTA($B$9:B33))</f>
        <v/>
      </c>
    </row>
    <row r="34" spans="1:14">
      <c r="A34" s="8">
        <v>26</v>
      </c>
      <c r="B34" s="22"/>
      <c r="C34" s="21"/>
      <c r="D34" s="21"/>
      <c r="E34" s="9" t="str">
        <f>IF(OR(B34="",NOT(ISNUMBER(C34)),NOT(ISNUMBER(D34))),"",C34+D34)</f>
        <v/>
      </c>
      <c r="F34" s="7" t="str">
        <f>IF(OR(E34="",E34=0),"",$D$5/E34)</f>
        <v/>
      </c>
      <c r="G34" s="9" t="str">
        <f>IF(OR(B34="",NOT(ISNUMBER(C34))),"",C34-$B$5)</f>
        <v/>
      </c>
      <c r="H34" s="9" t="str">
        <f>IF(OR(B34="",NOT(ISNUMBER(D34))),"",D34-$C$5)</f>
        <v/>
      </c>
      <c r="I34" s="9" t="str">
        <f>IF(OR(E34="",E34=0),"",E34-$D$5)</f>
        <v/>
      </c>
      <c r="J34" s="14" t="str">
        <f>IF(OR(E34="",E34=0),"",IF(AND(G34&gt;0,H34&gt;0),"要改善（両方遅い）",IF(G34&gt;0,"ピッキング改善",IF(H34&gt;0,"梱包改善","良好"))))</f>
        <v/>
      </c>
      <c r="K34" s="14" t="str">
        <f>IF(OR(E34="",E34=0),"",IF(AND(G34&gt;0,H34&gt;0),IF(I34&gt;=0.2,"両工程を見直し","両工程を微改善"),IF(AND(I34&gt;0,G34&gt;0),"ピック導線を改善",IF(AND(I34&gt;0,H34&gt;0),"梱包手順を改善",IF(AND(G34&lt;0,H34&lt;0),"良好","目標達成")))))</f>
        <v/>
      </c>
      <c r="L34" s="9">
        <f>IF(OR(E34="",E34=0),-1E+99,I34+ROW()/100000)</f>
        <v>-1E+99</v>
      </c>
      <c r="M34" s="9">
        <f>IF(OR(E34="",E34=0),-1E+99,F34-ROW()/100000)</f>
        <v>-1E+99</v>
      </c>
      <c r="N34" s="9" t="str">
        <f>IF(B34="","",COUNTA($B$9:B34))</f>
        <v/>
      </c>
    </row>
    <row r="35" spans="1:14">
      <c r="A35" s="8">
        <v>27</v>
      </c>
      <c r="B35" s="22"/>
      <c r="C35" s="21"/>
      <c r="D35" s="21"/>
      <c r="E35" s="9" t="str">
        <f>IF(OR(B35="",NOT(ISNUMBER(C35)),NOT(ISNUMBER(D35))),"",C35+D35)</f>
        <v/>
      </c>
      <c r="F35" s="7" t="str">
        <f>IF(OR(E35="",E35=0),"",$D$5/E35)</f>
        <v/>
      </c>
      <c r="G35" s="9" t="str">
        <f>IF(OR(B35="",NOT(ISNUMBER(C35))),"",C35-$B$5)</f>
        <v/>
      </c>
      <c r="H35" s="9" t="str">
        <f>IF(OR(B35="",NOT(ISNUMBER(D35))),"",D35-$C$5)</f>
        <v/>
      </c>
      <c r="I35" s="9" t="str">
        <f>IF(OR(E35="",E35=0),"",E35-$D$5)</f>
        <v/>
      </c>
      <c r="J35" s="14" t="str">
        <f>IF(OR(E35="",E35=0),"",IF(AND(G35&gt;0,H35&gt;0),"要改善（両方遅い）",IF(G35&gt;0,"ピッキング改善",IF(H35&gt;0,"梱包改善","良好"))))</f>
        <v/>
      </c>
      <c r="K35" s="14" t="str">
        <f>IF(OR(E35="",E35=0),"",IF(AND(G35&gt;0,H35&gt;0),IF(I35&gt;=0.2,"両工程を見直し","両工程を微改善"),IF(AND(I35&gt;0,G35&gt;0),"ピック導線を改善",IF(AND(I35&gt;0,H35&gt;0),"梱包手順を改善",IF(AND(G35&lt;0,H35&lt;0),"良好","目標達成")))))</f>
        <v/>
      </c>
      <c r="L35" s="9">
        <f>IF(OR(E35="",E35=0),-1E+99,I35+ROW()/100000)</f>
        <v>-1E+99</v>
      </c>
      <c r="M35" s="9">
        <f>IF(OR(E35="",E35=0),-1E+99,F35-ROW()/100000)</f>
        <v>-1E+99</v>
      </c>
      <c r="N35" s="9" t="str">
        <f>IF(B35="","",COUNTA($B$9:B35))</f>
        <v/>
      </c>
    </row>
    <row r="36" spans="1:14">
      <c r="A36" s="8">
        <v>28</v>
      </c>
      <c r="B36" s="22"/>
      <c r="C36" s="21"/>
      <c r="D36" s="21"/>
      <c r="E36" s="9" t="str">
        <f>IF(OR(B36="",NOT(ISNUMBER(C36)),NOT(ISNUMBER(D36))),"",C36+D36)</f>
        <v/>
      </c>
      <c r="F36" s="7" t="str">
        <f>IF(OR(E36="",E36=0),"",$D$5/E36)</f>
        <v/>
      </c>
      <c r="G36" s="9" t="str">
        <f>IF(OR(B36="",NOT(ISNUMBER(C36))),"",C36-$B$5)</f>
        <v/>
      </c>
      <c r="H36" s="9" t="str">
        <f>IF(OR(B36="",NOT(ISNUMBER(D36))),"",D36-$C$5)</f>
        <v/>
      </c>
      <c r="I36" s="9" t="str">
        <f>IF(OR(E36="",E36=0),"",E36-$D$5)</f>
        <v/>
      </c>
      <c r="J36" s="14" t="str">
        <f>IF(OR(E36="",E36=0),"",IF(AND(G36&gt;0,H36&gt;0),"要改善（両方遅い）",IF(G36&gt;0,"ピッキング改善",IF(H36&gt;0,"梱包改善","良好"))))</f>
        <v/>
      </c>
      <c r="K36" s="14" t="str">
        <f>IF(OR(E36="",E36=0),"",IF(AND(G36&gt;0,H36&gt;0),IF(I36&gt;=0.2,"両工程を見直し","両工程を微改善"),IF(AND(I36&gt;0,G36&gt;0),"ピック導線を改善",IF(AND(I36&gt;0,H36&gt;0),"梱包手順を改善",IF(AND(G36&lt;0,H36&lt;0),"良好","目標達成")))))</f>
        <v/>
      </c>
      <c r="L36" s="9">
        <f>IF(OR(E36="",E36=0),-1E+99,I36+ROW()/100000)</f>
        <v>-1E+99</v>
      </c>
      <c r="M36" s="9">
        <f>IF(OR(E36="",E36=0),-1E+99,F36-ROW()/100000)</f>
        <v>-1E+99</v>
      </c>
      <c r="N36" s="9" t="str">
        <f>IF(B36="","",COUNTA($B$9:B36))</f>
        <v/>
      </c>
    </row>
    <row r="37" spans="1:14">
      <c r="A37" s="8">
        <v>29</v>
      </c>
      <c r="B37" s="22"/>
      <c r="C37" s="21"/>
      <c r="D37" s="21"/>
      <c r="E37" s="9" t="str">
        <f>IF(OR(B37="",NOT(ISNUMBER(C37)),NOT(ISNUMBER(D37))),"",C37+D37)</f>
        <v/>
      </c>
      <c r="F37" s="7" t="str">
        <f>IF(OR(E37="",E37=0),"",$D$5/E37)</f>
        <v/>
      </c>
      <c r="G37" s="9" t="str">
        <f>IF(OR(B37="",NOT(ISNUMBER(C37))),"",C37-$B$5)</f>
        <v/>
      </c>
      <c r="H37" s="9" t="str">
        <f>IF(OR(B37="",NOT(ISNUMBER(D37))),"",D37-$C$5)</f>
        <v/>
      </c>
      <c r="I37" s="9" t="str">
        <f>IF(OR(E37="",E37=0),"",E37-$D$5)</f>
        <v/>
      </c>
      <c r="J37" s="14" t="str">
        <f>IF(OR(E37="",E37=0),"",IF(AND(G37&gt;0,H37&gt;0),"要改善（両方遅い）",IF(G37&gt;0,"ピッキング改善",IF(H37&gt;0,"梱包改善","良好"))))</f>
        <v/>
      </c>
      <c r="K37" s="14" t="str">
        <f>IF(OR(E37="",E37=0),"",IF(AND(G37&gt;0,H37&gt;0),IF(I37&gt;=0.2,"両工程を見直し","両工程を微改善"),IF(AND(I37&gt;0,G37&gt;0),"ピック導線を改善",IF(AND(I37&gt;0,H37&gt;0),"梱包手順を改善",IF(AND(G37&lt;0,H37&lt;0),"良好","目標達成")))))</f>
        <v/>
      </c>
      <c r="L37" s="9">
        <f>IF(OR(E37="",E37=0),-1E+99,I37+ROW()/100000)</f>
        <v>-1E+99</v>
      </c>
      <c r="M37" s="9">
        <f>IF(OR(E37="",E37=0),-1E+99,F37-ROW()/100000)</f>
        <v>-1E+99</v>
      </c>
      <c r="N37" s="9" t="str">
        <f>IF(B37="","",COUNTA($B$9:B37))</f>
        <v/>
      </c>
    </row>
    <row r="38" spans="1:14">
      <c r="A38" s="8">
        <v>30</v>
      </c>
      <c r="B38" s="22"/>
      <c r="C38" s="21"/>
      <c r="D38" s="21"/>
      <c r="E38" s="9" t="str">
        <f>IF(OR(B38="",NOT(ISNUMBER(C38)),NOT(ISNUMBER(D38))),"",C38+D38)</f>
        <v/>
      </c>
      <c r="F38" s="7" t="str">
        <f>IF(OR(E38="",E38=0),"",$D$5/E38)</f>
        <v/>
      </c>
      <c r="G38" s="9" t="str">
        <f>IF(OR(B38="",NOT(ISNUMBER(C38))),"",C38-$B$5)</f>
        <v/>
      </c>
      <c r="H38" s="9" t="str">
        <f>IF(OR(B38="",NOT(ISNUMBER(D38))),"",D38-$C$5)</f>
        <v/>
      </c>
      <c r="I38" s="9" t="str">
        <f>IF(OR(E38="",E38=0),"",E38-$D$5)</f>
        <v/>
      </c>
      <c r="J38" s="14" t="str">
        <f>IF(OR(E38="",E38=0),"",IF(AND(G38&gt;0,H38&gt;0),"要改善（両方遅い）",IF(G38&gt;0,"ピッキング改善",IF(H38&gt;0,"梱包改善","良好"))))</f>
        <v/>
      </c>
      <c r="K38" s="14" t="str">
        <f>IF(OR(E38="",E38=0),"",IF(AND(G38&gt;0,H38&gt;0),IF(I38&gt;=0.2,"両工程を見直し","両工程を微改善"),IF(AND(I38&gt;0,G38&gt;0),"ピック導線を改善",IF(AND(I38&gt;0,H38&gt;0),"梱包手順を改善",IF(AND(G38&lt;0,H38&lt;0),"良好","目標達成")))))</f>
        <v/>
      </c>
      <c r="L38" s="9">
        <f>IF(OR(E38="",E38=0),-1E+99,I38+ROW()/100000)</f>
        <v>-1E+99</v>
      </c>
      <c r="M38" s="9">
        <f>IF(OR(E38="",E38=0),-1E+99,F38-ROW()/100000)</f>
        <v>-1E+99</v>
      </c>
      <c r="N38" s="9" t="str">
        <f>IF(B38="","",COUNTA($B$9:B38))</f>
        <v/>
      </c>
    </row>
    <row r="39" spans="1:14">
      <c r="A39" s="8">
        <v>31</v>
      </c>
      <c r="B39" s="22"/>
      <c r="C39" s="21"/>
      <c r="D39" s="21"/>
      <c r="E39" s="9" t="str">
        <f>IF(OR(B39="",NOT(ISNUMBER(C39)),NOT(ISNUMBER(D39))),"",C39+D39)</f>
        <v/>
      </c>
      <c r="F39" s="7" t="str">
        <f>IF(OR(E39="",E39=0),"",$D$5/E39)</f>
        <v/>
      </c>
      <c r="G39" s="9" t="str">
        <f>IF(OR(B39="",NOT(ISNUMBER(C39))),"",C39-$B$5)</f>
        <v/>
      </c>
      <c r="H39" s="9" t="str">
        <f>IF(OR(B39="",NOT(ISNUMBER(D39))),"",D39-$C$5)</f>
        <v/>
      </c>
      <c r="I39" s="9" t="str">
        <f>IF(OR(E39="",E39=0),"",E39-$D$5)</f>
        <v/>
      </c>
      <c r="J39" s="14" t="str">
        <f>IF(OR(E39="",E39=0),"",IF(AND(G39&gt;0,H39&gt;0),"要改善（両方遅い）",IF(G39&gt;0,"ピッキング改善",IF(H39&gt;0,"梱包改善","良好"))))</f>
        <v/>
      </c>
      <c r="K39" s="14" t="str">
        <f>IF(OR(E39="",E39=0),"",IF(AND(G39&gt;0,H39&gt;0),IF(I39&gt;=0.2,"両工程を見直し","両工程を微改善"),IF(AND(I39&gt;0,G39&gt;0),"ピック導線を改善",IF(AND(I39&gt;0,H39&gt;0),"梱包手順を改善",IF(AND(G39&lt;0,H39&lt;0),"良好","目標達成")))))</f>
        <v/>
      </c>
      <c r="L39" s="9">
        <f>IF(OR(E39="",E39=0),-1E+99,I39+ROW()/100000)</f>
        <v>-1E+99</v>
      </c>
      <c r="M39" s="9">
        <f>IF(OR(E39="",E39=0),-1E+99,F39-ROW()/100000)</f>
        <v>-1E+99</v>
      </c>
      <c r="N39" s="9" t="str">
        <f>IF(B39="","",COUNTA($B$9:B39))</f>
        <v/>
      </c>
    </row>
    <row r="40" spans="1:14">
      <c r="A40" s="8">
        <v>32</v>
      </c>
      <c r="B40" s="22"/>
      <c r="C40" s="21"/>
      <c r="D40" s="21"/>
      <c r="E40" s="9" t="str">
        <f>IF(OR(B40="",NOT(ISNUMBER(C40)),NOT(ISNUMBER(D40))),"",C40+D40)</f>
        <v/>
      </c>
      <c r="F40" s="7" t="str">
        <f>IF(OR(E40="",E40=0),"",$D$5/E40)</f>
        <v/>
      </c>
      <c r="G40" s="9" t="str">
        <f>IF(OR(B40="",NOT(ISNUMBER(C40))),"",C40-$B$5)</f>
        <v/>
      </c>
      <c r="H40" s="9" t="str">
        <f>IF(OR(B40="",NOT(ISNUMBER(D40))),"",D40-$C$5)</f>
        <v/>
      </c>
      <c r="I40" s="9" t="str">
        <f>IF(OR(E40="",E40=0),"",E40-$D$5)</f>
        <v/>
      </c>
      <c r="J40" s="14" t="str">
        <f>IF(OR(E40="",E40=0),"",IF(AND(G40&gt;0,H40&gt;0),"要改善（両方遅い）",IF(G40&gt;0,"ピッキング改善",IF(H40&gt;0,"梱包改善","良好"))))</f>
        <v/>
      </c>
      <c r="K40" s="14" t="str">
        <f>IF(OR(E40="",E40=0),"",IF(AND(G40&gt;0,H40&gt;0),IF(I40&gt;=0.2,"両工程を見直し","両工程を微改善"),IF(AND(I40&gt;0,G40&gt;0),"ピック導線を改善",IF(AND(I40&gt;0,H40&gt;0),"梱包手順を改善",IF(AND(G40&lt;0,H40&lt;0),"良好","目標達成")))))</f>
        <v/>
      </c>
      <c r="L40" s="9">
        <f>IF(OR(E40="",E40=0),-1E+99,I40+ROW()/100000)</f>
        <v>-1E+99</v>
      </c>
      <c r="M40" s="9">
        <f>IF(OR(E40="",E40=0),-1E+99,F40-ROW()/100000)</f>
        <v>-1E+99</v>
      </c>
      <c r="N40" s="9" t="str">
        <f>IF(B40="","",COUNTA($B$9:B40))</f>
        <v/>
      </c>
    </row>
    <row r="41" spans="1:14">
      <c r="A41" s="8">
        <v>33</v>
      </c>
      <c r="B41" s="22"/>
      <c r="C41" s="21"/>
      <c r="D41" s="21"/>
      <c r="E41" s="9" t="str">
        <f>IF(OR(B41="",NOT(ISNUMBER(C41)),NOT(ISNUMBER(D41))),"",C41+D41)</f>
        <v/>
      </c>
      <c r="F41" s="7" t="str">
        <f>IF(OR(E41="",E41=0),"",$D$5/E41)</f>
        <v/>
      </c>
      <c r="G41" s="9" t="str">
        <f>IF(OR(B41="",NOT(ISNUMBER(C41))),"",C41-$B$5)</f>
        <v/>
      </c>
      <c r="H41" s="9" t="str">
        <f>IF(OR(B41="",NOT(ISNUMBER(D41))),"",D41-$C$5)</f>
        <v/>
      </c>
      <c r="I41" s="9" t="str">
        <f>IF(OR(E41="",E41=0),"",E41-$D$5)</f>
        <v/>
      </c>
      <c r="J41" s="14" t="str">
        <f>IF(OR(E41="",E41=0),"",IF(AND(G41&gt;0,H41&gt;0),"要改善（両方遅い）",IF(G41&gt;0,"ピッキング改善",IF(H41&gt;0,"梱包改善","良好"))))</f>
        <v/>
      </c>
      <c r="K41" s="14" t="str">
        <f>IF(OR(E41="",E41=0),"",IF(AND(G41&gt;0,H41&gt;0),IF(I41&gt;=0.2,"両工程を見直し","両工程を微改善"),IF(AND(I41&gt;0,G41&gt;0),"ピック導線を改善",IF(AND(I41&gt;0,H41&gt;0),"梱包手順を改善",IF(AND(G41&lt;0,H41&lt;0),"良好","目標達成")))))</f>
        <v/>
      </c>
      <c r="L41" s="9">
        <f>IF(OR(E41="",E41=0),-1E+99,I41+ROW()/100000)</f>
        <v>-1E+99</v>
      </c>
      <c r="M41" s="9">
        <f>IF(OR(E41="",E41=0),-1E+99,F41-ROW()/100000)</f>
        <v>-1E+99</v>
      </c>
      <c r="N41" s="9" t="str">
        <f>IF(B41="","",COUNTA($B$9:B41))</f>
        <v/>
      </c>
    </row>
    <row r="42" spans="1:14">
      <c r="A42" s="8">
        <v>34</v>
      </c>
      <c r="B42" s="22"/>
      <c r="C42" s="21"/>
      <c r="D42" s="21"/>
      <c r="E42" s="9" t="str">
        <f>IF(OR(B42="",NOT(ISNUMBER(C42)),NOT(ISNUMBER(D42))),"",C42+D42)</f>
        <v/>
      </c>
      <c r="F42" s="7" t="str">
        <f>IF(OR(E42="",E42=0),"",$D$5/E42)</f>
        <v/>
      </c>
      <c r="G42" s="9" t="str">
        <f>IF(OR(B42="",NOT(ISNUMBER(C42))),"",C42-$B$5)</f>
        <v/>
      </c>
      <c r="H42" s="9" t="str">
        <f>IF(OR(B42="",NOT(ISNUMBER(D42))),"",D42-$C$5)</f>
        <v/>
      </c>
      <c r="I42" s="9" t="str">
        <f>IF(OR(E42="",E42=0),"",E42-$D$5)</f>
        <v/>
      </c>
      <c r="J42" s="14" t="str">
        <f>IF(OR(E42="",E42=0),"",IF(AND(G42&gt;0,H42&gt;0),"要改善（両方遅い）",IF(G42&gt;0,"ピッキング改善",IF(H42&gt;0,"梱包改善","良好"))))</f>
        <v/>
      </c>
      <c r="K42" s="14" t="str">
        <f>IF(OR(E42="",E42=0),"",IF(AND(G42&gt;0,H42&gt;0),IF(I42&gt;=0.2,"両工程を見直し","両工程を微改善"),IF(AND(I42&gt;0,G42&gt;0),"ピック導線を改善",IF(AND(I42&gt;0,H42&gt;0),"梱包手順を改善",IF(AND(G42&lt;0,H42&lt;0),"良好","目標達成")))))</f>
        <v/>
      </c>
      <c r="L42" s="9">
        <f>IF(OR(E42="",E42=0),-1E+99,I42+ROW()/100000)</f>
        <v>-1E+99</v>
      </c>
      <c r="M42" s="9">
        <f>IF(OR(E42="",E42=0),-1E+99,F42-ROW()/100000)</f>
        <v>-1E+99</v>
      </c>
      <c r="N42" s="9" t="str">
        <f>IF(B42="","",COUNTA($B$9:B42))</f>
        <v/>
      </c>
    </row>
    <row r="43" spans="1:14">
      <c r="A43" s="8">
        <v>35</v>
      </c>
      <c r="B43" s="22"/>
      <c r="C43" s="21"/>
      <c r="D43" s="21"/>
      <c r="E43" s="9" t="str">
        <f>IF(OR(B43="",NOT(ISNUMBER(C43)),NOT(ISNUMBER(D43))),"",C43+D43)</f>
        <v/>
      </c>
      <c r="F43" s="7" t="str">
        <f>IF(OR(E43="",E43=0),"",$D$5/E43)</f>
        <v/>
      </c>
      <c r="G43" s="9" t="str">
        <f>IF(OR(B43="",NOT(ISNUMBER(C43))),"",C43-$B$5)</f>
        <v/>
      </c>
      <c r="H43" s="9" t="str">
        <f>IF(OR(B43="",NOT(ISNUMBER(D43))),"",D43-$C$5)</f>
        <v/>
      </c>
      <c r="I43" s="9" t="str">
        <f>IF(OR(E43="",E43=0),"",E43-$D$5)</f>
        <v/>
      </c>
      <c r="J43" s="14" t="str">
        <f>IF(OR(E43="",E43=0),"",IF(AND(G43&gt;0,H43&gt;0),"要改善（両方遅い）",IF(G43&gt;0,"ピッキング改善",IF(H43&gt;0,"梱包改善","良好"))))</f>
        <v/>
      </c>
      <c r="K43" s="14" t="str">
        <f>IF(OR(E43="",E43=0),"",IF(AND(G43&gt;0,H43&gt;0),IF(I43&gt;=0.2,"両工程を見直し","両工程を微改善"),IF(AND(I43&gt;0,G43&gt;0),"ピック導線を改善",IF(AND(I43&gt;0,H43&gt;0),"梱包手順を改善",IF(AND(G43&lt;0,H43&lt;0),"良好","目標達成")))))</f>
        <v/>
      </c>
      <c r="L43" s="9">
        <f>IF(OR(E43="",E43=0),-1E+99,I43+ROW()/100000)</f>
        <v>-1E+99</v>
      </c>
      <c r="M43" s="9">
        <f>IF(OR(E43="",E43=0),-1E+99,F43-ROW()/100000)</f>
        <v>-1E+99</v>
      </c>
      <c r="N43" s="9" t="str">
        <f>IF(B43="","",COUNTA($B$9:B43))</f>
        <v/>
      </c>
    </row>
    <row r="44" spans="1:14">
      <c r="A44" s="8">
        <v>36</v>
      </c>
      <c r="B44" s="22"/>
      <c r="C44" s="21"/>
      <c r="D44" s="21"/>
      <c r="E44" s="9" t="str">
        <f>IF(OR(B44="",NOT(ISNUMBER(C44)),NOT(ISNUMBER(D44))),"",C44+D44)</f>
        <v/>
      </c>
      <c r="F44" s="7" t="str">
        <f>IF(OR(E44="",E44=0),"",$D$5/E44)</f>
        <v/>
      </c>
      <c r="G44" s="9" t="str">
        <f>IF(OR(B44="",NOT(ISNUMBER(C44))),"",C44-$B$5)</f>
        <v/>
      </c>
      <c r="H44" s="9" t="str">
        <f>IF(OR(B44="",NOT(ISNUMBER(D44))),"",D44-$C$5)</f>
        <v/>
      </c>
      <c r="I44" s="9" t="str">
        <f>IF(OR(E44="",E44=0),"",E44-$D$5)</f>
        <v/>
      </c>
      <c r="J44" s="14" t="str">
        <f>IF(OR(E44="",E44=0),"",IF(AND(G44&gt;0,H44&gt;0),"要改善（両方遅い）",IF(G44&gt;0,"ピッキング改善",IF(H44&gt;0,"梱包改善","良好"))))</f>
        <v/>
      </c>
      <c r="K44" s="14" t="str">
        <f>IF(OR(E44="",E44=0),"",IF(AND(G44&gt;0,H44&gt;0),IF(I44&gt;=0.2,"両工程を見直し","両工程を微改善"),IF(AND(I44&gt;0,G44&gt;0),"ピック導線を改善",IF(AND(I44&gt;0,H44&gt;0),"梱包手順を改善",IF(AND(G44&lt;0,H44&lt;0),"良好","目標達成")))))</f>
        <v/>
      </c>
      <c r="L44" s="9">
        <f>IF(OR(E44="",E44=0),-1E+99,I44+ROW()/100000)</f>
        <v>-1E+99</v>
      </c>
      <c r="M44" s="9">
        <f>IF(OR(E44="",E44=0),-1E+99,F44-ROW()/100000)</f>
        <v>-1E+99</v>
      </c>
      <c r="N44" s="9" t="str">
        <f>IF(B44="","",COUNTA($B$9:B44))</f>
        <v/>
      </c>
    </row>
    <row r="45" spans="1:14">
      <c r="A45" s="8">
        <v>37</v>
      </c>
      <c r="B45" s="22"/>
      <c r="C45" s="21"/>
      <c r="D45" s="21"/>
      <c r="E45" s="9" t="str">
        <f>IF(OR(B45="",NOT(ISNUMBER(C45)),NOT(ISNUMBER(D45))),"",C45+D45)</f>
        <v/>
      </c>
      <c r="F45" s="7" t="str">
        <f>IF(OR(E45="",E45=0),"",$D$5/E45)</f>
        <v/>
      </c>
      <c r="G45" s="9" t="str">
        <f>IF(OR(B45="",NOT(ISNUMBER(C45))),"",C45-$B$5)</f>
        <v/>
      </c>
      <c r="H45" s="9" t="str">
        <f>IF(OR(B45="",NOT(ISNUMBER(D45))),"",D45-$C$5)</f>
        <v/>
      </c>
      <c r="I45" s="9" t="str">
        <f>IF(OR(E45="",E45=0),"",E45-$D$5)</f>
        <v/>
      </c>
      <c r="J45" s="14" t="str">
        <f>IF(OR(E45="",E45=0),"",IF(AND(G45&gt;0,H45&gt;0),"要改善（両方遅い）",IF(G45&gt;0,"ピッキング改善",IF(H45&gt;0,"梱包改善","良好"))))</f>
        <v/>
      </c>
      <c r="K45" s="14" t="str">
        <f>IF(OR(E45="",E45=0),"",IF(AND(G45&gt;0,H45&gt;0),IF(I45&gt;=0.2,"両工程を見直し","両工程を微改善"),IF(AND(I45&gt;0,G45&gt;0),"ピック導線を改善",IF(AND(I45&gt;0,H45&gt;0),"梱包手順を改善",IF(AND(G45&lt;0,H45&lt;0),"良好","目標達成")))))</f>
        <v/>
      </c>
      <c r="L45" s="9">
        <f>IF(OR(E45="",E45=0),-1E+99,I45+ROW()/100000)</f>
        <v>-1E+99</v>
      </c>
      <c r="M45" s="9">
        <f>IF(OR(E45="",E45=0),-1E+99,F45-ROW()/100000)</f>
        <v>-1E+99</v>
      </c>
      <c r="N45" s="9" t="str">
        <f>IF(B45="","",COUNTA($B$9:B45))</f>
        <v/>
      </c>
    </row>
    <row r="46" spans="1:14">
      <c r="A46" s="8">
        <v>38</v>
      </c>
      <c r="B46" s="22"/>
      <c r="C46" s="21"/>
      <c r="D46" s="21"/>
      <c r="E46" s="9" t="str">
        <f>IF(OR(B46="",NOT(ISNUMBER(C46)),NOT(ISNUMBER(D46))),"",C46+D46)</f>
        <v/>
      </c>
      <c r="F46" s="7" t="str">
        <f>IF(OR(E46="",E46=0),"",$D$5/E46)</f>
        <v/>
      </c>
      <c r="G46" s="9" t="str">
        <f>IF(OR(B46="",NOT(ISNUMBER(C46))),"",C46-$B$5)</f>
        <v/>
      </c>
      <c r="H46" s="9" t="str">
        <f>IF(OR(B46="",NOT(ISNUMBER(D46))),"",D46-$C$5)</f>
        <v/>
      </c>
      <c r="I46" s="9" t="str">
        <f>IF(OR(E46="",E46=0),"",E46-$D$5)</f>
        <v/>
      </c>
      <c r="J46" s="14" t="str">
        <f>IF(OR(E46="",E46=0),"",IF(AND(G46&gt;0,H46&gt;0),"要改善（両方遅い）",IF(G46&gt;0,"ピッキング改善",IF(H46&gt;0,"梱包改善","良好"))))</f>
        <v/>
      </c>
      <c r="K46" s="14" t="str">
        <f>IF(OR(E46="",E46=0),"",IF(AND(G46&gt;0,H46&gt;0),IF(I46&gt;=0.2,"両工程を見直し","両工程を微改善"),IF(AND(I46&gt;0,G46&gt;0),"ピック導線を改善",IF(AND(I46&gt;0,H46&gt;0),"梱包手順を改善",IF(AND(G46&lt;0,H46&lt;0),"良好","目標達成")))))</f>
        <v/>
      </c>
      <c r="L46" s="9">
        <f>IF(OR(E46="",E46=0),-1E+99,I46+ROW()/100000)</f>
        <v>-1E+99</v>
      </c>
      <c r="M46" s="9">
        <f>IF(OR(E46="",E46=0),-1E+99,F46-ROW()/100000)</f>
        <v>-1E+99</v>
      </c>
      <c r="N46" s="9" t="str">
        <f>IF(B46="","",COUNTA($B$9:B46))</f>
        <v/>
      </c>
    </row>
    <row r="47" spans="1:14">
      <c r="A47" s="8">
        <v>39</v>
      </c>
      <c r="B47" s="22"/>
      <c r="C47" s="21"/>
      <c r="D47" s="21"/>
      <c r="E47" s="9" t="str">
        <f>IF(OR(B47="",NOT(ISNUMBER(C47)),NOT(ISNUMBER(D47))),"",C47+D47)</f>
        <v/>
      </c>
      <c r="F47" s="7" t="str">
        <f>IF(OR(E47="",E47=0),"",$D$5/E47)</f>
        <v/>
      </c>
      <c r="G47" s="9" t="str">
        <f>IF(OR(B47="",NOT(ISNUMBER(C47))),"",C47-$B$5)</f>
        <v/>
      </c>
      <c r="H47" s="9" t="str">
        <f>IF(OR(B47="",NOT(ISNUMBER(D47))),"",D47-$C$5)</f>
        <v/>
      </c>
      <c r="I47" s="9" t="str">
        <f>IF(OR(E47="",E47=0),"",E47-$D$5)</f>
        <v/>
      </c>
      <c r="J47" s="14" t="str">
        <f>IF(OR(E47="",E47=0),"",IF(AND(G47&gt;0,H47&gt;0),"要改善（両方遅い）",IF(G47&gt;0,"ピッキング改善",IF(H47&gt;0,"梱包改善","良好"))))</f>
        <v/>
      </c>
      <c r="K47" s="14" t="str">
        <f>IF(OR(E47="",E47=0),"",IF(AND(G47&gt;0,H47&gt;0),IF(I47&gt;=0.2,"両工程を見直し","両工程を微改善"),IF(AND(I47&gt;0,G47&gt;0),"ピック導線を改善",IF(AND(I47&gt;0,H47&gt;0),"梱包手順を改善",IF(AND(G47&lt;0,H47&lt;0),"良好","目標達成")))))</f>
        <v/>
      </c>
      <c r="L47" s="9">
        <f>IF(OR(E47="",E47=0),-1E+99,I47+ROW()/100000)</f>
        <v>-1E+99</v>
      </c>
      <c r="M47" s="9">
        <f>IF(OR(E47="",E47=0),-1E+99,F47-ROW()/100000)</f>
        <v>-1E+99</v>
      </c>
      <c r="N47" s="9" t="str">
        <f>IF(B47="","",COUNTA($B$9:B47))</f>
        <v/>
      </c>
    </row>
    <row r="48" spans="1:14">
      <c r="A48" s="8">
        <v>40</v>
      </c>
      <c r="B48" s="22"/>
      <c r="C48" s="21"/>
      <c r="D48" s="21"/>
      <c r="E48" s="9" t="str">
        <f>IF(OR(B48="",NOT(ISNUMBER(C48)),NOT(ISNUMBER(D48))),"",C48+D48)</f>
        <v/>
      </c>
      <c r="F48" s="7" t="str">
        <f>IF(OR(E48="",E48=0),"",$D$5/E48)</f>
        <v/>
      </c>
      <c r="G48" s="9" t="str">
        <f>IF(OR(B48="",NOT(ISNUMBER(C48))),"",C48-$B$5)</f>
        <v/>
      </c>
      <c r="H48" s="9" t="str">
        <f>IF(OR(B48="",NOT(ISNUMBER(D48))),"",D48-$C$5)</f>
        <v/>
      </c>
      <c r="I48" s="9" t="str">
        <f>IF(OR(E48="",E48=0),"",E48-$D$5)</f>
        <v/>
      </c>
      <c r="J48" s="14" t="str">
        <f>IF(OR(E48="",E48=0),"",IF(AND(G48&gt;0,H48&gt;0),"要改善（両方遅い）",IF(G48&gt;0,"ピッキング改善",IF(H48&gt;0,"梱包改善","良好"))))</f>
        <v/>
      </c>
      <c r="K48" s="14" t="str">
        <f>IF(OR(E48="",E48=0),"",IF(AND(G48&gt;0,H48&gt;0),IF(I48&gt;=0.2,"両工程を見直し","両工程を微改善"),IF(AND(I48&gt;0,G48&gt;0),"ピック導線を改善",IF(AND(I48&gt;0,H48&gt;0),"梱包手順を改善",IF(AND(G48&lt;0,H48&lt;0),"良好","目標達成")))))</f>
        <v/>
      </c>
      <c r="L48" s="9">
        <f>IF(OR(E48="",E48=0),-1E+99,I48+ROW()/100000)</f>
        <v>-1E+99</v>
      </c>
      <c r="M48" s="9">
        <f>IF(OR(E48="",E48=0),-1E+99,F48-ROW()/100000)</f>
        <v>-1E+99</v>
      </c>
      <c r="N48" s="9" t="str">
        <f>IF(B48="","",COUNTA($B$9:B48))</f>
        <v/>
      </c>
    </row>
    <row r="49" spans="1:14">
      <c r="A49" s="8">
        <v>41</v>
      </c>
      <c r="B49" s="22"/>
      <c r="C49" s="21"/>
      <c r="D49" s="21"/>
      <c r="E49" s="9" t="str">
        <f>IF(OR(B49="",NOT(ISNUMBER(C49)),NOT(ISNUMBER(D49))),"",C49+D49)</f>
        <v/>
      </c>
      <c r="F49" s="7" t="str">
        <f>IF(OR(E49="",E49=0),"",$D$5/E49)</f>
        <v/>
      </c>
      <c r="G49" s="9" t="str">
        <f>IF(OR(B49="",NOT(ISNUMBER(C49))),"",C49-$B$5)</f>
        <v/>
      </c>
      <c r="H49" s="9" t="str">
        <f>IF(OR(B49="",NOT(ISNUMBER(D49))),"",D49-$C$5)</f>
        <v/>
      </c>
      <c r="I49" s="9" t="str">
        <f>IF(OR(E49="",E49=0),"",E49-$D$5)</f>
        <v/>
      </c>
      <c r="J49" s="14" t="str">
        <f>IF(OR(E49="",E49=0),"",IF(AND(G49&gt;0,H49&gt;0),"要改善（両方遅い）",IF(G49&gt;0,"ピッキング改善",IF(H49&gt;0,"梱包改善","良好"))))</f>
        <v/>
      </c>
      <c r="K49" s="14" t="str">
        <f>IF(OR(E49="",E49=0),"",IF(AND(G49&gt;0,H49&gt;0),IF(I49&gt;=0.2,"両工程を見直し","両工程を微改善"),IF(AND(I49&gt;0,G49&gt;0),"ピック導線を改善",IF(AND(I49&gt;0,H49&gt;0),"梱包手順を改善",IF(AND(G49&lt;0,H49&lt;0),"良好","目標達成")))))</f>
        <v/>
      </c>
      <c r="L49" s="9">
        <f>IF(OR(E49="",E49=0),-1E+99,I49+ROW()/100000)</f>
        <v>-1E+99</v>
      </c>
      <c r="M49" s="9">
        <f>IF(OR(E49="",E49=0),-1E+99,F49-ROW()/100000)</f>
        <v>-1E+99</v>
      </c>
      <c r="N49" s="9" t="str">
        <f>IF(B49="","",COUNTA($B$9:B49))</f>
        <v/>
      </c>
    </row>
    <row r="50" spans="1:14">
      <c r="A50" s="8">
        <v>42</v>
      </c>
      <c r="B50" s="22"/>
      <c r="C50" s="21"/>
      <c r="D50" s="21"/>
      <c r="E50" s="9" t="str">
        <f>IF(OR(B50="",NOT(ISNUMBER(C50)),NOT(ISNUMBER(D50))),"",C50+D50)</f>
        <v/>
      </c>
      <c r="F50" s="7" t="str">
        <f>IF(OR(E50="",E50=0),"",$D$5/E50)</f>
        <v/>
      </c>
      <c r="G50" s="9" t="str">
        <f>IF(OR(B50="",NOT(ISNUMBER(C50))),"",C50-$B$5)</f>
        <v/>
      </c>
      <c r="H50" s="9" t="str">
        <f>IF(OR(B50="",NOT(ISNUMBER(D50))),"",D50-$C$5)</f>
        <v/>
      </c>
      <c r="I50" s="9" t="str">
        <f>IF(OR(E50="",E50=0),"",E50-$D$5)</f>
        <v/>
      </c>
      <c r="J50" s="14" t="str">
        <f>IF(OR(E50="",E50=0),"",IF(AND(G50&gt;0,H50&gt;0),"要改善（両方遅い）",IF(G50&gt;0,"ピッキング改善",IF(H50&gt;0,"梱包改善","良好"))))</f>
        <v/>
      </c>
      <c r="K50" s="14" t="str">
        <f>IF(OR(E50="",E50=0),"",IF(AND(G50&gt;0,H50&gt;0),IF(I50&gt;=0.2,"両工程を見直し","両工程を微改善"),IF(AND(I50&gt;0,G50&gt;0),"ピック導線を改善",IF(AND(I50&gt;0,H50&gt;0),"梱包手順を改善",IF(AND(G50&lt;0,H50&lt;0),"良好","目標達成")))))</f>
        <v/>
      </c>
      <c r="L50" s="9">
        <f>IF(OR(E50="",E50=0),-1E+99,I50+ROW()/100000)</f>
        <v>-1E+99</v>
      </c>
      <c r="M50" s="9">
        <f>IF(OR(E50="",E50=0),-1E+99,F50-ROW()/100000)</f>
        <v>-1E+99</v>
      </c>
      <c r="N50" s="9" t="str">
        <f>IF(B50="","",COUNTA($B$9:B50))</f>
        <v/>
      </c>
    </row>
    <row r="51" spans="1:14">
      <c r="A51" s="8">
        <v>43</v>
      </c>
      <c r="B51" s="22"/>
      <c r="C51" s="21"/>
      <c r="D51" s="21"/>
      <c r="E51" s="9" t="str">
        <f>IF(OR(B51="",NOT(ISNUMBER(C51)),NOT(ISNUMBER(D51))),"",C51+D51)</f>
        <v/>
      </c>
      <c r="F51" s="7" t="str">
        <f>IF(OR(E51="",E51=0),"",$D$5/E51)</f>
        <v/>
      </c>
      <c r="G51" s="9" t="str">
        <f>IF(OR(B51="",NOT(ISNUMBER(C51))),"",C51-$B$5)</f>
        <v/>
      </c>
      <c r="H51" s="9" t="str">
        <f>IF(OR(B51="",NOT(ISNUMBER(D51))),"",D51-$C$5)</f>
        <v/>
      </c>
      <c r="I51" s="9" t="str">
        <f>IF(OR(E51="",E51=0),"",E51-$D$5)</f>
        <v/>
      </c>
      <c r="J51" s="14" t="str">
        <f>IF(OR(E51="",E51=0),"",IF(AND(G51&gt;0,H51&gt;0),"要改善（両方遅い）",IF(G51&gt;0,"ピッキング改善",IF(H51&gt;0,"梱包改善","良好"))))</f>
        <v/>
      </c>
      <c r="K51" s="14" t="str">
        <f>IF(OR(E51="",E51=0),"",IF(AND(G51&gt;0,H51&gt;0),IF(I51&gt;=0.2,"両工程を見直し","両工程を微改善"),IF(AND(I51&gt;0,G51&gt;0),"ピック導線を改善",IF(AND(I51&gt;0,H51&gt;0),"梱包手順を改善",IF(AND(G51&lt;0,H51&lt;0),"良好","目標達成")))))</f>
        <v/>
      </c>
      <c r="L51" s="9">
        <f>IF(OR(E51="",E51=0),-1E+99,I51+ROW()/100000)</f>
        <v>-1E+99</v>
      </c>
      <c r="M51" s="9">
        <f>IF(OR(E51="",E51=0),-1E+99,F51-ROW()/100000)</f>
        <v>-1E+99</v>
      </c>
      <c r="N51" s="9" t="str">
        <f>IF(B51="","",COUNTA($B$9:B51))</f>
        <v/>
      </c>
    </row>
    <row r="52" spans="1:14">
      <c r="A52" s="8">
        <v>44</v>
      </c>
      <c r="B52" s="22"/>
      <c r="C52" s="21"/>
      <c r="D52" s="21"/>
      <c r="E52" s="9" t="str">
        <f>IF(OR(B52="",NOT(ISNUMBER(C52)),NOT(ISNUMBER(D52))),"",C52+D52)</f>
        <v/>
      </c>
      <c r="F52" s="7" t="str">
        <f>IF(OR(E52="",E52=0),"",$D$5/E52)</f>
        <v/>
      </c>
      <c r="G52" s="9" t="str">
        <f>IF(OR(B52="",NOT(ISNUMBER(C52))),"",C52-$B$5)</f>
        <v/>
      </c>
      <c r="H52" s="9" t="str">
        <f>IF(OR(B52="",NOT(ISNUMBER(D52))),"",D52-$C$5)</f>
        <v/>
      </c>
      <c r="I52" s="9" t="str">
        <f>IF(OR(E52="",E52=0),"",E52-$D$5)</f>
        <v/>
      </c>
      <c r="J52" s="14" t="str">
        <f>IF(OR(E52="",E52=0),"",IF(AND(G52&gt;0,H52&gt;0),"要改善（両方遅い）",IF(G52&gt;0,"ピッキング改善",IF(H52&gt;0,"梱包改善","良好"))))</f>
        <v/>
      </c>
      <c r="K52" s="14" t="str">
        <f>IF(OR(E52="",E52=0),"",IF(AND(G52&gt;0,H52&gt;0),IF(I52&gt;=0.2,"両工程を見直し","両工程を微改善"),IF(AND(I52&gt;0,G52&gt;0),"ピック導線を改善",IF(AND(I52&gt;0,H52&gt;0),"梱包手順を改善",IF(AND(G52&lt;0,H52&lt;0),"良好","目標達成")))))</f>
        <v/>
      </c>
      <c r="L52" s="9">
        <f>IF(OR(E52="",E52=0),-1E+99,I52+ROW()/100000)</f>
        <v>-1E+99</v>
      </c>
      <c r="M52" s="9">
        <f>IF(OR(E52="",E52=0),-1E+99,F52-ROW()/100000)</f>
        <v>-1E+99</v>
      </c>
      <c r="N52" s="9" t="str">
        <f>IF(B52="","",COUNTA($B$9:B52))</f>
        <v/>
      </c>
    </row>
    <row r="53" spans="1:14">
      <c r="A53" s="8">
        <v>45</v>
      </c>
      <c r="B53" s="22"/>
      <c r="C53" s="21"/>
      <c r="D53" s="21"/>
      <c r="E53" s="9" t="str">
        <f>IF(OR(B53="",NOT(ISNUMBER(C53)),NOT(ISNUMBER(D53))),"",C53+D53)</f>
        <v/>
      </c>
      <c r="F53" s="7" t="str">
        <f>IF(OR(E53="",E53=0),"",$D$5/E53)</f>
        <v/>
      </c>
      <c r="G53" s="9" t="str">
        <f>IF(OR(B53="",NOT(ISNUMBER(C53))),"",C53-$B$5)</f>
        <v/>
      </c>
      <c r="H53" s="9" t="str">
        <f>IF(OR(B53="",NOT(ISNUMBER(D53))),"",D53-$C$5)</f>
        <v/>
      </c>
      <c r="I53" s="9" t="str">
        <f>IF(OR(E53="",E53=0),"",E53-$D$5)</f>
        <v/>
      </c>
      <c r="J53" s="14" t="str">
        <f>IF(OR(E53="",E53=0),"",IF(AND(G53&gt;0,H53&gt;0),"要改善（両方遅い）",IF(G53&gt;0,"ピッキング改善",IF(H53&gt;0,"梱包改善","良好"))))</f>
        <v/>
      </c>
      <c r="K53" s="14" t="str">
        <f>IF(OR(E53="",E53=0),"",IF(AND(G53&gt;0,H53&gt;0),IF(I53&gt;=0.2,"両工程を見直し","両工程を微改善"),IF(AND(I53&gt;0,G53&gt;0),"ピック導線を改善",IF(AND(I53&gt;0,H53&gt;0),"梱包手順を改善",IF(AND(G53&lt;0,H53&lt;0),"良好","目標達成")))))</f>
        <v/>
      </c>
      <c r="L53" s="9">
        <f>IF(OR(E53="",E53=0),-1E+99,I53+ROW()/100000)</f>
        <v>-1E+99</v>
      </c>
      <c r="M53" s="9">
        <f>IF(OR(E53="",E53=0),-1E+99,F53-ROW()/100000)</f>
        <v>-1E+99</v>
      </c>
      <c r="N53" s="9" t="str">
        <f>IF(B53="","",COUNTA($B$9:B53))</f>
        <v/>
      </c>
    </row>
    <row r="54" spans="1:14">
      <c r="A54" s="8">
        <v>46</v>
      </c>
      <c r="B54" s="22"/>
      <c r="C54" s="21"/>
      <c r="D54" s="21"/>
      <c r="E54" s="9" t="str">
        <f>IF(OR(B54="",NOT(ISNUMBER(C54)),NOT(ISNUMBER(D54))),"",C54+D54)</f>
        <v/>
      </c>
      <c r="F54" s="7" t="str">
        <f>IF(OR(E54="",E54=0),"",$D$5/E54)</f>
        <v/>
      </c>
      <c r="G54" s="9" t="str">
        <f>IF(OR(B54="",NOT(ISNUMBER(C54))),"",C54-$B$5)</f>
        <v/>
      </c>
      <c r="H54" s="9" t="str">
        <f>IF(OR(B54="",NOT(ISNUMBER(D54))),"",D54-$C$5)</f>
        <v/>
      </c>
      <c r="I54" s="9" t="str">
        <f>IF(OR(E54="",E54=0),"",E54-$D$5)</f>
        <v/>
      </c>
      <c r="J54" s="14" t="str">
        <f>IF(OR(E54="",E54=0),"",IF(AND(G54&gt;0,H54&gt;0),"要改善（両方遅い）",IF(G54&gt;0,"ピッキング改善",IF(H54&gt;0,"梱包改善","良好"))))</f>
        <v/>
      </c>
      <c r="K54" s="14" t="str">
        <f>IF(OR(E54="",E54=0),"",IF(AND(G54&gt;0,H54&gt;0),IF(I54&gt;=0.2,"両工程を見直し","両工程を微改善"),IF(AND(I54&gt;0,G54&gt;0),"ピック導線を改善",IF(AND(I54&gt;0,H54&gt;0),"梱包手順を改善",IF(AND(G54&lt;0,H54&lt;0),"良好","目標達成")))))</f>
        <v/>
      </c>
      <c r="L54" s="9">
        <f>IF(OR(E54="",E54=0),-1E+99,I54+ROW()/100000)</f>
        <v>-1E+99</v>
      </c>
      <c r="M54" s="9">
        <f>IF(OR(E54="",E54=0),-1E+99,F54-ROW()/100000)</f>
        <v>-1E+99</v>
      </c>
      <c r="N54" s="9" t="str">
        <f>IF(B54="","",COUNTA($B$9:B54))</f>
        <v/>
      </c>
    </row>
    <row r="55" spans="1:14">
      <c r="A55" s="8">
        <v>47</v>
      </c>
      <c r="B55" s="22"/>
      <c r="C55" s="21"/>
      <c r="D55" s="21"/>
      <c r="E55" s="9" t="str">
        <f>IF(OR(B55="",NOT(ISNUMBER(C55)),NOT(ISNUMBER(D55))),"",C55+D55)</f>
        <v/>
      </c>
      <c r="F55" s="7" t="str">
        <f>IF(OR(E55="",E55=0),"",$D$5/E55)</f>
        <v/>
      </c>
      <c r="G55" s="9" t="str">
        <f>IF(OR(B55="",NOT(ISNUMBER(C55))),"",C55-$B$5)</f>
        <v/>
      </c>
      <c r="H55" s="9" t="str">
        <f>IF(OR(B55="",NOT(ISNUMBER(D55))),"",D55-$C$5)</f>
        <v/>
      </c>
      <c r="I55" s="9" t="str">
        <f>IF(OR(E55="",E55=0),"",E55-$D$5)</f>
        <v/>
      </c>
      <c r="J55" s="14" t="str">
        <f>IF(OR(E55="",E55=0),"",IF(AND(G55&gt;0,H55&gt;0),"要改善（両方遅い）",IF(G55&gt;0,"ピッキング改善",IF(H55&gt;0,"梱包改善","良好"))))</f>
        <v/>
      </c>
      <c r="K55" s="14" t="str">
        <f>IF(OR(E55="",E55=0),"",IF(AND(G55&gt;0,H55&gt;0),IF(I55&gt;=0.2,"両工程を見直し","両工程を微改善"),IF(AND(I55&gt;0,G55&gt;0),"ピック導線を改善",IF(AND(I55&gt;0,H55&gt;0),"梱包手順を改善",IF(AND(G55&lt;0,H55&lt;0),"良好","目標達成")))))</f>
        <v/>
      </c>
      <c r="L55" s="9">
        <f>IF(OR(E55="",E55=0),-1E+99,I55+ROW()/100000)</f>
        <v>-1E+99</v>
      </c>
      <c r="M55" s="9">
        <f>IF(OR(E55="",E55=0),-1E+99,F55-ROW()/100000)</f>
        <v>-1E+99</v>
      </c>
      <c r="N55" s="9" t="str">
        <f>IF(B55="","",COUNTA($B$9:B55))</f>
        <v/>
      </c>
    </row>
    <row r="56" spans="1:14">
      <c r="A56" s="8">
        <v>48</v>
      </c>
      <c r="B56" s="22"/>
      <c r="C56" s="21"/>
      <c r="D56" s="21"/>
      <c r="E56" s="9" t="str">
        <f>IF(OR(B56="",NOT(ISNUMBER(C56)),NOT(ISNUMBER(D56))),"",C56+D56)</f>
        <v/>
      </c>
      <c r="F56" s="7" t="str">
        <f>IF(OR(E56="",E56=0),"",$D$5/E56)</f>
        <v/>
      </c>
      <c r="G56" s="9" t="str">
        <f>IF(OR(B56="",NOT(ISNUMBER(C56))),"",C56-$B$5)</f>
        <v/>
      </c>
      <c r="H56" s="9" t="str">
        <f>IF(OR(B56="",NOT(ISNUMBER(D56))),"",D56-$C$5)</f>
        <v/>
      </c>
      <c r="I56" s="9" t="str">
        <f>IF(OR(E56="",E56=0),"",E56-$D$5)</f>
        <v/>
      </c>
      <c r="J56" s="14" t="str">
        <f>IF(OR(E56="",E56=0),"",IF(AND(G56&gt;0,H56&gt;0),"要改善（両方遅い）",IF(G56&gt;0,"ピッキング改善",IF(H56&gt;0,"梱包改善","良好"))))</f>
        <v/>
      </c>
      <c r="K56" s="14" t="str">
        <f>IF(OR(E56="",E56=0),"",IF(AND(G56&gt;0,H56&gt;0),IF(I56&gt;=0.2,"両工程を見直し","両工程を微改善"),IF(AND(I56&gt;0,G56&gt;0),"ピック導線を改善",IF(AND(I56&gt;0,H56&gt;0),"梱包手順を改善",IF(AND(G56&lt;0,H56&lt;0),"良好","目標達成")))))</f>
        <v/>
      </c>
      <c r="L56" s="9">
        <f>IF(OR(E56="",E56=0),-1E+99,I56+ROW()/100000)</f>
        <v>-1E+99</v>
      </c>
      <c r="M56" s="9">
        <f>IF(OR(E56="",E56=0),-1E+99,F56-ROW()/100000)</f>
        <v>-1E+99</v>
      </c>
      <c r="N56" s="9" t="str">
        <f>IF(B56="","",COUNTA($B$9:B56))</f>
        <v/>
      </c>
    </row>
    <row r="57" spans="1:14">
      <c r="A57" s="8">
        <v>49</v>
      </c>
      <c r="B57" s="22"/>
      <c r="C57" s="21"/>
      <c r="D57" s="21"/>
      <c r="E57" s="9" t="str">
        <f>IF(OR(B57="",NOT(ISNUMBER(C57)),NOT(ISNUMBER(D57))),"",C57+D57)</f>
        <v/>
      </c>
      <c r="F57" s="7" t="str">
        <f>IF(OR(E57="",E57=0),"",$D$5/E57)</f>
        <v/>
      </c>
      <c r="G57" s="9" t="str">
        <f>IF(OR(B57="",NOT(ISNUMBER(C57))),"",C57-$B$5)</f>
        <v/>
      </c>
      <c r="H57" s="9" t="str">
        <f>IF(OR(B57="",NOT(ISNUMBER(D57))),"",D57-$C$5)</f>
        <v/>
      </c>
      <c r="I57" s="9" t="str">
        <f>IF(OR(E57="",E57=0),"",E57-$D$5)</f>
        <v/>
      </c>
      <c r="J57" s="14" t="str">
        <f>IF(OR(E57="",E57=0),"",IF(AND(G57&gt;0,H57&gt;0),"要改善（両方遅い）",IF(G57&gt;0,"ピッキング改善",IF(H57&gt;0,"梱包改善","良好"))))</f>
        <v/>
      </c>
      <c r="K57" s="14" t="str">
        <f>IF(OR(E57="",E57=0),"",IF(AND(G57&gt;0,H57&gt;0),IF(I57&gt;=0.2,"両工程を見直し","両工程を微改善"),IF(AND(I57&gt;0,G57&gt;0),"ピック導線を改善",IF(AND(I57&gt;0,H57&gt;0),"梱包手順を改善",IF(AND(G57&lt;0,H57&lt;0),"良好","目標達成")))))</f>
        <v/>
      </c>
      <c r="L57" s="9">
        <f>IF(OR(E57="",E57=0),-1E+99,I57+ROW()/100000)</f>
        <v>-1E+99</v>
      </c>
      <c r="M57" s="9">
        <f>IF(OR(E57="",E57=0),-1E+99,F57-ROW()/100000)</f>
        <v>-1E+99</v>
      </c>
      <c r="N57" s="9" t="str">
        <f>IF(B57="","",COUNTA($B$9:B57))</f>
        <v/>
      </c>
    </row>
    <row r="58" spans="1:14">
      <c r="A58" s="8">
        <v>50</v>
      </c>
      <c r="B58" s="22"/>
      <c r="C58" s="21"/>
      <c r="D58" s="21"/>
      <c r="E58" s="9" t="str">
        <f>IF(OR(B58="",NOT(ISNUMBER(C58)),NOT(ISNUMBER(D58))),"",C58+D58)</f>
        <v/>
      </c>
      <c r="F58" s="7" t="str">
        <f>IF(OR(E58="",E58=0),"",$D$5/E58)</f>
        <v/>
      </c>
      <c r="G58" s="9" t="str">
        <f>IF(OR(B58="",NOT(ISNUMBER(C58))),"",C58-$B$5)</f>
        <v/>
      </c>
      <c r="H58" s="9" t="str">
        <f>IF(OR(B58="",NOT(ISNUMBER(D58))),"",D58-$C$5)</f>
        <v/>
      </c>
      <c r="I58" s="9" t="str">
        <f>IF(OR(E58="",E58=0),"",E58-$D$5)</f>
        <v/>
      </c>
      <c r="J58" s="14" t="str">
        <f>IF(OR(E58="",E58=0),"",IF(AND(G58&gt;0,H58&gt;0),"要改善（両方遅い）",IF(G58&gt;0,"ピッキング改善",IF(H58&gt;0,"梱包改善","良好"))))</f>
        <v/>
      </c>
      <c r="K58" s="14" t="str">
        <f>IF(OR(E58="",E58=0),"",IF(AND(G58&gt;0,H58&gt;0),IF(I58&gt;=0.2,"両工程を見直し","両工程を微改善"),IF(AND(I58&gt;0,G58&gt;0),"ピック導線を改善",IF(AND(I58&gt;0,H58&gt;0),"梱包手順を改善",IF(AND(G58&lt;0,H58&lt;0),"良好","目標達成")))))</f>
        <v/>
      </c>
      <c r="L58" s="9">
        <f>IF(OR(E58="",E58=0),-1E+99,I58+ROW()/100000)</f>
        <v>-1E+99</v>
      </c>
      <c r="M58" s="9">
        <f>IF(OR(E58="",E58=0),-1E+99,F58-ROW()/100000)</f>
        <v>-1E+99</v>
      </c>
      <c r="N58" s="9" t="str">
        <f>IF(B58="","",COUNTA($B$9:B58))</f>
        <v/>
      </c>
    </row>
  </sheetData>
  <mergeCells count="3">
    <mergeCell ref="A1:M1"/>
    <mergeCell ref="A3:D3"/>
    <mergeCell ref="F3:M5"/>
  </mergeCells>
  <conditionalFormatting sqref="J9:J58">
    <cfRule type="containsText" dxfId="0" priority="1" operator="containsText" text="良好">
      <formula>NOT(ISERROR(SEARCH("良好",J9)))</formula>
    </cfRule>
    <cfRule type="containsText" dxfId="1" priority="2" operator="containsText" text="ピッキング改善">
      <formula>NOT(ISERROR(SEARCH("ピッキング改善",J9)))</formula>
    </cfRule>
    <cfRule type="containsText" dxfId="2" priority="3" operator="containsText" text="梱包改善">
      <formula>NOT(ISERROR(SEARCH("梱包改善",J9)))</formula>
    </cfRule>
    <cfRule type="containsText" dxfId="3" priority="4" operator="containsText" text="要改善">
      <formula>NOT(ISERROR(SEARCH("要改善",J9)))</formula>
    </cfRule>
  </conditionalFormatting>
  <hyperlinks>
    <hyperlink ref="F6" location="'ダッシュボード'!B1" display="ダッシュボードへ戻る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54"/>
  <sheetViews>
    <sheetView workbookViewId="0"/>
  </sheetViews>
  <sheetFormatPr defaultRowHeight="15"/>
  <cols>
    <col min="1" max="34" width="12.7109375" customWidth="1"/>
  </cols>
  <sheetData>
    <row r="1" spans="1:34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14</v>
      </c>
      <c r="F1" s="11" t="s">
        <v>34</v>
      </c>
      <c r="G1" s="11" t="s">
        <v>19</v>
      </c>
      <c r="I1" s="11" t="s">
        <v>35</v>
      </c>
      <c r="J1" s="11" t="s">
        <v>31</v>
      </c>
      <c r="K1" s="11" t="s">
        <v>32</v>
      </c>
      <c r="L1" s="11" t="s">
        <v>33</v>
      </c>
      <c r="M1" s="11" t="s">
        <v>36</v>
      </c>
      <c r="N1" s="11" t="s">
        <v>34</v>
      </c>
      <c r="O1" s="11" t="s">
        <v>19</v>
      </c>
      <c r="Q1" s="11" t="s">
        <v>37</v>
      </c>
      <c r="R1" s="11" t="s">
        <v>14</v>
      </c>
      <c r="S1" s="11" t="s">
        <v>31</v>
      </c>
      <c r="T1" s="11" t="s">
        <v>32</v>
      </c>
      <c r="U1" s="11" t="s">
        <v>33</v>
      </c>
      <c r="Z1" s="11" t="s">
        <v>38</v>
      </c>
      <c r="AA1" s="11" t="s">
        <v>39</v>
      </c>
      <c r="AB1" s="11" t="s">
        <v>40</v>
      </c>
      <c r="AC1" s="11" t="s">
        <v>41</v>
      </c>
      <c r="AD1" s="11" t="s">
        <v>42</v>
      </c>
      <c r="AE1" s="11" t="s">
        <v>43</v>
      </c>
      <c r="AF1" s="11" t="s">
        <v>44</v>
      </c>
      <c r="AG1" s="11" t="s">
        <v>45</v>
      </c>
      <c r="AH1" s="11" t="s">
        <v>46</v>
      </c>
    </row>
    <row r="2" spans="1:34">
      <c r="A2" t="str">
        <f>IF($Z2="","",INDEX(入力!$B$9:$B$58,$Z2))</f>
        <v>Aさん</v>
      </c>
      <c r="B2">
        <f>IF($Z2="","",IF(INDEX(入力!$C$9:$C$58,$Z2)="","",INDEX(入力!$C$9:$C$58,$Z2)))</f>
        <v>1.35</v>
      </c>
      <c r="C2">
        <f>IF($Z2="","",IF(INDEX(入力!$D$9:$D$58,$Z2)="","",INDEX(入力!$D$9:$D$58,$Z2)))</f>
        <v>1.42</v>
      </c>
      <c r="D2">
        <f>IF($Z2="","",INDEX(入力!$E$9:$E$58,$Z2))</f>
        <v>2.77</v>
      </c>
      <c r="E2">
        <f>IF($Z2="","",INDEX(入力!$F$9:$F$58,$Z2))</f>
        <v>1.1552346570397112</v>
      </c>
      <c r="F2" t="str">
        <f>IF($Z2="","",INDEX(入力!$J$9:$J$58,$Z2))</f>
        <v>良好</v>
      </c>
      <c r="G2" t="str">
        <f>IF($Z2="","",INDEX(入力!$K$9:$K$58,$Z2))</f>
        <v>良好</v>
      </c>
      <c r="I2" t="str">
        <f>IF($AA2="","",INDEX(入力!$B$9:$B$58,$AA2))</f>
        <v>Hさん</v>
      </c>
      <c r="J2">
        <f>IF($AA2="","",INDEX(入力!$C$9:$C$58,$AA2))</f>
        <v>1.9</v>
      </c>
      <c r="K2">
        <f>IF($AA2="","",INDEX(入力!$D$9:$D$58,$AA2))</f>
        <v>1.85</v>
      </c>
      <c r="L2">
        <f>IF($AA2="","",INDEX(入力!$E$9:$E$58,$AA2))</f>
        <v>3.75</v>
      </c>
      <c r="M2">
        <f>IF($AA2="","",INDEX(入力!$I$9:$I$58,$AA2))</f>
        <v>0.5499999999999998</v>
      </c>
      <c r="N2" t="str">
        <f>IF($AA2="","",INDEX(入力!$J$9:$J$58,$AA2))</f>
        <v>要改善（両方遅い）</v>
      </c>
      <c r="O2" t="str">
        <f>IF($AA2="","",INDEX(入力!$K$9:$K$58,$AA2))</f>
        <v>両工程を見直し</v>
      </c>
      <c r="Q2" t="str">
        <f>IF($AB2="","",INDEX(入力!$B$9:$B$58,$AB2))</f>
        <v>Aさん</v>
      </c>
      <c r="R2">
        <f>IF($AB2="","",INDEX(入力!$F$9:$F$58,$AB2))</f>
        <v>1.1552346570397112</v>
      </c>
      <c r="S2">
        <f>IF($AB2="","",INDEX(入力!$C$9:$C$58,$AB2))</f>
        <v>1.35</v>
      </c>
      <c r="T2">
        <f>IF($AB2="","",INDEX(入力!$D$9:$D$58,$AB2))</f>
        <v>1.42</v>
      </c>
      <c r="U2">
        <f>IF($AB2="","",INDEX(入力!$E$9:$E$58,$AB2))</f>
        <v>2.77</v>
      </c>
      <c r="Z2">
        <f>IFERROR(MATCH(ROW()-1,入力!$N$9:$N$58,0),"")</f>
        <v>1</v>
      </c>
      <c r="AA2">
        <f>IF(ROW()-1&gt;COUNTIF(入力!$L$9:$L$58,"&gt;-9.9E+98"),"",IFERROR(MATCH(LARGE(入力!$L$9:$L$58,ROW()-1),入力!$L$9:$L$58,0),""))</f>
        <v>8</v>
      </c>
      <c r="AB2">
        <f>IF(ROW()-1&gt;COUNTIF(入力!$M$9:$M$58,"&gt;-9.9E+98"),"",IFERROR(MATCH(LARGE(入力!$M$9:$M$58,ROW()-1),入力!$M$9:$M$58,0),""))</f>
        <v>1</v>
      </c>
      <c r="AC2">
        <f>入力!$B$5</f>
        <v>1.6</v>
      </c>
      <c r="AD2">
        <f>入力!$C$5</f>
        <v>1.6</v>
      </c>
      <c r="AE2">
        <f>入力!$B$5</f>
        <v>1.6</v>
      </c>
      <c r="AF2">
        <v>1</v>
      </c>
      <c r="AG2">
        <v>1</v>
      </c>
      <c r="AH2">
        <f>入力!$C$5</f>
        <v>1.6</v>
      </c>
    </row>
    <row r="3" spans="1:34">
      <c r="A3" t="str">
        <f>IF($Z3="","",INDEX(入力!$B$9:$B$58,$Z3))</f>
        <v>Bさん</v>
      </c>
      <c r="B3">
        <f>IF($Z3="","",IF(INDEX(入力!$C$9:$C$58,$Z3)="","",INDEX(入力!$C$9:$C$58,$Z3)))</f>
        <v>1.48</v>
      </c>
      <c r="C3">
        <f>IF($Z3="","",IF(INDEX(入力!$D$9:$D$58,$Z3)="","",INDEX(入力!$D$9:$D$58,$Z3)))</f>
        <v>1.5</v>
      </c>
      <c r="D3">
        <f>IF($Z3="","",INDEX(入力!$E$9:$E$58,$Z3))</f>
        <v>2.98</v>
      </c>
      <c r="E3">
        <f>IF($Z3="","",INDEX(入力!$F$9:$F$58,$Z3))</f>
        <v>1.0738255033557047</v>
      </c>
      <c r="F3" t="str">
        <f>IF($Z3="","",INDEX(入力!$J$9:$J$58,$Z3))</f>
        <v>良好</v>
      </c>
      <c r="G3" t="str">
        <f>IF($Z3="","",INDEX(入力!$K$9:$K$58,$Z3))</f>
        <v>良好</v>
      </c>
      <c r="I3" t="str">
        <f>IF($AA3="","",INDEX(入力!$B$9:$B$58,$AA3))</f>
        <v>Gさん</v>
      </c>
      <c r="J3">
        <f>IF($AA3="","",INDEX(入力!$C$9:$C$58,$AA3))</f>
        <v>1.58</v>
      </c>
      <c r="K3">
        <f>IF($AA3="","",INDEX(入力!$D$9:$D$58,$AA3))</f>
        <v>1.82</v>
      </c>
      <c r="L3">
        <f>IF($AA3="","",INDEX(入力!$E$9:$E$58,$AA3))</f>
        <v>3.4000000000000004</v>
      </c>
      <c r="M3">
        <f>IF($AA3="","",INDEX(入力!$I$9:$I$58,$AA3))</f>
        <v>0.20000000000000018</v>
      </c>
      <c r="N3" t="str">
        <f>IF($AA3="","",INDEX(入力!$J$9:$J$58,$AA3))</f>
        <v>梱包改善</v>
      </c>
      <c r="O3" t="str">
        <f>IF($AA3="","",INDEX(入力!$K$9:$K$58,$AA3))</f>
        <v>梱包手順を改善</v>
      </c>
      <c r="Q3" t="str">
        <f>IF($AB3="","",INDEX(入力!$B$9:$B$58,$AB3))</f>
        <v>Bさん</v>
      </c>
      <c r="R3">
        <f>IF($AB3="","",INDEX(入力!$F$9:$F$58,$AB3))</f>
        <v>1.0738255033557047</v>
      </c>
      <c r="S3">
        <f>IF($AB3="","",INDEX(入力!$C$9:$C$58,$AB3))</f>
        <v>1.48</v>
      </c>
      <c r="T3">
        <f>IF($AB3="","",INDEX(入力!$D$9:$D$58,$AB3))</f>
        <v>1.5</v>
      </c>
      <c r="U3">
        <f>IF($AB3="","",INDEX(入力!$E$9:$E$58,$AB3))</f>
        <v>2.98</v>
      </c>
      <c r="Z3">
        <f>IFERROR(MATCH(ROW()-1,入力!$N$9:$N$58,0),"")</f>
        <v>2</v>
      </c>
      <c r="AA3">
        <f>IF(ROW()-1&gt;COUNTIF(入力!$L$9:$L$58,"&gt;-9.9E+98"),"",IFERROR(MATCH(LARGE(入力!$L$9:$L$58,ROW()-1),入力!$L$9:$L$58,0),""))</f>
        <v>7</v>
      </c>
      <c r="AB3">
        <f>IF(ROW()-1&gt;COUNTIF(入力!$M$9:$M$58,"&gt;-9.9E+98"),"",IFERROR(MATCH(LARGE(入力!$M$9:$M$58,ROW()-1),入力!$M$9:$M$58,0),""))</f>
        <v>2</v>
      </c>
      <c r="AC3">
        <f>入力!$B$5</f>
        <v>1.6</v>
      </c>
      <c r="AD3">
        <f>入力!$C$5</f>
        <v>1.6</v>
      </c>
      <c r="AE3">
        <f>入力!$B$5</f>
        <v>1.6</v>
      </c>
      <c r="AF3">
        <v>2.4</v>
      </c>
      <c r="AG3">
        <v>2.4</v>
      </c>
      <c r="AH3">
        <f>入力!$C$5</f>
        <v>1.6</v>
      </c>
    </row>
    <row r="4" spans="1:34">
      <c r="A4" t="str">
        <f>IF($Z4="","",INDEX(入力!$B$9:$B$58,$Z4))</f>
        <v>Cさん</v>
      </c>
      <c r="B4">
        <f>IF($Z4="","",IF(INDEX(入力!$C$9:$C$58,$Z4)="","",INDEX(入力!$C$9:$C$58,$Z4)))</f>
        <v>1.55</v>
      </c>
      <c r="C4">
        <f>IF($Z4="","",IF(INDEX(入力!$D$9:$D$58,$Z4)="","",INDEX(入力!$D$9:$D$58,$Z4)))</f>
        <v>1.6</v>
      </c>
      <c r="D4">
        <f>IF($Z4="","",INDEX(入力!$E$9:$E$58,$Z4))</f>
        <v>3.1500000000000004</v>
      </c>
      <c r="E4">
        <f>IF($Z4="","",INDEX(入力!$F$9:$F$58,$Z4))</f>
        <v>1.0158730158730158</v>
      </c>
      <c r="F4" t="str">
        <f>IF($Z4="","",INDEX(入力!$J$9:$J$58,$Z4))</f>
        <v>良好</v>
      </c>
      <c r="G4" t="str">
        <f>IF($Z4="","",INDEX(入力!$K$9:$K$58,$Z4))</f>
        <v>目標達成</v>
      </c>
      <c r="I4" t="str">
        <f>IF($AA4="","",INDEX(入力!$B$9:$B$58,$AA4))</f>
        <v>Fさん</v>
      </c>
      <c r="J4">
        <f>IF($AA4="","",INDEX(入力!$C$9:$C$58,$AA4))</f>
        <v>1.8</v>
      </c>
      <c r="K4">
        <f>IF($AA4="","",INDEX(入力!$D$9:$D$58,$AA4))</f>
        <v>1.55</v>
      </c>
      <c r="L4">
        <f>IF($AA4="","",INDEX(入力!$E$9:$E$58,$AA4))</f>
        <v>3.35</v>
      </c>
      <c r="M4">
        <f>IF($AA4="","",INDEX(入力!$I$9:$I$58,$AA4))</f>
        <v>0.1499999999999999</v>
      </c>
      <c r="N4" t="str">
        <f>IF($AA4="","",INDEX(入力!$J$9:$J$58,$AA4))</f>
        <v>ピッキング改善</v>
      </c>
      <c r="O4" t="str">
        <f>IF($AA4="","",INDEX(入力!$K$9:$K$58,$AA4))</f>
        <v>ピック導線を改善</v>
      </c>
      <c r="Q4" t="str">
        <f>IF($AB4="","",INDEX(入力!$B$9:$B$58,$AB4))</f>
        <v>Cさん</v>
      </c>
      <c r="R4">
        <f>IF($AB4="","",INDEX(入力!$F$9:$F$58,$AB4))</f>
        <v>1.0158730158730158</v>
      </c>
      <c r="S4">
        <f>IF($AB4="","",INDEX(入力!$C$9:$C$58,$AB4))</f>
        <v>1.55</v>
      </c>
      <c r="T4">
        <f>IF($AB4="","",INDEX(入力!$D$9:$D$58,$AB4))</f>
        <v>1.6</v>
      </c>
      <c r="U4">
        <f>IF($AB4="","",INDEX(入力!$E$9:$E$58,$AB4))</f>
        <v>3.1500000000000004</v>
      </c>
      <c r="Z4">
        <f>IFERROR(MATCH(ROW()-1,入力!$N$9:$N$58,0),"")</f>
        <v>3</v>
      </c>
      <c r="AA4">
        <f>IF(ROW()-1&gt;COUNTIF(入力!$L$9:$L$58,"&gt;-9.9E+98"),"",IFERROR(MATCH(LARGE(入力!$L$9:$L$58,ROW()-1),入力!$L$9:$L$58,0),""))</f>
        <v>6</v>
      </c>
      <c r="AB4">
        <f>IF(ROW()-1&gt;COUNTIF(入力!$M$9:$M$58,"&gt;-9.9E+98"),"",IFERROR(MATCH(LARGE(入力!$M$9:$M$58,ROW()-1),入力!$M$9:$M$58,0),""))</f>
        <v>3</v>
      </c>
      <c r="AC4">
        <f>入力!$B$5</f>
        <v>1.6</v>
      </c>
      <c r="AD4">
        <f>入力!$C$5</f>
        <v>1.6</v>
      </c>
    </row>
    <row r="5" spans="1:34">
      <c r="A5" t="str">
        <f>IF($Z5="","",INDEX(入力!$B$9:$B$58,$Z5))</f>
        <v>Dさん</v>
      </c>
      <c r="B5">
        <f>IF($Z5="","",IF(INDEX(入力!$C$9:$C$58,$Z5)="","",INDEX(入力!$C$9:$C$58,$Z5)))</f>
        <v>1.62</v>
      </c>
      <c r="C5">
        <f>IF($Z5="","",IF(INDEX(入力!$D$9:$D$58,$Z5)="","",INDEX(入力!$D$9:$D$58,$Z5)))</f>
        <v>1.55</v>
      </c>
      <c r="D5">
        <f>IF($Z5="","",INDEX(入力!$E$9:$E$58,$Z5))</f>
        <v>3.17</v>
      </c>
      <c r="E5">
        <f>IF($Z5="","",INDEX(入力!$F$9:$F$58,$Z5))</f>
        <v>1.0094637223974765</v>
      </c>
      <c r="F5" t="str">
        <f>IF($Z5="","",INDEX(入力!$J$9:$J$58,$Z5))</f>
        <v>ピッキング改善</v>
      </c>
      <c r="G5" t="str">
        <f>IF($Z5="","",INDEX(入力!$K$9:$K$58,$Z5))</f>
        <v>目標達成</v>
      </c>
      <c r="I5" t="str">
        <f>IF($AA5="","",INDEX(入力!$B$9:$B$58,$AA5))</f>
        <v>Eさん</v>
      </c>
      <c r="J5">
        <f>IF($AA5="","",INDEX(入力!$C$9:$C$58,$AA5))</f>
        <v>1.7</v>
      </c>
      <c r="K5">
        <f>IF($AA5="","",INDEX(入力!$D$9:$D$58,$AA5))</f>
        <v>1.65</v>
      </c>
      <c r="L5">
        <f>IF($AA5="","",INDEX(入力!$E$9:$E$58,$AA5))</f>
        <v>3.3499999999999996</v>
      </c>
      <c r="M5">
        <f>IF($AA5="","",INDEX(入力!$I$9:$I$58,$AA5))</f>
        <v>0.14999999999999947</v>
      </c>
      <c r="N5" t="str">
        <f>IF($AA5="","",INDEX(入力!$J$9:$J$58,$AA5))</f>
        <v>要改善（両方遅い）</v>
      </c>
      <c r="O5" t="str">
        <f>IF($AA5="","",INDEX(入力!$K$9:$K$58,$AA5))</f>
        <v>両工程を微改善</v>
      </c>
      <c r="Q5" t="str">
        <f>IF($AB5="","",INDEX(入力!$B$9:$B$58,$AB5))</f>
        <v>Dさん</v>
      </c>
      <c r="R5">
        <f>IF($AB5="","",INDEX(入力!$F$9:$F$58,$AB5))</f>
        <v>1.0094637223974765</v>
      </c>
      <c r="S5">
        <f>IF($AB5="","",INDEX(入力!$C$9:$C$58,$AB5))</f>
        <v>1.62</v>
      </c>
      <c r="T5">
        <f>IF($AB5="","",INDEX(入力!$D$9:$D$58,$AB5))</f>
        <v>1.55</v>
      </c>
      <c r="U5">
        <f>IF($AB5="","",INDEX(入力!$E$9:$E$58,$AB5))</f>
        <v>3.17</v>
      </c>
      <c r="Z5">
        <f>IFERROR(MATCH(ROW()-1,入力!$N$9:$N$58,0),"")</f>
        <v>4</v>
      </c>
      <c r="AA5">
        <f>IF(ROW()-1&gt;COUNTIF(入力!$L$9:$L$58,"&gt;-9.9E+98"),"",IFERROR(MATCH(LARGE(入力!$L$9:$L$58,ROW()-1),入力!$L$9:$L$58,0),""))</f>
        <v>5</v>
      </c>
      <c r="AB5">
        <f>IF(ROW()-1&gt;COUNTIF(入力!$M$9:$M$58,"&gt;-9.9E+98"),"",IFERROR(MATCH(LARGE(入力!$M$9:$M$58,ROW()-1),入力!$M$9:$M$58,0),""))</f>
        <v>4</v>
      </c>
      <c r="AC5">
        <f>入力!$B$5</f>
        <v>1.6</v>
      </c>
      <c r="AD5">
        <f>入力!$C$5</f>
        <v>1.6</v>
      </c>
    </row>
    <row r="6" spans="1:34">
      <c r="A6" t="str">
        <f>IF($Z6="","",INDEX(入力!$B$9:$B$58,$Z6))</f>
        <v>Eさん</v>
      </c>
      <c r="B6">
        <f>IF($Z6="","",IF(INDEX(入力!$C$9:$C$58,$Z6)="","",INDEX(入力!$C$9:$C$58,$Z6)))</f>
        <v>1.7</v>
      </c>
      <c r="C6">
        <f>IF($Z6="","",IF(INDEX(入力!$D$9:$D$58,$Z6)="","",INDEX(入力!$D$9:$D$58,$Z6)))</f>
        <v>1.65</v>
      </c>
      <c r="D6">
        <f>IF($Z6="","",INDEX(入力!$E$9:$E$58,$Z6))</f>
        <v>3.3499999999999996</v>
      </c>
      <c r="E6">
        <f>IF($Z6="","",INDEX(入力!$F$9:$F$58,$Z6))</f>
        <v>0.9552238805970151</v>
      </c>
      <c r="F6" t="str">
        <f>IF($Z6="","",INDEX(入力!$J$9:$J$58,$Z6))</f>
        <v>要改善（両方遅い）</v>
      </c>
      <c r="G6" t="str">
        <f>IF($Z6="","",INDEX(入力!$K$9:$K$58,$Z6))</f>
        <v>両工程を微改善</v>
      </c>
      <c r="I6" t="str">
        <f>IF($AA6="","",INDEX(入力!$B$9:$B$58,$AA6))</f>
        <v>Dさん</v>
      </c>
      <c r="J6">
        <f>IF($AA6="","",INDEX(入力!$C$9:$C$58,$AA6))</f>
        <v>1.62</v>
      </c>
      <c r="K6">
        <f>IF($AA6="","",INDEX(入力!$D$9:$D$58,$AA6))</f>
        <v>1.55</v>
      </c>
      <c r="L6">
        <f>IF($AA6="","",INDEX(入力!$E$9:$E$58,$AA6))</f>
        <v>3.17</v>
      </c>
      <c r="M6">
        <f>IF($AA6="","",INDEX(入力!$I$9:$I$58,$AA6))</f>
        <v>-0.03000000000000025</v>
      </c>
      <c r="N6" t="str">
        <f>IF($AA6="","",INDEX(入力!$J$9:$J$58,$AA6))</f>
        <v>ピッキング改善</v>
      </c>
      <c r="O6" t="str">
        <f>IF($AA6="","",INDEX(入力!$K$9:$K$58,$AA6))</f>
        <v>目標達成</v>
      </c>
      <c r="Q6" t="str">
        <f>IF($AB6="","",INDEX(入力!$B$9:$B$58,$AB6))</f>
        <v>Eさん</v>
      </c>
      <c r="R6">
        <f>IF($AB6="","",INDEX(入力!$F$9:$F$58,$AB6))</f>
        <v>0.9552238805970151</v>
      </c>
      <c r="S6">
        <f>IF($AB6="","",INDEX(入力!$C$9:$C$58,$AB6))</f>
        <v>1.7</v>
      </c>
      <c r="T6">
        <f>IF($AB6="","",INDEX(入力!$D$9:$D$58,$AB6))</f>
        <v>1.65</v>
      </c>
      <c r="U6">
        <f>IF($AB6="","",INDEX(入力!$E$9:$E$58,$AB6))</f>
        <v>3.3499999999999996</v>
      </c>
      <c r="Z6">
        <f>IFERROR(MATCH(ROW()-1,入力!$N$9:$N$58,0),"")</f>
        <v>5</v>
      </c>
      <c r="AA6">
        <f>IF(ROW()-1&gt;COUNTIF(入力!$L$9:$L$58,"&gt;-9.9E+98"),"",IFERROR(MATCH(LARGE(入力!$L$9:$L$58,ROW()-1),入力!$L$9:$L$58,0),""))</f>
        <v>4</v>
      </c>
      <c r="AB6">
        <f>IF(ROW()-1&gt;COUNTIF(入力!$M$9:$M$58,"&gt;-9.9E+98"),"",IFERROR(MATCH(LARGE(入力!$M$9:$M$58,ROW()-1),入力!$M$9:$M$58,0),""))</f>
        <v>5</v>
      </c>
      <c r="AC6">
        <f>入力!$B$5</f>
        <v>1.6</v>
      </c>
      <c r="AD6">
        <f>入力!$C$5</f>
        <v>1.6</v>
      </c>
    </row>
    <row r="7" spans="1:34">
      <c r="A7" t="str">
        <f>IF($Z7="","",INDEX(入力!$B$9:$B$58,$Z7))</f>
        <v>Fさん</v>
      </c>
      <c r="B7">
        <f>IF($Z7="","",IF(INDEX(入力!$C$9:$C$58,$Z7)="","",INDEX(入力!$C$9:$C$58,$Z7)))</f>
        <v>1.8</v>
      </c>
      <c r="C7">
        <f>IF($Z7="","",IF(INDEX(入力!$D$9:$D$58,$Z7)="","",INDEX(入力!$D$9:$D$58,$Z7)))</f>
        <v>1.55</v>
      </c>
      <c r="D7">
        <f>IF($Z7="","",INDEX(入力!$E$9:$E$58,$Z7))</f>
        <v>3.35</v>
      </c>
      <c r="E7">
        <f>IF($Z7="","",INDEX(入力!$F$9:$F$58,$Z7))</f>
        <v>0.9552238805970149</v>
      </c>
      <c r="F7" t="str">
        <f>IF($Z7="","",INDEX(入力!$J$9:$J$58,$Z7))</f>
        <v>ピッキング改善</v>
      </c>
      <c r="G7" t="str">
        <f>IF($Z7="","",INDEX(入力!$K$9:$K$58,$Z7))</f>
        <v>ピック導線を改善</v>
      </c>
      <c r="I7" t="str">
        <f>IF($AA7="","",INDEX(入力!$B$9:$B$58,$AA7))</f>
        <v>Cさん</v>
      </c>
      <c r="J7">
        <f>IF($AA7="","",INDEX(入力!$C$9:$C$58,$AA7))</f>
        <v>1.55</v>
      </c>
      <c r="K7">
        <f>IF($AA7="","",INDEX(入力!$D$9:$D$58,$AA7))</f>
        <v>1.6</v>
      </c>
      <c r="L7">
        <f>IF($AA7="","",INDEX(入力!$E$9:$E$58,$AA7))</f>
        <v>3.1500000000000004</v>
      </c>
      <c r="M7">
        <f>IF($AA7="","",INDEX(入力!$I$9:$I$58,$AA7))</f>
        <v>-0.04999999999999982</v>
      </c>
      <c r="N7" t="str">
        <f>IF($AA7="","",INDEX(入力!$J$9:$J$58,$AA7))</f>
        <v>良好</v>
      </c>
      <c r="O7" t="str">
        <f>IF($AA7="","",INDEX(入力!$K$9:$K$58,$AA7))</f>
        <v>目標達成</v>
      </c>
      <c r="Q7" t="str">
        <f>IF($AB7="","",INDEX(入力!$B$9:$B$58,$AB7))</f>
        <v>Fさん</v>
      </c>
      <c r="R7">
        <f>IF($AB7="","",INDEX(入力!$F$9:$F$58,$AB7))</f>
        <v>0.9552238805970149</v>
      </c>
      <c r="S7">
        <f>IF($AB7="","",INDEX(入力!$C$9:$C$58,$AB7))</f>
        <v>1.8</v>
      </c>
      <c r="T7">
        <f>IF($AB7="","",INDEX(入力!$D$9:$D$58,$AB7))</f>
        <v>1.55</v>
      </c>
      <c r="U7">
        <f>IF($AB7="","",INDEX(入力!$E$9:$E$58,$AB7))</f>
        <v>3.35</v>
      </c>
      <c r="Z7">
        <f>IFERROR(MATCH(ROW()-1,入力!$N$9:$N$58,0),"")</f>
        <v>6</v>
      </c>
      <c r="AA7">
        <f>IF(ROW()-1&gt;COUNTIF(入力!$L$9:$L$58,"&gt;-9.9E+98"),"",IFERROR(MATCH(LARGE(入力!$L$9:$L$58,ROW()-1),入力!$L$9:$L$58,0),""))</f>
        <v>3</v>
      </c>
      <c r="AB7">
        <f>IF(ROW()-1&gt;COUNTIF(入力!$M$9:$M$58,"&gt;-9.9E+98"),"",IFERROR(MATCH(LARGE(入力!$M$9:$M$58,ROW()-1),入力!$M$9:$M$58,0),""))</f>
        <v>6</v>
      </c>
      <c r="AC7">
        <f>入力!$B$5</f>
        <v>1.6</v>
      </c>
      <c r="AD7">
        <f>入力!$C$5</f>
        <v>1.6</v>
      </c>
    </row>
    <row r="8" spans="1:34">
      <c r="A8" t="str">
        <f>IF($Z8="","",INDEX(入力!$B$9:$B$58,$Z8))</f>
        <v>Gさん</v>
      </c>
      <c r="B8">
        <f>IF($Z8="","",IF(INDEX(入力!$C$9:$C$58,$Z8)="","",INDEX(入力!$C$9:$C$58,$Z8)))</f>
        <v>1.58</v>
      </c>
      <c r="C8">
        <f>IF($Z8="","",IF(INDEX(入力!$D$9:$D$58,$Z8)="","",INDEX(入力!$D$9:$D$58,$Z8)))</f>
        <v>1.82</v>
      </c>
      <c r="D8">
        <f>IF($Z8="","",INDEX(入力!$E$9:$E$58,$Z8))</f>
        <v>3.4000000000000004</v>
      </c>
      <c r="E8">
        <f>IF($Z8="","",INDEX(入力!$F$9:$F$58,$Z8))</f>
        <v>0.9411764705882353</v>
      </c>
      <c r="F8" t="str">
        <f>IF($Z8="","",INDEX(入力!$J$9:$J$58,$Z8))</f>
        <v>梱包改善</v>
      </c>
      <c r="G8" t="str">
        <f>IF($Z8="","",INDEX(入力!$K$9:$K$58,$Z8))</f>
        <v>梱包手順を改善</v>
      </c>
      <c r="I8" t="str">
        <f>IF($AA8="","",INDEX(入力!$B$9:$B$58,$AA8))</f>
        <v>Bさん</v>
      </c>
      <c r="J8">
        <f>IF($AA8="","",INDEX(入力!$C$9:$C$58,$AA8))</f>
        <v>1.48</v>
      </c>
      <c r="K8">
        <f>IF($AA8="","",INDEX(入力!$D$9:$D$58,$AA8))</f>
        <v>1.5</v>
      </c>
      <c r="L8">
        <f>IF($AA8="","",INDEX(入力!$E$9:$E$58,$AA8))</f>
        <v>2.98</v>
      </c>
      <c r="M8">
        <f>IF($AA8="","",INDEX(入力!$I$9:$I$58,$AA8))</f>
        <v>-0.2200000000000002</v>
      </c>
      <c r="N8" t="str">
        <f>IF($AA8="","",INDEX(入力!$J$9:$J$58,$AA8))</f>
        <v>良好</v>
      </c>
      <c r="O8" t="str">
        <f>IF($AA8="","",INDEX(入力!$K$9:$K$58,$AA8))</f>
        <v>良好</v>
      </c>
      <c r="Q8" t="str">
        <f>IF($AB8="","",INDEX(入力!$B$9:$B$58,$AB8))</f>
        <v>Gさん</v>
      </c>
      <c r="R8">
        <f>IF($AB8="","",INDEX(入力!$F$9:$F$58,$AB8))</f>
        <v>0.9411764705882353</v>
      </c>
      <c r="S8">
        <f>IF($AB8="","",INDEX(入力!$C$9:$C$58,$AB8))</f>
        <v>1.58</v>
      </c>
      <c r="T8">
        <f>IF($AB8="","",INDEX(入力!$D$9:$D$58,$AB8))</f>
        <v>1.82</v>
      </c>
      <c r="U8">
        <f>IF($AB8="","",INDEX(入力!$E$9:$E$58,$AB8))</f>
        <v>3.4000000000000004</v>
      </c>
      <c r="Z8">
        <f>IFERROR(MATCH(ROW()-1,入力!$N$9:$N$58,0),"")</f>
        <v>7</v>
      </c>
      <c r="AA8">
        <f>IF(ROW()-1&gt;COUNTIF(入力!$L$9:$L$58,"&gt;-9.9E+98"),"",IFERROR(MATCH(LARGE(入力!$L$9:$L$58,ROW()-1),入力!$L$9:$L$58,0),""))</f>
        <v>2</v>
      </c>
      <c r="AB8">
        <f>IF(ROW()-1&gt;COUNTIF(入力!$M$9:$M$58,"&gt;-9.9E+98"),"",IFERROR(MATCH(LARGE(入力!$M$9:$M$58,ROW()-1),入力!$M$9:$M$58,0),""))</f>
        <v>7</v>
      </c>
      <c r="AC8">
        <f>入力!$B$5</f>
        <v>1.6</v>
      </c>
      <c r="AD8">
        <f>入力!$C$5</f>
        <v>1.6</v>
      </c>
    </row>
    <row r="9" spans="1:34">
      <c r="A9" t="str">
        <f>IF($Z9="","",INDEX(入力!$B$9:$B$58,$Z9))</f>
        <v>Hさん</v>
      </c>
      <c r="B9">
        <f>IF($Z9="","",IF(INDEX(入力!$C$9:$C$58,$Z9)="","",INDEX(入力!$C$9:$C$58,$Z9)))</f>
        <v>1.9</v>
      </c>
      <c r="C9">
        <f>IF($Z9="","",IF(INDEX(入力!$D$9:$D$58,$Z9)="","",INDEX(入力!$D$9:$D$58,$Z9)))</f>
        <v>1.85</v>
      </c>
      <c r="D9">
        <f>IF($Z9="","",INDEX(入力!$E$9:$E$58,$Z9))</f>
        <v>3.75</v>
      </c>
      <c r="E9">
        <f>IF($Z9="","",INDEX(入力!$F$9:$F$58,$Z9))</f>
        <v>0.8533333333333334</v>
      </c>
      <c r="F9" t="str">
        <f>IF($Z9="","",INDEX(入力!$J$9:$J$58,$Z9))</f>
        <v>要改善（両方遅い）</v>
      </c>
      <c r="G9" t="str">
        <f>IF($Z9="","",INDEX(入力!$K$9:$K$58,$Z9))</f>
        <v>両工程を見直し</v>
      </c>
      <c r="I9" t="str">
        <f>IF($AA9="","",INDEX(入力!$B$9:$B$58,$AA9))</f>
        <v>Aさん</v>
      </c>
      <c r="J9">
        <f>IF($AA9="","",INDEX(入力!$C$9:$C$58,$AA9))</f>
        <v>1.35</v>
      </c>
      <c r="K9">
        <f>IF($AA9="","",INDEX(入力!$D$9:$D$58,$AA9))</f>
        <v>1.42</v>
      </c>
      <c r="L9">
        <f>IF($AA9="","",INDEX(入力!$E$9:$E$58,$AA9))</f>
        <v>2.77</v>
      </c>
      <c r="M9">
        <f>IF($AA9="","",INDEX(入力!$I$9:$I$58,$AA9))</f>
        <v>-0.43000000000000016</v>
      </c>
      <c r="N9" t="str">
        <f>IF($AA9="","",INDEX(入力!$J$9:$J$58,$AA9))</f>
        <v>良好</v>
      </c>
      <c r="O9" t="str">
        <f>IF($AA9="","",INDEX(入力!$K$9:$K$58,$AA9))</f>
        <v>良好</v>
      </c>
      <c r="Q9" t="str">
        <f>IF($AB9="","",INDEX(入力!$B$9:$B$58,$AB9))</f>
        <v>Hさん</v>
      </c>
      <c r="R9">
        <f>IF($AB9="","",INDEX(入力!$F$9:$F$58,$AB9))</f>
        <v>0.8533333333333334</v>
      </c>
      <c r="S9">
        <f>IF($AB9="","",INDEX(入力!$C$9:$C$58,$AB9))</f>
        <v>1.9</v>
      </c>
      <c r="T9">
        <f>IF($AB9="","",INDEX(入力!$D$9:$D$58,$AB9))</f>
        <v>1.85</v>
      </c>
      <c r="U9">
        <f>IF($AB9="","",INDEX(入力!$E$9:$E$58,$AB9))</f>
        <v>3.75</v>
      </c>
      <c r="Z9">
        <f>IFERROR(MATCH(ROW()-1,入力!$N$9:$N$58,0),"")</f>
        <v>8</v>
      </c>
      <c r="AA9">
        <f>IF(ROW()-1&gt;COUNTIF(入力!$L$9:$L$58,"&gt;-9.9E+98"),"",IFERROR(MATCH(LARGE(入力!$L$9:$L$58,ROW()-1),入力!$L$9:$L$58,0),""))</f>
        <v>1</v>
      </c>
      <c r="AB9">
        <f>IF(ROW()-1&gt;COUNTIF(入力!$M$9:$M$58,"&gt;-9.9E+98"),"",IFERROR(MATCH(LARGE(入力!$M$9:$M$58,ROW()-1),入力!$M$9:$M$58,0),""))</f>
        <v>8</v>
      </c>
      <c r="AC9">
        <f>入力!$B$5</f>
        <v>1.6</v>
      </c>
      <c r="AD9">
        <f>入力!$C$5</f>
        <v>1.6</v>
      </c>
    </row>
    <row r="10" spans="1:34">
      <c r="A10" t="str">
        <f>IF($Z10="","",INDEX(入力!$B$9:$B$58,$Z10))</f>
        <v/>
      </c>
      <c r="B10" t="str">
        <f>IF($Z10="","",IF(INDEX(入力!$C$9:$C$58,$Z10)="","",INDEX(入力!$C$9:$C$58,$Z10)))</f>
        <v/>
      </c>
      <c r="C10" t="str">
        <f>IF($Z10="","",IF(INDEX(入力!$D$9:$D$58,$Z10)="","",INDEX(入力!$D$9:$D$58,$Z10)))</f>
        <v/>
      </c>
      <c r="D10" t="str">
        <f>IF($Z10="","",INDEX(入力!$E$9:$E$58,$Z10))</f>
        <v/>
      </c>
      <c r="E10" t="str">
        <f>IF($Z10="","",INDEX(入力!$F$9:$F$58,$Z10))</f>
        <v/>
      </c>
      <c r="F10" t="str">
        <f>IF($Z10="","",INDEX(入力!$J$9:$J$58,$Z10))</f>
        <v/>
      </c>
      <c r="G10" t="str">
        <f>IF($Z10="","",INDEX(入力!$K$9:$K$58,$Z10))</f>
        <v/>
      </c>
      <c r="I10" t="str">
        <f>IF($AA10="","",INDEX(入力!$B$9:$B$58,$AA10))</f>
        <v/>
      </c>
      <c r="J10" t="str">
        <f>IF($AA10="","",INDEX(入力!$C$9:$C$58,$AA10))</f>
        <v/>
      </c>
      <c r="K10" t="str">
        <f>IF($AA10="","",INDEX(入力!$D$9:$D$58,$AA10))</f>
        <v/>
      </c>
      <c r="L10" t="str">
        <f>IF($AA10="","",INDEX(入力!$E$9:$E$58,$AA10))</f>
        <v/>
      </c>
      <c r="M10" t="str">
        <f>IF($AA10="","",INDEX(入力!$I$9:$I$58,$AA10))</f>
        <v/>
      </c>
      <c r="N10" t="str">
        <f>IF($AA10="","",INDEX(入力!$J$9:$J$58,$AA10))</f>
        <v/>
      </c>
      <c r="O10" t="str">
        <f>IF($AA10="","",INDEX(入力!$K$9:$K$58,$AA10))</f>
        <v/>
      </c>
      <c r="Q10" t="str">
        <f>IF($AB10="","",INDEX(入力!$B$9:$B$58,$AB10))</f>
        <v/>
      </c>
      <c r="R10" t="str">
        <f>IF($AB10="","",INDEX(入力!$F$9:$F$58,$AB10))</f>
        <v/>
      </c>
      <c r="S10" t="str">
        <f>IF($AB10="","",INDEX(入力!$C$9:$C$58,$AB10))</f>
        <v/>
      </c>
      <c r="T10" t="str">
        <f>IF($AB10="","",INDEX(入力!$D$9:$D$58,$AB10))</f>
        <v/>
      </c>
      <c r="U10" t="str">
        <f>IF($AB10="","",INDEX(入力!$E$9:$E$58,$AB10))</f>
        <v/>
      </c>
      <c r="Z10" t="str">
        <f>IFERROR(MATCH(ROW()-1,入力!$N$9:$N$58,0),"")</f>
        <v/>
      </c>
      <c r="AA10" t="str">
        <f>IF(ROW()-1&gt;COUNTIF(入力!$L$9:$L$58,"&gt;-9.9E+98"),"",IFERROR(MATCH(LARGE(入力!$L$9:$L$58,ROW()-1),入力!$L$9:$L$58,0),""))</f>
        <v/>
      </c>
      <c r="AB10" t="str">
        <f>IF(ROW()-1&gt;COUNTIF(入力!$M$9:$M$58,"&gt;-9.9E+98"),"",IFERROR(MATCH(LARGE(入力!$M$9:$M$58,ROW()-1),入力!$M$9:$M$58,0),""))</f>
        <v/>
      </c>
      <c r="AC10">
        <f>入力!$B$5</f>
        <v>1.6</v>
      </c>
      <c r="AD10">
        <f>入力!$C$5</f>
        <v>1.6</v>
      </c>
    </row>
    <row r="11" spans="1:34">
      <c r="A11" t="str">
        <f>IF($Z11="","",INDEX(入力!$B$9:$B$58,$Z11))</f>
        <v/>
      </c>
      <c r="B11" t="str">
        <f>IF($Z11="","",IF(INDEX(入力!$C$9:$C$58,$Z11)="","",INDEX(入力!$C$9:$C$58,$Z11)))</f>
        <v/>
      </c>
      <c r="C11" t="str">
        <f>IF($Z11="","",IF(INDEX(入力!$D$9:$D$58,$Z11)="","",INDEX(入力!$D$9:$D$58,$Z11)))</f>
        <v/>
      </c>
      <c r="D11" t="str">
        <f>IF($Z11="","",INDEX(入力!$E$9:$E$58,$Z11))</f>
        <v/>
      </c>
      <c r="E11" t="str">
        <f>IF($Z11="","",INDEX(入力!$F$9:$F$58,$Z11))</f>
        <v/>
      </c>
      <c r="F11" t="str">
        <f>IF($Z11="","",INDEX(入力!$J$9:$J$58,$Z11))</f>
        <v/>
      </c>
      <c r="G11" t="str">
        <f>IF($Z11="","",INDEX(入力!$K$9:$K$58,$Z11))</f>
        <v/>
      </c>
      <c r="I11" t="str">
        <f>IF($AA11="","",INDEX(入力!$B$9:$B$58,$AA11))</f>
        <v/>
      </c>
      <c r="J11" t="str">
        <f>IF($AA11="","",INDEX(入力!$C$9:$C$58,$AA11))</f>
        <v/>
      </c>
      <c r="K11" t="str">
        <f>IF($AA11="","",INDEX(入力!$D$9:$D$58,$AA11))</f>
        <v/>
      </c>
      <c r="L11" t="str">
        <f>IF($AA11="","",INDEX(入力!$E$9:$E$58,$AA11))</f>
        <v/>
      </c>
      <c r="M11" t="str">
        <f>IF($AA11="","",INDEX(入力!$I$9:$I$58,$AA11))</f>
        <v/>
      </c>
      <c r="N11" t="str">
        <f>IF($AA11="","",INDEX(入力!$J$9:$J$58,$AA11))</f>
        <v/>
      </c>
      <c r="O11" t="str">
        <f>IF($AA11="","",INDEX(入力!$K$9:$K$58,$AA11))</f>
        <v/>
      </c>
      <c r="Q11" t="str">
        <f>IF($AB11="","",INDEX(入力!$B$9:$B$58,$AB11))</f>
        <v/>
      </c>
      <c r="R11" t="str">
        <f>IF($AB11="","",INDEX(入力!$F$9:$F$58,$AB11))</f>
        <v/>
      </c>
      <c r="S11" t="str">
        <f>IF($AB11="","",INDEX(入力!$C$9:$C$58,$AB11))</f>
        <v/>
      </c>
      <c r="T11" t="str">
        <f>IF($AB11="","",INDEX(入力!$D$9:$D$58,$AB11))</f>
        <v/>
      </c>
      <c r="U11" t="str">
        <f>IF($AB11="","",INDEX(入力!$E$9:$E$58,$AB11))</f>
        <v/>
      </c>
      <c r="Z11" t="str">
        <f>IFERROR(MATCH(ROW()-1,入力!$N$9:$N$58,0),"")</f>
        <v/>
      </c>
      <c r="AA11" t="str">
        <f>IF(ROW()-1&gt;COUNTIF(入力!$L$9:$L$58,"&gt;-9.9E+98"),"",IFERROR(MATCH(LARGE(入力!$L$9:$L$58,ROW()-1),入力!$L$9:$L$58,0),""))</f>
        <v/>
      </c>
      <c r="AB11" t="str">
        <f>IF(ROW()-1&gt;COUNTIF(入力!$M$9:$M$58,"&gt;-9.9E+98"),"",IFERROR(MATCH(LARGE(入力!$M$9:$M$58,ROW()-1),入力!$M$9:$M$58,0),""))</f>
        <v/>
      </c>
      <c r="AC11">
        <f>入力!$B$5</f>
        <v>1.6</v>
      </c>
      <c r="AD11">
        <f>入力!$C$5</f>
        <v>1.6</v>
      </c>
    </row>
    <row r="12" spans="1:34">
      <c r="A12" t="str">
        <f>IF($Z12="","",INDEX(入力!$B$9:$B$58,$Z12))</f>
        <v/>
      </c>
      <c r="B12" t="str">
        <f>IF($Z12="","",IF(INDEX(入力!$C$9:$C$58,$Z12)="","",INDEX(入力!$C$9:$C$58,$Z12)))</f>
        <v/>
      </c>
      <c r="C12" t="str">
        <f>IF($Z12="","",IF(INDEX(入力!$D$9:$D$58,$Z12)="","",INDEX(入力!$D$9:$D$58,$Z12)))</f>
        <v/>
      </c>
      <c r="D12" t="str">
        <f>IF($Z12="","",INDEX(入力!$E$9:$E$58,$Z12))</f>
        <v/>
      </c>
      <c r="E12" t="str">
        <f>IF($Z12="","",INDEX(入力!$F$9:$F$58,$Z12))</f>
        <v/>
      </c>
      <c r="F12" t="str">
        <f>IF($Z12="","",INDEX(入力!$J$9:$J$58,$Z12))</f>
        <v/>
      </c>
      <c r="G12" t="str">
        <f>IF($Z12="","",INDEX(入力!$K$9:$K$58,$Z12))</f>
        <v/>
      </c>
      <c r="I12" t="str">
        <f>IF($AA12="","",INDEX(入力!$B$9:$B$58,$AA12))</f>
        <v/>
      </c>
      <c r="J12" t="str">
        <f>IF($AA12="","",INDEX(入力!$C$9:$C$58,$AA12))</f>
        <v/>
      </c>
      <c r="K12" t="str">
        <f>IF($AA12="","",INDEX(入力!$D$9:$D$58,$AA12))</f>
        <v/>
      </c>
      <c r="L12" t="str">
        <f>IF($AA12="","",INDEX(入力!$E$9:$E$58,$AA12))</f>
        <v/>
      </c>
      <c r="M12" t="str">
        <f>IF($AA12="","",INDEX(入力!$I$9:$I$58,$AA12))</f>
        <v/>
      </c>
      <c r="N12" t="str">
        <f>IF($AA12="","",INDEX(入力!$J$9:$J$58,$AA12))</f>
        <v/>
      </c>
      <c r="O12" t="str">
        <f>IF($AA12="","",INDEX(入力!$K$9:$K$58,$AA12))</f>
        <v/>
      </c>
      <c r="Q12" t="str">
        <f>IF($AB12="","",INDEX(入力!$B$9:$B$58,$AB12))</f>
        <v/>
      </c>
      <c r="R12" t="str">
        <f>IF($AB12="","",INDEX(入力!$F$9:$F$58,$AB12))</f>
        <v/>
      </c>
      <c r="S12" t="str">
        <f>IF($AB12="","",INDEX(入力!$C$9:$C$58,$AB12))</f>
        <v/>
      </c>
      <c r="T12" t="str">
        <f>IF($AB12="","",INDEX(入力!$D$9:$D$58,$AB12))</f>
        <v/>
      </c>
      <c r="U12" t="str">
        <f>IF($AB12="","",INDEX(入力!$E$9:$E$58,$AB12))</f>
        <v/>
      </c>
      <c r="Z12" t="str">
        <f>IFERROR(MATCH(ROW()-1,入力!$N$9:$N$58,0),"")</f>
        <v/>
      </c>
      <c r="AA12" t="str">
        <f>IF(ROW()-1&gt;COUNTIF(入力!$L$9:$L$58,"&gt;-9.9E+98"),"",IFERROR(MATCH(LARGE(入力!$L$9:$L$58,ROW()-1),入力!$L$9:$L$58,0),""))</f>
        <v/>
      </c>
      <c r="AB12" t="str">
        <f>IF(ROW()-1&gt;COUNTIF(入力!$M$9:$M$58,"&gt;-9.9E+98"),"",IFERROR(MATCH(LARGE(入力!$M$9:$M$58,ROW()-1),入力!$M$9:$M$58,0),""))</f>
        <v/>
      </c>
      <c r="AC12">
        <f>入力!$B$5</f>
        <v>1.6</v>
      </c>
      <c r="AD12">
        <f>入力!$C$5</f>
        <v>1.6</v>
      </c>
    </row>
    <row r="13" spans="1:34">
      <c r="A13" t="str">
        <f>IF($Z13="","",INDEX(入力!$B$9:$B$58,$Z13))</f>
        <v/>
      </c>
      <c r="B13" t="str">
        <f>IF($Z13="","",IF(INDEX(入力!$C$9:$C$58,$Z13)="","",INDEX(入力!$C$9:$C$58,$Z13)))</f>
        <v/>
      </c>
      <c r="C13" t="str">
        <f>IF($Z13="","",IF(INDEX(入力!$D$9:$D$58,$Z13)="","",INDEX(入力!$D$9:$D$58,$Z13)))</f>
        <v/>
      </c>
      <c r="D13" t="str">
        <f>IF($Z13="","",INDEX(入力!$E$9:$E$58,$Z13))</f>
        <v/>
      </c>
      <c r="E13" t="str">
        <f>IF($Z13="","",INDEX(入力!$F$9:$F$58,$Z13))</f>
        <v/>
      </c>
      <c r="F13" t="str">
        <f>IF($Z13="","",INDEX(入力!$J$9:$J$58,$Z13))</f>
        <v/>
      </c>
      <c r="G13" t="str">
        <f>IF($Z13="","",INDEX(入力!$K$9:$K$58,$Z13))</f>
        <v/>
      </c>
      <c r="I13" t="str">
        <f>IF($AA13="","",INDEX(入力!$B$9:$B$58,$AA13))</f>
        <v/>
      </c>
      <c r="J13" t="str">
        <f>IF($AA13="","",INDEX(入力!$C$9:$C$58,$AA13))</f>
        <v/>
      </c>
      <c r="K13" t="str">
        <f>IF($AA13="","",INDEX(入力!$D$9:$D$58,$AA13))</f>
        <v/>
      </c>
      <c r="L13" t="str">
        <f>IF($AA13="","",INDEX(入力!$E$9:$E$58,$AA13))</f>
        <v/>
      </c>
      <c r="M13" t="str">
        <f>IF($AA13="","",INDEX(入力!$I$9:$I$58,$AA13))</f>
        <v/>
      </c>
      <c r="N13" t="str">
        <f>IF($AA13="","",INDEX(入力!$J$9:$J$58,$AA13))</f>
        <v/>
      </c>
      <c r="O13" t="str">
        <f>IF($AA13="","",INDEX(入力!$K$9:$K$58,$AA13))</f>
        <v/>
      </c>
      <c r="Q13" t="str">
        <f>IF($AB13="","",INDEX(入力!$B$9:$B$58,$AB13))</f>
        <v/>
      </c>
      <c r="R13" t="str">
        <f>IF($AB13="","",INDEX(入力!$F$9:$F$58,$AB13))</f>
        <v/>
      </c>
      <c r="S13" t="str">
        <f>IF($AB13="","",INDEX(入力!$C$9:$C$58,$AB13))</f>
        <v/>
      </c>
      <c r="T13" t="str">
        <f>IF($AB13="","",INDEX(入力!$D$9:$D$58,$AB13))</f>
        <v/>
      </c>
      <c r="U13" t="str">
        <f>IF($AB13="","",INDEX(入力!$E$9:$E$58,$AB13))</f>
        <v/>
      </c>
      <c r="Z13" t="str">
        <f>IFERROR(MATCH(ROW()-1,入力!$N$9:$N$58,0),"")</f>
        <v/>
      </c>
      <c r="AA13" t="str">
        <f>IF(ROW()-1&gt;COUNTIF(入力!$L$9:$L$58,"&gt;-9.9E+98"),"",IFERROR(MATCH(LARGE(入力!$L$9:$L$58,ROW()-1),入力!$L$9:$L$58,0),""))</f>
        <v/>
      </c>
      <c r="AB13" t="str">
        <f>IF(ROW()-1&gt;COUNTIF(入力!$M$9:$M$58,"&gt;-9.9E+98"),"",IFERROR(MATCH(LARGE(入力!$M$9:$M$58,ROW()-1),入力!$M$9:$M$58,0),""))</f>
        <v/>
      </c>
      <c r="AC13">
        <f>入力!$B$5</f>
        <v>1.6</v>
      </c>
      <c r="AD13">
        <f>入力!$C$5</f>
        <v>1.6</v>
      </c>
    </row>
    <row r="14" spans="1:34">
      <c r="A14" t="str">
        <f>IF($Z14="","",INDEX(入力!$B$9:$B$58,$Z14))</f>
        <v/>
      </c>
      <c r="B14" t="str">
        <f>IF($Z14="","",IF(INDEX(入力!$C$9:$C$58,$Z14)="","",INDEX(入力!$C$9:$C$58,$Z14)))</f>
        <v/>
      </c>
      <c r="C14" t="str">
        <f>IF($Z14="","",IF(INDEX(入力!$D$9:$D$58,$Z14)="","",INDEX(入力!$D$9:$D$58,$Z14)))</f>
        <v/>
      </c>
      <c r="D14" t="str">
        <f>IF($Z14="","",INDEX(入力!$E$9:$E$58,$Z14))</f>
        <v/>
      </c>
      <c r="E14" t="str">
        <f>IF($Z14="","",INDEX(入力!$F$9:$F$58,$Z14))</f>
        <v/>
      </c>
      <c r="F14" t="str">
        <f>IF($Z14="","",INDEX(入力!$J$9:$J$58,$Z14))</f>
        <v/>
      </c>
      <c r="G14" t="str">
        <f>IF($Z14="","",INDEX(入力!$K$9:$K$58,$Z14))</f>
        <v/>
      </c>
      <c r="I14" t="str">
        <f>IF($AA14="","",INDEX(入力!$B$9:$B$58,$AA14))</f>
        <v/>
      </c>
      <c r="J14" t="str">
        <f>IF($AA14="","",INDEX(入力!$C$9:$C$58,$AA14))</f>
        <v/>
      </c>
      <c r="K14" t="str">
        <f>IF($AA14="","",INDEX(入力!$D$9:$D$58,$AA14))</f>
        <v/>
      </c>
      <c r="L14" t="str">
        <f>IF($AA14="","",INDEX(入力!$E$9:$E$58,$AA14))</f>
        <v/>
      </c>
      <c r="M14" t="str">
        <f>IF($AA14="","",INDEX(入力!$I$9:$I$58,$AA14))</f>
        <v/>
      </c>
      <c r="N14" t="str">
        <f>IF($AA14="","",INDEX(入力!$J$9:$J$58,$AA14))</f>
        <v/>
      </c>
      <c r="O14" t="str">
        <f>IF($AA14="","",INDEX(入力!$K$9:$K$58,$AA14))</f>
        <v/>
      </c>
      <c r="Q14" t="str">
        <f>IF($AB14="","",INDEX(入力!$B$9:$B$58,$AB14))</f>
        <v/>
      </c>
      <c r="R14" t="str">
        <f>IF($AB14="","",INDEX(入力!$F$9:$F$58,$AB14))</f>
        <v/>
      </c>
      <c r="S14" t="str">
        <f>IF($AB14="","",INDEX(入力!$C$9:$C$58,$AB14))</f>
        <v/>
      </c>
      <c r="T14" t="str">
        <f>IF($AB14="","",INDEX(入力!$D$9:$D$58,$AB14))</f>
        <v/>
      </c>
      <c r="U14" t="str">
        <f>IF($AB14="","",INDEX(入力!$E$9:$E$58,$AB14))</f>
        <v/>
      </c>
      <c r="Z14" t="str">
        <f>IFERROR(MATCH(ROW()-1,入力!$N$9:$N$58,0),"")</f>
        <v/>
      </c>
      <c r="AA14" t="str">
        <f>IF(ROW()-1&gt;COUNTIF(入力!$L$9:$L$58,"&gt;-9.9E+98"),"",IFERROR(MATCH(LARGE(入力!$L$9:$L$58,ROW()-1),入力!$L$9:$L$58,0),""))</f>
        <v/>
      </c>
      <c r="AB14" t="str">
        <f>IF(ROW()-1&gt;COUNTIF(入力!$M$9:$M$58,"&gt;-9.9E+98"),"",IFERROR(MATCH(LARGE(入力!$M$9:$M$58,ROW()-1),入力!$M$9:$M$58,0),""))</f>
        <v/>
      </c>
      <c r="AC14">
        <f>入力!$B$5</f>
        <v>1.6</v>
      </c>
      <c r="AD14">
        <f>入力!$C$5</f>
        <v>1.6</v>
      </c>
    </row>
    <row r="15" spans="1:34">
      <c r="A15" t="str">
        <f>IF($Z15="","",INDEX(入力!$B$9:$B$58,$Z15))</f>
        <v/>
      </c>
      <c r="B15" t="str">
        <f>IF($Z15="","",IF(INDEX(入力!$C$9:$C$58,$Z15)="","",INDEX(入力!$C$9:$C$58,$Z15)))</f>
        <v/>
      </c>
      <c r="C15" t="str">
        <f>IF($Z15="","",IF(INDEX(入力!$D$9:$D$58,$Z15)="","",INDEX(入力!$D$9:$D$58,$Z15)))</f>
        <v/>
      </c>
      <c r="D15" t="str">
        <f>IF($Z15="","",INDEX(入力!$E$9:$E$58,$Z15))</f>
        <v/>
      </c>
      <c r="E15" t="str">
        <f>IF($Z15="","",INDEX(入力!$F$9:$F$58,$Z15))</f>
        <v/>
      </c>
      <c r="F15" t="str">
        <f>IF($Z15="","",INDEX(入力!$J$9:$J$58,$Z15))</f>
        <v/>
      </c>
      <c r="G15" t="str">
        <f>IF($Z15="","",INDEX(入力!$K$9:$K$58,$Z15))</f>
        <v/>
      </c>
      <c r="I15" t="str">
        <f>IF($AA15="","",INDEX(入力!$B$9:$B$58,$AA15))</f>
        <v/>
      </c>
      <c r="J15" t="str">
        <f>IF($AA15="","",INDEX(入力!$C$9:$C$58,$AA15))</f>
        <v/>
      </c>
      <c r="K15" t="str">
        <f>IF($AA15="","",INDEX(入力!$D$9:$D$58,$AA15))</f>
        <v/>
      </c>
      <c r="L15" t="str">
        <f>IF($AA15="","",INDEX(入力!$E$9:$E$58,$AA15))</f>
        <v/>
      </c>
      <c r="M15" t="str">
        <f>IF($AA15="","",INDEX(入力!$I$9:$I$58,$AA15))</f>
        <v/>
      </c>
      <c r="N15" t="str">
        <f>IF($AA15="","",INDEX(入力!$J$9:$J$58,$AA15))</f>
        <v/>
      </c>
      <c r="O15" t="str">
        <f>IF($AA15="","",INDEX(入力!$K$9:$K$58,$AA15))</f>
        <v/>
      </c>
      <c r="Q15" t="str">
        <f>IF($AB15="","",INDEX(入力!$B$9:$B$58,$AB15))</f>
        <v/>
      </c>
      <c r="R15" t="str">
        <f>IF($AB15="","",INDEX(入力!$F$9:$F$58,$AB15))</f>
        <v/>
      </c>
      <c r="S15" t="str">
        <f>IF($AB15="","",INDEX(入力!$C$9:$C$58,$AB15))</f>
        <v/>
      </c>
      <c r="T15" t="str">
        <f>IF($AB15="","",INDEX(入力!$D$9:$D$58,$AB15))</f>
        <v/>
      </c>
      <c r="U15" t="str">
        <f>IF($AB15="","",INDEX(入力!$E$9:$E$58,$AB15))</f>
        <v/>
      </c>
      <c r="Z15" t="str">
        <f>IFERROR(MATCH(ROW()-1,入力!$N$9:$N$58,0),"")</f>
        <v/>
      </c>
      <c r="AA15" t="str">
        <f>IF(ROW()-1&gt;COUNTIF(入力!$L$9:$L$58,"&gt;-9.9E+98"),"",IFERROR(MATCH(LARGE(入力!$L$9:$L$58,ROW()-1),入力!$L$9:$L$58,0),""))</f>
        <v/>
      </c>
      <c r="AB15" t="str">
        <f>IF(ROW()-1&gt;COUNTIF(入力!$M$9:$M$58,"&gt;-9.9E+98"),"",IFERROR(MATCH(LARGE(入力!$M$9:$M$58,ROW()-1),入力!$M$9:$M$58,0),""))</f>
        <v/>
      </c>
      <c r="AC15">
        <f>入力!$B$5</f>
        <v>1.6</v>
      </c>
      <c r="AD15">
        <f>入力!$C$5</f>
        <v>1.6</v>
      </c>
    </row>
    <row r="16" spans="1:34">
      <c r="A16" t="str">
        <f>IF($Z16="","",INDEX(入力!$B$9:$B$58,$Z16))</f>
        <v/>
      </c>
      <c r="B16" t="str">
        <f>IF($Z16="","",IF(INDEX(入力!$C$9:$C$58,$Z16)="","",INDEX(入力!$C$9:$C$58,$Z16)))</f>
        <v/>
      </c>
      <c r="C16" t="str">
        <f>IF($Z16="","",IF(INDEX(入力!$D$9:$D$58,$Z16)="","",INDEX(入力!$D$9:$D$58,$Z16)))</f>
        <v/>
      </c>
      <c r="D16" t="str">
        <f>IF($Z16="","",INDEX(入力!$E$9:$E$58,$Z16))</f>
        <v/>
      </c>
      <c r="E16" t="str">
        <f>IF($Z16="","",INDEX(入力!$F$9:$F$58,$Z16))</f>
        <v/>
      </c>
      <c r="F16" t="str">
        <f>IF($Z16="","",INDEX(入力!$J$9:$J$58,$Z16))</f>
        <v/>
      </c>
      <c r="G16" t="str">
        <f>IF($Z16="","",INDEX(入力!$K$9:$K$58,$Z16))</f>
        <v/>
      </c>
      <c r="I16" t="str">
        <f>IF($AA16="","",INDEX(入力!$B$9:$B$58,$AA16))</f>
        <v/>
      </c>
      <c r="J16" t="str">
        <f>IF($AA16="","",INDEX(入力!$C$9:$C$58,$AA16))</f>
        <v/>
      </c>
      <c r="K16" t="str">
        <f>IF($AA16="","",INDEX(入力!$D$9:$D$58,$AA16))</f>
        <v/>
      </c>
      <c r="L16" t="str">
        <f>IF($AA16="","",INDEX(入力!$E$9:$E$58,$AA16))</f>
        <v/>
      </c>
      <c r="M16" t="str">
        <f>IF($AA16="","",INDEX(入力!$I$9:$I$58,$AA16))</f>
        <v/>
      </c>
      <c r="N16" t="str">
        <f>IF($AA16="","",INDEX(入力!$J$9:$J$58,$AA16))</f>
        <v/>
      </c>
      <c r="O16" t="str">
        <f>IF($AA16="","",INDEX(入力!$K$9:$K$58,$AA16))</f>
        <v/>
      </c>
      <c r="Q16" t="str">
        <f>IF($AB16="","",INDEX(入力!$B$9:$B$58,$AB16))</f>
        <v/>
      </c>
      <c r="R16" t="str">
        <f>IF($AB16="","",INDEX(入力!$F$9:$F$58,$AB16))</f>
        <v/>
      </c>
      <c r="S16" t="str">
        <f>IF($AB16="","",INDEX(入力!$C$9:$C$58,$AB16))</f>
        <v/>
      </c>
      <c r="T16" t="str">
        <f>IF($AB16="","",INDEX(入力!$D$9:$D$58,$AB16))</f>
        <v/>
      </c>
      <c r="U16" t="str">
        <f>IF($AB16="","",INDEX(入力!$E$9:$E$58,$AB16))</f>
        <v/>
      </c>
      <c r="Z16" t="str">
        <f>IFERROR(MATCH(ROW()-1,入力!$N$9:$N$58,0),"")</f>
        <v/>
      </c>
      <c r="AA16" t="str">
        <f>IF(ROW()-1&gt;COUNTIF(入力!$L$9:$L$58,"&gt;-9.9E+98"),"",IFERROR(MATCH(LARGE(入力!$L$9:$L$58,ROW()-1),入力!$L$9:$L$58,0),""))</f>
        <v/>
      </c>
      <c r="AB16" t="str">
        <f>IF(ROW()-1&gt;COUNTIF(入力!$M$9:$M$58,"&gt;-9.9E+98"),"",IFERROR(MATCH(LARGE(入力!$M$9:$M$58,ROW()-1),入力!$M$9:$M$58,0),""))</f>
        <v/>
      </c>
      <c r="AC16">
        <f>入力!$B$5</f>
        <v>1.6</v>
      </c>
      <c r="AD16">
        <f>入力!$C$5</f>
        <v>1.6</v>
      </c>
    </row>
    <row r="17" spans="1:34">
      <c r="A17" t="str">
        <f>IF($Z17="","",INDEX(入力!$B$9:$B$58,$Z17))</f>
        <v/>
      </c>
      <c r="B17" t="str">
        <f>IF($Z17="","",IF(INDEX(入力!$C$9:$C$58,$Z17)="","",INDEX(入力!$C$9:$C$58,$Z17)))</f>
        <v/>
      </c>
      <c r="C17" t="str">
        <f>IF($Z17="","",IF(INDEX(入力!$D$9:$D$58,$Z17)="","",INDEX(入力!$D$9:$D$58,$Z17)))</f>
        <v/>
      </c>
      <c r="D17" t="str">
        <f>IF($Z17="","",INDEX(入力!$E$9:$E$58,$Z17))</f>
        <v/>
      </c>
      <c r="E17" t="str">
        <f>IF($Z17="","",INDEX(入力!$F$9:$F$58,$Z17))</f>
        <v/>
      </c>
      <c r="F17" t="str">
        <f>IF($Z17="","",INDEX(入力!$J$9:$J$58,$Z17))</f>
        <v/>
      </c>
      <c r="G17" t="str">
        <f>IF($Z17="","",INDEX(入力!$K$9:$K$58,$Z17))</f>
        <v/>
      </c>
      <c r="I17" t="str">
        <f>IF($AA17="","",INDEX(入力!$B$9:$B$58,$AA17))</f>
        <v/>
      </c>
      <c r="J17" t="str">
        <f>IF($AA17="","",INDEX(入力!$C$9:$C$58,$AA17))</f>
        <v/>
      </c>
      <c r="K17" t="str">
        <f>IF($AA17="","",INDEX(入力!$D$9:$D$58,$AA17))</f>
        <v/>
      </c>
      <c r="L17" t="str">
        <f>IF($AA17="","",INDEX(入力!$E$9:$E$58,$AA17))</f>
        <v/>
      </c>
      <c r="M17" t="str">
        <f>IF($AA17="","",INDEX(入力!$I$9:$I$58,$AA17))</f>
        <v/>
      </c>
      <c r="N17" t="str">
        <f>IF($AA17="","",INDEX(入力!$J$9:$J$58,$AA17))</f>
        <v/>
      </c>
      <c r="O17" t="str">
        <f>IF($AA17="","",INDEX(入力!$K$9:$K$58,$AA17))</f>
        <v/>
      </c>
      <c r="Q17" t="str">
        <f>IF($AB17="","",INDEX(入力!$B$9:$B$58,$AB17))</f>
        <v/>
      </c>
      <c r="R17" t="str">
        <f>IF($AB17="","",INDEX(入力!$F$9:$F$58,$AB17))</f>
        <v/>
      </c>
      <c r="S17" t="str">
        <f>IF($AB17="","",INDEX(入力!$C$9:$C$58,$AB17))</f>
        <v/>
      </c>
      <c r="T17" t="str">
        <f>IF($AB17="","",INDEX(入力!$D$9:$D$58,$AB17))</f>
        <v/>
      </c>
      <c r="U17" t="str">
        <f>IF($AB17="","",INDEX(入力!$E$9:$E$58,$AB17))</f>
        <v/>
      </c>
      <c r="Z17" t="str">
        <f>IFERROR(MATCH(ROW()-1,入力!$N$9:$N$58,0),"")</f>
        <v/>
      </c>
      <c r="AA17" t="str">
        <f>IF(ROW()-1&gt;COUNTIF(入力!$L$9:$L$58,"&gt;-9.9E+98"),"",IFERROR(MATCH(LARGE(入力!$L$9:$L$58,ROW()-1),入力!$L$9:$L$58,0),""))</f>
        <v/>
      </c>
      <c r="AB17" t="str">
        <f>IF(ROW()-1&gt;COUNTIF(入力!$M$9:$M$58,"&gt;-9.9E+98"),"",IFERROR(MATCH(LARGE(入力!$M$9:$M$58,ROW()-1),入力!$M$9:$M$58,0),""))</f>
        <v/>
      </c>
      <c r="AC17">
        <f>入力!$B$5</f>
        <v>1.6</v>
      </c>
      <c r="AD17">
        <f>入力!$C$5</f>
        <v>1.6</v>
      </c>
    </row>
    <row r="18" spans="1:34">
      <c r="A18" t="str">
        <f>IF($Z18="","",INDEX(入力!$B$9:$B$58,$Z18))</f>
        <v/>
      </c>
      <c r="B18" t="str">
        <f>IF($Z18="","",IF(INDEX(入力!$C$9:$C$58,$Z18)="","",INDEX(入力!$C$9:$C$58,$Z18)))</f>
        <v/>
      </c>
      <c r="C18" t="str">
        <f>IF($Z18="","",IF(INDEX(入力!$D$9:$D$58,$Z18)="","",INDEX(入力!$D$9:$D$58,$Z18)))</f>
        <v/>
      </c>
      <c r="D18" t="str">
        <f>IF($Z18="","",INDEX(入力!$E$9:$E$58,$Z18))</f>
        <v/>
      </c>
      <c r="E18" t="str">
        <f>IF($Z18="","",INDEX(入力!$F$9:$F$58,$Z18))</f>
        <v/>
      </c>
      <c r="F18" t="str">
        <f>IF($Z18="","",INDEX(入力!$J$9:$J$58,$Z18))</f>
        <v/>
      </c>
      <c r="G18" t="str">
        <f>IF($Z18="","",INDEX(入力!$K$9:$K$58,$Z18))</f>
        <v/>
      </c>
      <c r="I18" t="str">
        <f>IF($AA18="","",INDEX(入力!$B$9:$B$58,$AA18))</f>
        <v/>
      </c>
      <c r="J18" t="str">
        <f>IF($AA18="","",INDEX(入力!$C$9:$C$58,$AA18))</f>
        <v/>
      </c>
      <c r="K18" t="str">
        <f>IF($AA18="","",INDEX(入力!$D$9:$D$58,$AA18))</f>
        <v/>
      </c>
      <c r="L18" t="str">
        <f>IF($AA18="","",INDEX(入力!$E$9:$E$58,$AA18))</f>
        <v/>
      </c>
      <c r="M18" t="str">
        <f>IF($AA18="","",INDEX(入力!$I$9:$I$58,$AA18))</f>
        <v/>
      </c>
      <c r="N18" t="str">
        <f>IF($AA18="","",INDEX(入力!$J$9:$J$58,$AA18))</f>
        <v/>
      </c>
      <c r="O18" t="str">
        <f>IF($AA18="","",INDEX(入力!$K$9:$K$58,$AA18))</f>
        <v/>
      </c>
      <c r="Q18" t="str">
        <f>IF($AB18="","",INDEX(入力!$B$9:$B$58,$AB18))</f>
        <v/>
      </c>
      <c r="R18" t="str">
        <f>IF($AB18="","",INDEX(入力!$F$9:$F$58,$AB18))</f>
        <v/>
      </c>
      <c r="S18" t="str">
        <f>IF($AB18="","",INDEX(入力!$C$9:$C$58,$AB18))</f>
        <v/>
      </c>
      <c r="T18" t="str">
        <f>IF($AB18="","",INDEX(入力!$D$9:$D$58,$AB18))</f>
        <v/>
      </c>
      <c r="U18" t="str">
        <f>IF($AB18="","",INDEX(入力!$E$9:$E$58,$AB18))</f>
        <v/>
      </c>
      <c r="Z18" t="str">
        <f>IFERROR(MATCH(ROW()-1,入力!$N$9:$N$58,0),"")</f>
        <v/>
      </c>
      <c r="AA18" t="str">
        <f>IF(ROW()-1&gt;COUNTIF(入力!$L$9:$L$58,"&gt;-9.9E+98"),"",IFERROR(MATCH(LARGE(入力!$L$9:$L$58,ROW()-1),入力!$L$9:$L$58,0),""))</f>
        <v/>
      </c>
      <c r="AB18" t="str">
        <f>IF(ROW()-1&gt;COUNTIF(入力!$M$9:$M$58,"&gt;-9.9E+98"),"",IFERROR(MATCH(LARGE(入力!$M$9:$M$58,ROW()-1),入力!$M$9:$M$58,0),""))</f>
        <v/>
      </c>
      <c r="AC18">
        <f>入力!$B$5</f>
        <v>1.6</v>
      </c>
      <c r="AD18">
        <f>入力!$C$5</f>
        <v>1.6</v>
      </c>
    </row>
    <row r="19" spans="1:34">
      <c r="A19" t="str">
        <f>IF($Z19="","",INDEX(入力!$B$9:$B$58,$Z19))</f>
        <v/>
      </c>
      <c r="B19" t="str">
        <f>IF($Z19="","",IF(INDEX(入力!$C$9:$C$58,$Z19)="","",INDEX(入力!$C$9:$C$58,$Z19)))</f>
        <v/>
      </c>
      <c r="C19" t="str">
        <f>IF($Z19="","",IF(INDEX(入力!$D$9:$D$58,$Z19)="","",INDEX(入力!$D$9:$D$58,$Z19)))</f>
        <v/>
      </c>
      <c r="D19" t="str">
        <f>IF($Z19="","",INDEX(入力!$E$9:$E$58,$Z19))</f>
        <v/>
      </c>
      <c r="E19" t="str">
        <f>IF($Z19="","",INDEX(入力!$F$9:$F$58,$Z19))</f>
        <v/>
      </c>
      <c r="F19" t="str">
        <f>IF($Z19="","",INDEX(入力!$J$9:$J$58,$Z19))</f>
        <v/>
      </c>
      <c r="G19" t="str">
        <f>IF($Z19="","",INDEX(入力!$K$9:$K$58,$Z19))</f>
        <v/>
      </c>
      <c r="I19" t="str">
        <f>IF($AA19="","",INDEX(入力!$B$9:$B$58,$AA19))</f>
        <v/>
      </c>
      <c r="J19" t="str">
        <f>IF($AA19="","",INDEX(入力!$C$9:$C$58,$AA19))</f>
        <v/>
      </c>
      <c r="K19" t="str">
        <f>IF($AA19="","",INDEX(入力!$D$9:$D$58,$AA19))</f>
        <v/>
      </c>
      <c r="L19" t="str">
        <f>IF($AA19="","",INDEX(入力!$E$9:$E$58,$AA19))</f>
        <v/>
      </c>
      <c r="M19" t="str">
        <f>IF($AA19="","",INDEX(入力!$I$9:$I$58,$AA19))</f>
        <v/>
      </c>
      <c r="N19" t="str">
        <f>IF($AA19="","",INDEX(入力!$J$9:$J$58,$AA19))</f>
        <v/>
      </c>
      <c r="O19" t="str">
        <f>IF($AA19="","",INDEX(入力!$K$9:$K$58,$AA19))</f>
        <v/>
      </c>
      <c r="Q19" t="str">
        <f>IF($AB19="","",INDEX(入力!$B$9:$B$58,$AB19))</f>
        <v/>
      </c>
      <c r="R19" t="str">
        <f>IF($AB19="","",INDEX(入力!$F$9:$F$58,$AB19))</f>
        <v/>
      </c>
      <c r="S19" t="str">
        <f>IF($AB19="","",INDEX(入力!$C$9:$C$58,$AB19))</f>
        <v/>
      </c>
      <c r="T19" t="str">
        <f>IF($AB19="","",INDEX(入力!$D$9:$D$58,$AB19))</f>
        <v/>
      </c>
      <c r="U19" t="str">
        <f>IF($AB19="","",INDEX(入力!$E$9:$E$58,$AB19))</f>
        <v/>
      </c>
      <c r="Z19" t="str">
        <f>IFERROR(MATCH(ROW()-1,入力!$N$9:$N$58,0),"")</f>
        <v/>
      </c>
      <c r="AA19" t="str">
        <f>IF(ROW()-1&gt;COUNTIF(入力!$L$9:$L$58,"&gt;-9.9E+98"),"",IFERROR(MATCH(LARGE(入力!$L$9:$L$58,ROW()-1),入力!$L$9:$L$58,0),""))</f>
        <v/>
      </c>
      <c r="AB19" t="str">
        <f>IF(ROW()-1&gt;COUNTIF(入力!$M$9:$M$58,"&gt;-9.9E+98"),"",IFERROR(MATCH(LARGE(入力!$M$9:$M$58,ROW()-1),入力!$M$9:$M$58,0),""))</f>
        <v/>
      </c>
      <c r="AC19">
        <f>入力!$B$5</f>
        <v>1.6</v>
      </c>
      <c r="AD19">
        <f>入力!$C$5</f>
        <v>1.6</v>
      </c>
    </row>
    <row r="20" spans="1:34">
      <c r="A20" t="str">
        <f>IF($Z20="","",INDEX(入力!$B$9:$B$58,$Z20))</f>
        <v/>
      </c>
      <c r="B20" t="str">
        <f>IF($Z20="","",IF(INDEX(入力!$C$9:$C$58,$Z20)="","",INDEX(入力!$C$9:$C$58,$Z20)))</f>
        <v/>
      </c>
      <c r="C20" t="str">
        <f>IF($Z20="","",IF(INDEX(入力!$D$9:$D$58,$Z20)="","",INDEX(入力!$D$9:$D$58,$Z20)))</f>
        <v/>
      </c>
      <c r="D20" t="str">
        <f>IF($Z20="","",INDEX(入力!$E$9:$E$58,$Z20))</f>
        <v/>
      </c>
      <c r="E20" t="str">
        <f>IF($Z20="","",INDEX(入力!$F$9:$F$58,$Z20))</f>
        <v/>
      </c>
      <c r="F20" t="str">
        <f>IF($Z20="","",INDEX(入力!$J$9:$J$58,$Z20))</f>
        <v/>
      </c>
      <c r="G20" t="str">
        <f>IF($Z20="","",INDEX(入力!$K$9:$K$58,$Z20))</f>
        <v/>
      </c>
      <c r="I20" t="str">
        <f>IF($AA20="","",INDEX(入力!$B$9:$B$58,$AA20))</f>
        <v/>
      </c>
      <c r="J20" t="str">
        <f>IF($AA20="","",INDEX(入力!$C$9:$C$58,$AA20))</f>
        <v/>
      </c>
      <c r="K20" t="str">
        <f>IF($AA20="","",INDEX(入力!$D$9:$D$58,$AA20))</f>
        <v/>
      </c>
      <c r="L20" t="str">
        <f>IF($AA20="","",INDEX(入力!$E$9:$E$58,$AA20))</f>
        <v/>
      </c>
      <c r="M20" t="str">
        <f>IF($AA20="","",INDEX(入力!$I$9:$I$58,$AA20))</f>
        <v/>
      </c>
      <c r="N20" t="str">
        <f>IF($AA20="","",INDEX(入力!$J$9:$J$58,$AA20))</f>
        <v/>
      </c>
      <c r="O20" t="str">
        <f>IF($AA20="","",INDEX(入力!$K$9:$K$58,$AA20))</f>
        <v/>
      </c>
      <c r="Q20" t="str">
        <f>IF($AB20="","",INDEX(入力!$B$9:$B$58,$AB20))</f>
        <v/>
      </c>
      <c r="R20" t="str">
        <f>IF($AB20="","",INDEX(入力!$F$9:$F$58,$AB20))</f>
        <v/>
      </c>
      <c r="S20" t="str">
        <f>IF($AB20="","",INDEX(入力!$C$9:$C$58,$AB20))</f>
        <v/>
      </c>
      <c r="T20" t="str">
        <f>IF($AB20="","",INDEX(入力!$D$9:$D$58,$AB20))</f>
        <v/>
      </c>
      <c r="U20" t="str">
        <f>IF($AB20="","",INDEX(入力!$E$9:$E$58,$AB20))</f>
        <v/>
      </c>
      <c r="Z20" t="str">
        <f>IFERROR(MATCH(ROW()-1,入力!$N$9:$N$58,0),"")</f>
        <v/>
      </c>
      <c r="AA20" t="str">
        <f>IF(ROW()-1&gt;COUNTIF(入力!$L$9:$L$58,"&gt;-9.9E+98"),"",IFERROR(MATCH(LARGE(入力!$L$9:$L$58,ROW()-1),入力!$L$9:$L$58,0),""))</f>
        <v/>
      </c>
      <c r="AB20" t="str">
        <f>IF(ROW()-1&gt;COUNTIF(入力!$M$9:$M$58,"&gt;-9.9E+98"),"",IFERROR(MATCH(LARGE(入力!$M$9:$M$58,ROW()-1),入力!$M$9:$M$58,0),""))</f>
        <v/>
      </c>
      <c r="AC20">
        <f>入力!$B$5</f>
        <v>1.6</v>
      </c>
      <c r="AD20">
        <f>入力!$C$5</f>
        <v>1.6</v>
      </c>
    </row>
    <row r="21" spans="1:34">
      <c r="A21" t="str">
        <f>IF($Z21="","",INDEX(入力!$B$9:$B$58,$Z21))</f>
        <v/>
      </c>
      <c r="B21" t="str">
        <f>IF($Z21="","",IF(INDEX(入力!$C$9:$C$58,$Z21)="","",INDEX(入力!$C$9:$C$58,$Z21)))</f>
        <v/>
      </c>
      <c r="C21" t="str">
        <f>IF($Z21="","",IF(INDEX(入力!$D$9:$D$58,$Z21)="","",INDEX(入力!$D$9:$D$58,$Z21)))</f>
        <v/>
      </c>
      <c r="D21" t="str">
        <f>IF($Z21="","",INDEX(入力!$E$9:$E$58,$Z21))</f>
        <v/>
      </c>
      <c r="E21" t="str">
        <f>IF($Z21="","",INDEX(入力!$F$9:$F$58,$Z21))</f>
        <v/>
      </c>
      <c r="F21" t="str">
        <f>IF($Z21="","",INDEX(入力!$J$9:$J$58,$Z21))</f>
        <v/>
      </c>
      <c r="G21" t="str">
        <f>IF($Z21="","",INDEX(入力!$K$9:$K$58,$Z21))</f>
        <v/>
      </c>
      <c r="I21" t="str">
        <f>IF($AA21="","",INDEX(入力!$B$9:$B$58,$AA21))</f>
        <v/>
      </c>
      <c r="J21" t="str">
        <f>IF($AA21="","",INDEX(入力!$C$9:$C$58,$AA21))</f>
        <v/>
      </c>
      <c r="K21" t="str">
        <f>IF($AA21="","",INDEX(入力!$D$9:$D$58,$AA21))</f>
        <v/>
      </c>
      <c r="L21" t="str">
        <f>IF($AA21="","",INDEX(入力!$E$9:$E$58,$AA21))</f>
        <v/>
      </c>
      <c r="M21" t="str">
        <f>IF($AA21="","",INDEX(入力!$I$9:$I$58,$AA21))</f>
        <v/>
      </c>
      <c r="N21" t="str">
        <f>IF($AA21="","",INDEX(入力!$J$9:$J$58,$AA21))</f>
        <v/>
      </c>
      <c r="O21" t="str">
        <f>IF($AA21="","",INDEX(入力!$K$9:$K$58,$AA21))</f>
        <v/>
      </c>
      <c r="Q21" t="str">
        <f>IF($AB21="","",INDEX(入力!$B$9:$B$58,$AB21))</f>
        <v/>
      </c>
      <c r="R21" t="str">
        <f>IF($AB21="","",INDEX(入力!$F$9:$F$58,$AB21))</f>
        <v/>
      </c>
      <c r="S21" t="str">
        <f>IF($AB21="","",INDEX(入力!$C$9:$C$58,$AB21))</f>
        <v/>
      </c>
      <c r="T21" t="str">
        <f>IF($AB21="","",INDEX(入力!$D$9:$D$58,$AB21))</f>
        <v/>
      </c>
      <c r="U21" t="str">
        <f>IF($AB21="","",INDEX(入力!$E$9:$E$58,$AB21))</f>
        <v/>
      </c>
      <c r="Z21" t="str">
        <f>IFERROR(MATCH(ROW()-1,入力!$N$9:$N$58,0),"")</f>
        <v/>
      </c>
      <c r="AA21" t="str">
        <f>IF(ROW()-1&gt;COUNTIF(入力!$L$9:$L$58,"&gt;-9.9E+98"),"",IFERROR(MATCH(LARGE(入力!$L$9:$L$58,ROW()-1),入力!$L$9:$L$58,0),""))</f>
        <v/>
      </c>
      <c r="AB21" t="str">
        <f>IF(ROW()-1&gt;COUNTIF(入力!$M$9:$M$58,"&gt;-9.9E+98"),"",IFERROR(MATCH(LARGE(入力!$M$9:$M$58,ROW()-1),入力!$M$9:$M$58,0),""))</f>
        <v/>
      </c>
      <c r="AC21">
        <f>入力!$B$5</f>
        <v>1.6</v>
      </c>
      <c r="AD21">
        <f>入力!$C$5</f>
        <v>1.6</v>
      </c>
    </row>
    <row r="22" spans="1:34">
      <c r="A22" t="str">
        <f>IF($Z22="","",INDEX(入力!$B$9:$B$58,$Z22))</f>
        <v/>
      </c>
      <c r="B22" t="str">
        <f>IF($Z22="","",IF(INDEX(入力!$C$9:$C$58,$Z22)="","",INDEX(入力!$C$9:$C$58,$Z22)))</f>
        <v/>
      </c>
      <c r="C22" t="str">
        <f>IF($Z22="","",IF(INDEX(入力!$D$9:$D$58,$Z22)="","",INDEX(入力!$D$9:$D$58,$Z22)))</f>
        <v/>
      </c>
      <c r="D22" t="str">
        <f>IF($Z22="","",INDEX(入力!$E$9:$E$58,$Z22))</f>
        <v/>
      </c>
      <c r="E22" t="str">
        <f>IF($Z22="","",INDEX(入力!$F$9:$F$58,$Z22))</f>
        <v/>
      </c>
      <c r="F22" t="str">
        <f>IF($Z22="","",INDEX(入力!$J$9:$J$58,$Z22))</f>
        <v/>
      </c>
      <c r="G22" t="str">
        <f>IF($Z22="","",INDEX(入力!$K$9:$K$58,$Z22))</f>
        <v/>
      </c>
      <c r="I22" t="str">
        <f>IF($AA22="","",INDEX(入力!$B$9:$B$58,$AA22))</f>
        <v/>
      </c>
      <c r="J22" t="str">
        <f>IF($AA22="","",INDEX(入力!$C$9:$C$58,$AA22))</f>
        <v/>
      </c>
      <c r="K22" t="str">
        <f>IF($AA22="","",INDEX(入力!$D$9:$D$58,$AA22))</f>
        <v/>
      </c>
      <c r="L22" t="str">
        <f>IF($AA22="","",INDEX(入力!$E$9:$E$58,$AA22))</f>
        <v/>
      </c>
      <c r="M22" t="str">
        <f>IF($AA22="","",INDEX(入力!$I$9:$I$58,$AA22))</f>
        <v/>
      </c>
      <c r="N22" t="str">
        <f>IF($AA22="","",INDEX(入力!$J$9:$J$58,$AA22))</f>
        <v/>
      </c>
      <c r="O22" t="str">
        <f>IF($AA22="","",INDEX(入力!$K$9:$K$58,$AA22))</f>
        <v/>
      </c>
      <c r="Q22" t="str">
        <f>IF($AB22="","",INDEX(入力!$B$9:$B$58,$AB22))</f>
        <v/>
      </c>
      <c r="R22" t="str">
        <f>IF($AB22="","",INDEX(入力!$F$9:$F$58,$AB22))</f>
        <v/>
      </c>
      <c r="S22" t="str">
        <f>IF($AB22="","",INDEX(入力!$C$9:$C$58,$AB22))</f>
        <v/>
      </c>
      <c r="T22" t="str">
        <f>IF($AB22="","",INDEX(入力!$D$9:$D$58,$AB22))</f>
        <v/>
      </c>
      <c r="U22" t="str">
        <f>IF($AB22="","",INDEX(入力!$E$9:$E$58,$AB22))</f>
        <v/>
      </c>
      <c r="Z22" t="str">
        <f>IFERROR(MATCH(ROW()-1,入力!$N$9:$N$58,0),"")</f>
        <v/>
      </c>
      <c r="AA22" t="str">
        <f>IF(ROW()-1&gt;COUNTIF(入力!$L$9:$L$58,"&gt;-9.9E+98"),"",IFERROR(MATCH(LARGE(入力!$L$9:$L$58,ROW()-1),入力!$L$9:$L$58,0),""))</f>
        <v/>
      </c>
      <c r="AB22" t="str">
        <f>IF(ROW()-1&gt;COUNTIF(入力!$M$9:$M$58,"&gt;-9.9E+98"),"",IFERROR(MATCH(LARGE(入力!$M$9:$M$58,ROW()-1),入力!$M$9:$M$58,0),""))</f>
        <v/>
      </c>
      <c r="AC22">
        <f>入力!$B$5</f>
        <v>1.6</v>
      </c>
      <c r="AD22">
        <f>入力!$C$5</f>
        <v>1.6</v>
      </c>
    </row>
    <row r="23" spans="1:34">
      <c r="A23" t="str">
        <f>IF($Z23="","",INDEX(入力!$B$9:$B$58,$Z23))</f>
        <v/>
      </c>
      <c r="B23" t="str">
        <f>IF($Z23="","",IF(INDEX(入力!$C$9:$C$58,$Z23)="","",INDEX(入力!$C$9:$C$58,$Z23)))</f>
        <v/>
      </c>
      <c r="C23" t="str">
        <f>IF($Z23="","",IF(INDEX(入力!$D$9:$D$58,$Z23)="","",INDEX(入力!$D$9:$D$58,$Z23)))</f>
        <v/>
      </c>
      <c r="D23" t="str">
        <f>IF($Z23="","",INDEX(入力!$E$9:$E$58,$Z23))</f>
        <v/>
      </c>
      <c r="E23" t="str">
        <f>IF($Z23="","",INDEX(入力!$F$9:$F$58,$Z23))</f>
        <v/>
      </c>
      <c r="F23" t="str">
        <f>IF($Z23="","",INDEX(入力!$J$9:$J$58,$Z23))</f>
        <v/>
      </c>
      <c r="G23" t="str">
        <f>IF($Z23="","",INDEX(入力!$K$9:$K$58,$Z23))</f>
        <v/>
      </c>
      <c r="I23" t="str">
        <f>IF($AA23="","",INDEX(入力!$B$9:$B$58,$AA23))</f>
        <v/>
      </c>
      <c r="J23" t="str">
        <f>IF($AA23="","",INDEX(入力!$C$9:$C$58,$AA23))</f>
        <v/>
      </c>
      <c r="K23" t="str">
        <f>IF($AA23="","",INDEX(入力!$D$9:$D$58,$AA23))</f>
        <v/>
      </c>
      <c r="L23" t="str">
        <f>IF($AA23="","",INDEX(入力!$E$9:$E$58,$AA23))</f>
        <v/>
      </c>
      <c r="M23" t="str">
        <f>IF($AA23="","",INDEX(入力!$I$9:$I$58,$AA23))</f>
        <v/>
      </c>
      <c r="N23" t="str">
        <f>IF($AA23="","",INDEX(入力!$J$9:$J$58,$AA23))</f>
        <v/>
      </c>
      <c r="O23" t="str">
        <f>IF($AA23="","",INDEX(入力!$K$9:$K$58,$AA23))</f>
        <v/>
      </c>
      <c r="Q23" t="str">
        <f>IF($AB23="","",INDEX(入力!$B$9:$B$58,$AB23))</f>
        <v/>
      </c>
      <c r="R23" t="str">
        <f>IF($AB23="","",INDEX(入力!$F$9:$F$58,$AB23))</f>
        <v/>
      </c>
      <c r="S23" t="str">
        <f>IF($AB23="","",INDEX(入力!$C$9:$C$58,$AB23))</f>
        <v/>
      </c>
      <c r="T23" t="str">
        <f>IF($AB23="","",INDEX(入力!$D$9:$D$58,$AB23))</f>
        <v/>
      </c>
      <c r="U23" t="str">
        <f>IF($AB23="","",INDEX(入力!$E$9:$E$58,$AB23))</f>
        <v/>
      </c>
      <c r="Z23" t="str">
        <f>IFERROR(MATCH(ROW()-1,入力!$N$9:$N$58,0),"")</f>
        <v/>
      </c>
      <c r="AA23" t="str">
        <f>IF(ROW()-1&gt;COUNTIF(入力!$L$9:$L$58,"&gt;-9.9E+98"),"",IFERROR(MATCH(LARGE(入力!$L$9:$L$58,ROW()-1),入力!$L$9:$L$58,0),""))</f>
        <v/>
      </c>
      <c r="AB23" t="str">
        <f>IF(ROW()-1&gt;COUNTIF(入力!$M$9:$M$58,"&gt;-9.9E+98"),"",IFERROR(MATCH(LARGE(入力!$M$9:$M$58,ROW()-1),入力!$M$9:$M$58,0),""))</f>
        <v/>
      </c>
      <c r="AC23">
        <f>入力!$B$5</f>
        <v>1.6</v>
      </c>
      <c r="AD23">
        <f>入力!$C$5</f>
        <v>1.6</v>
      </c>
    </row>
    <row r="24" spans="1:34">
      <c r="A24" t="str">
        <f>IF($Z24="","",INDEX(入力!$B$9:$B$58,$Z24))</f>
        <v/>
      </c>
      <c r="B24" t="str">
        <f>IF($Z24="","",IF(INDEX(入力!$C$9:$C$58,$Z24)="","",INDEX(入力!$C$9:$C$58,$Z24)))</f>
        <v/>
      </c>
      <c r="C24" t="str">
        <f>IF($Z24="","",IF(INDEX(入力!$D$9:$D$58,$Z24)="","",INDEX(入力!$D$9:$D$58,$Z24)))</f>
        <v/>
      </c>
      <c r="D24" t="str">
        <f>IF($Z24="","",INDEX(入力!$E$9:$E$58,$Z24))</f>
        <v/>
      </c>
      <c r="E24" t="str">
        <f>IF($Z24="","",INDEX(入力!$F$9:$F$58,$Z24))</f>
        <v/>
      </c>
      <c r="F24" t="str">
        <f>IF($Z24="","",INDEX(入力!$J$9:$J$58,$Z24))</f>
        <v/>
      </c>
      <c r="G24" t="str">
        <f>IF($Z24="","",INDEX(入力!$K$9:$K$58,$Z24))</f>
        <v/>
      </c>
      <c r="I24" t="str">
        <f>IF($AA24="","",INDEX(入力!$B$9:$B$58,$AA24))</f>
        <v/>
      </c>
      <c r="J24" t="str">
        <f>IF($AA24="","",INDEX(入力!$C$9:$C$58,$AA24))</f>
        <v/>
      </c>
      <c r="K24" t="str">
        <f>IF($AA24="","",INDEX(入力!$D$9:$D$58,$AA24))</f>
        <v/>
      </c>
      <c r="L24" t="str">
        <f>IF($AA24="","",INDEX(入力!$E$9:$E$58,$AA24))</f>
        <v/>
      </c>
      <c r="M24" t="str">
        <f>IF($AA24="","",INDEX(入力!$I$9:$I$58,$AA24))</f>
        <v/>
      </c>
      <c r="N24" t="str">
        <f>IF($AA24="","",INDEX(入力!$J$9:$J$58,$AA24))</f>
        <v/>
      </c>
      <c r="O24" t="str">
        <f>IF($AA24="","",INDEX(入力!$K$9:$K$58,$AA24))</f>
        <v/>
      </c>
      <c r="Q24" t="str">
        <f>IF($AB24="","",INDEX(入力!$B$9:$B$58,$AB24))</f>
        <v/>
      </c>
      <c r="R24" t="str">
        <f>IF($AB24="","",INDEX(入力!$F$9:$F$58,$AB24))</f>
        <v/>
      </c>
      <c r="S24" t="str">
        <f>IF($AB24="","",INDEX(入力!$C$9:$C$58,$AB24))</f>
        <v/>
      </c>
      <c r="T24" t="str">
        <f>IF($AB24="","",INDEX(入力!$D$9:$D$58,$AB24))</f>
        <v/>
      </c>
      <c r="U24" t="str">
        <f>IF($AB24="","",INDEX(入力!$E$9:$E$58,$AB24))</f>
        <v/>
      </c>
      <c r="Z24" t="str">
        <f>IFERROR(MATCH(ROW()-1,入力!$N$9:$N$58,0),"")</f>
        <v/>
      </c>
      <c r="AA24" t="str">
        <f>IF(ROW()-1&gt;COUNTIF(入力!$L$9:$L$58,"&gt;-9.9E+98"),"",IFERROR(MATCH(LARGE(入力!$L$9:$L$58,ROW()-1),入力!$L$9:$L$58,0),""))</f>
        <v/>
      </c>
      <c r="AB24" t="str">
        <f>IF(ROW()-1&gt;COUNTIF(入力!$M$9:$M$58,"&gt;-9.9E+98"),"",IFERROR(MATCH(LARGE(入力!$M$9:$M$58,ROW()-1),入力!$M$9:$M$58,0),""))</f>
        <v/>
      </c>
      <c r="AC24">
        <f>入力!$B$5</f>
        <v>1.6</v>
      </c>
      <c r="AD24">
        <f>入力!$C$5</f>
        <v>1.6</v>
      </c>
    </row>
    <row r="25" spans="1:34">
      <c r="A25" t="str">
        <f>IF($Z25="","",INDEX(入力!$B$9:$B$58,$Z25))</f>
        <v/>
      </c>
      <c r="B25" t="str">
        <f>IF($Z25="","",IF(INDEX(入力!$C$9:$C$58,$Z25)="","",INDEX(入力!$C$9:$C$58,$Z25)))</f>
        <v/>
      </c>
      <c r="C25" t="str">
        <f>IF($Z25="","",IF(INDEX(入力!$D$9:$D$58,$Z25)="","",INDEX(入力!$D$9:$D$58,$Z25)))</f>
        <v/>
      </c>
      <c r="D25" t="str">
        <f>IF($Z25="","",INDEX(入力!$E$9:$E$58,$Z25))</f>
        <v/>
      </c>
      <c r="E25" t="str">
        <f>IF($Z25="","",INDEX(入力!$F$9:$F$58,$Z25))</f>
        <v/>
      </c>
      <c r="F25" t="str">
        <f>IF($Z25="","",INDEX(入力!$J$9:$J$58,$Z25))</f>
        <v/>
      </c>
      <c r="G25" t="str">
        <f>IF($Z25="","",INDEX(入力!$K$9:$K$58,$Z25))</f>
        <v/>
      </c>
      <c r="I25" t="str">
        <f>IF($AA25="","",INDEX(入力!$B$9:$B$58,$AA25))</f>
        <v/>
      </c>
      <c r="J25" t="str">
        <f>IF($AA25="","",INDEX(入力!$C$9:$C$58,$AA25))</f>
        <v/>
      </c>
      <c r="K25" t="str">
        <f>IF($AA25="","",INDEX(入力!$D$9:$D$58,$AA25))</f>
        <v/>
      </c>
      <c r="L25" t="str">
        <f>IF($AA25="","",INDEX(入力!$E$9:$E$58,$AA25))</f>
        <v/>
      </c>
      <c r="M25" t="str">
        <f>IF($AA25="","",INDEX(入力!$I$9:$I$58,$AA25))</f>
        <v/>
      </c>
      <c r="N25" t="str">
        <f>IF($AA25="","",INDEX(入力!$J$9:$J$58,$AA25))</f>
        <v/>
      </c>
      <c r="O25" t="str">
        <f>IF($AA25="","",INDEX(入力!$K$9:$K$58,$AA25))</f>
        <v/>
      </c>
      <c r="Q25" t="str">
        <f>IF($AB25="","",INDEX(入力!$B$9:$B$58,$AB25))</f>
        <v/>
      </c>
      <c r="R25" t="str">
        <f>IF($AB25="","",INDEX(入力!$F$9:$F$58,$AB25))</f>
        <v/>
      </c>
      <c r="S25" t="str">
        <f>IF($AB25="","",INDEX(入力!$C$9:$C$58,$AB25))</f>
        <v/>
      </c>
      <c r="T25" t="str">
        <f>IF($AB25="","",INDEX(入力!$D$9:$D$58,$AB25))</f>
        <v/>
      </c>
      <c r="U25" t="str">
        <f>IF($AB25="","",INDEX(入力!$E$9:$E$58,$AB25))</f>
        <v/>
      </c>
      <c r="Z25" t="str">
        <f>IFERROR(MATCH(ROW()-1,入力!$N$9:$N$58,0),"")</f>
        <v/>
      </c>
      <c r="AA25" t="str">
        <f>IF(ROW()-1&gt;COUNTIF(入力!$L$9:$L$58,"&gt;-9.9E+98"),"",IFERROR(MATCH(LARGE(入力!$L$9:$L$58,ROW()-1),入力!$L$9:$L$58,0),""))</f>
        <v/>
      </c>
      <c r="AB25" t="str">
        <f>IF(ROW()-1&gt;COUNTIF(入力!$M$9:$M$58,"&gt;-9.9E+98"),"",IFERROR(MATCH(LARGE(入力!$M$9:$M$58,ROW()-1),入力!$M$9:$M$58,0),""))</f>
        <v/>
      </c>
      <c r="AC25">
        <f>入力!$B$5</f>
        <v>1.6</v>
      </c>
      <c r="AD25">
        <f>入力!$C$5</f>
        <v>1.6</v>
      </c>
    </row>
    <row r="26" spans="1:34">
      <c r="A26" t="str">
        <f>IF($Z26="","",INDEX(入力!$B$9:$B$58,$Z26))</f>
        <v/>
      </c>
      <c r="B26" t="str">
        <f>IF($Z26="","",IF(INDEX(入力!$C$9:$C$58,$Z26)="","",INDEX(入力!$C$9:$C$58,$Z26)))</f>
        <v/>
      </c>
      <c r="C26" t="str">
        <f>IF($Z26="","",IF(INDEX(入力!$D$9:$D$58,$Z26)="","",INDEX(入力!$D$9:$D$58,$Z26)))</f>
        <v/>
      </c>
      <c r="D26" t="str">
        <f>IF($Z26="","",INDEX(入力!$E$9:$E$58,$Z26))</f>
        <v/>
      </c>
      <c r="E26" t="str">
        <f>IF($Z26="","",INDEX(入力!$F$9:$F$58,$Z26))</f>
        <v/>
      </c>
      <c r="F26" t="str">
        <f>IF($Z26="","",INDEX(入力!$J$9:$J$58,$Z26))</f>
        <v/>
      </c>
      <c r="G26" t="str">
        <f>IF($Z26="","",INDEX(入力!$K$9:$K$58,$Z26))</f>
        <v/>
      </c>
      <c r="I26" t="str">
        <f>IF($AA26="","",INDEX(入力!$B$9:$B$58,$AA26))</f>
        <v/>
      </c>
      <c r="J26" t="str">
        <f>IF($AA26="","",INDEX(入力!$C$9:$C$58,$AA26))</f>
        <v/>
      </c>
      <c r="K26" t="str">
        <f>IF($AA26="","",INDEX(入力!$D$9:$D$58,$AA26))</f>
        <v/>
      </c>
      <c r="L26" t="str">
        <f>IF($AA26="","",INDEX(入力!$E$9:$E$58,$AA26))</f>
        <v/>
      </c>
      <c r="M26" t="str">
        <f>IF($AA26="","",INDEX(入力!$I$9:$I$58,$AA26))</f>
        <v/>
      </c>
      <c r="N26" t="str">
        <f>IF($AA26="","",INDEX(入力!$J$9:$J$58,$AA26))</f>
        <v/>
      </c>
      <c r="O26" t="str">
        <f>IF($AA26="","",INDEX(入力!$K$9:$K$58,$AA26))</f>
        <v/>
      </c>
      <c r="Q26" t="str">
        <f>IF($AB26="","",INDEX(入力!$B$9:$B$58,$AB26))</f>
        <v/>
      </c>
      <c r="R26" t="str">
        <f>IF($AB26="","",INDEX(入力!$F$9:$F$58,$AB26))</f>
        <v/>
      </c>
      <c r="S26" t="str">
        <f>IF($AB26="","",INDEX(入力!$C$9:$C$58,$AB26))</f>
        <v/>
      </c>
      <c r="T26" t="str">
        <f>IF($AB26="","",INDEX(入力!$D$9:$D$58,$AB26))</f>
        <v/>
      </c>
      <c r="U26" t="str">
        <f>IF($AB26="","",INDEX(入力!$E$9:$E$58,$AB26))</f>
        <v/>
      </c>
      <c r="Z26" t="str">
        <f>IFERROR(MATCH(ROW()-1,入力!$N$9:$N$58,0),"")</f>
        <v/>
      </c>
      <c r="AA26" t="str">
        <f>IF(ROW()-1&gt;COUNTIF(入力!$L$9:$L$58,"&gt;-9.9E+98"),"",IFERROR(MATCH(LARGE(入力!$L$9:$L$58,ROW()-1),入力!$L$9:$L$58,0),""))</f>
        <v/>
      </c>
      <c r="AB26" t="str">
        <f>IF(ROW()-1&gt;COUNTIF(入力!$M$9:$M$58,"&gt;-9.9E+98"),"",IFERROR(MATCH(LARGE(入力!$M$9:$M$58,ROW()-1),入力!$M$9:$M$58,0),""))</f>
        <v/>
      </c>
      <c r="AC26">
        <f>入力!$B$5</f>
        <v>1.6</v>
      </c>
      <c r="AD26">
        <f>入力!$C$5</f>
        <v>1.6</v>
      </c>
    </row>
    <row r="27" spans="1:34">
      <c r="A27" t="str">
        <f>IF($Z27="","",INDEX(入力!$B$9:$B$58,$Z27))</f>
        <v/>
      </c>
      <c r="B27" t="str">
        <f>IF($Z27="","",IF(INDEX(入力!$C$9:$C$58,$Z27)="","",INDEX(入力!$C$9:$C$58,$Z27)))</f>
        <v/>
      </c>
      <c r="C27" t="str">
        <f>IF($Z27="","",IF(INDEX(入力!$D$9:$D$58,$Z27)="","",INDEX(入力!$D$9:$D$58,$Z27)))</f>
        <v/>
      </c>
      <c r="D27" t="str">
        <f>IF($Z27="","",INDEX(入力!$E$9:$E$58,$Z27))</f>
        <v/>
      </c>
      <c r="E27" t="str">
        <f>IF($Z27="","",INDEX(入力!$F$9:$F$58,$Z27))</f>
        <v/>
      </c>
      <c r="F27" t="str">
        <f>IF($Z27="","",INDEX(入力!$J$9:$J$58,$Z27))</f>
        <v/>
      </c>
      <c r="G27" t="str">
        <f>IF($Z27="","",INDEX(入力!$K$9:$K$58,$Z27))</f>
        <v/>
      </c>
      <c r="I27" t="str">
        <f>IF($AA27="","",INDEX(入力!$B$9:$B$58,$AA27))</f>
        <v/>
      </c>
      <c r="J27" t="str">
        <f>IF($AA27="","",INDEX(入力!$C$9:$C$58,$AA27))</f>
        <v/>
      </c>
      <c r="K27" t="str">
        <f>IF($AA27="","",INDEX(入力!$D$9:$D$58,$AA27))</f>
        <v/>
      </c>
      <c r="L27" t="str">
        <f>IF($AA27="","",INDEX(入力!$E$9:$E$58,$AA27))</f>
        <v/>
      </c>
      <c r="M27" t="str">
        <f>IF($AA27="","",INDEX(入力!$I$9:$I$58,$AA27))</f>
        <v/>
      </c>
      <c r="N27" t="str">
        <f>IF($AA27="","",INDEX(入力!$J$9:$J$58,$AA27))</f>
        <v/>
      </c>
      <c r="O27" t="str">
        <f>IF($AA27="","",INDEX(入力!$K$9:$K$58,$AA27))</f>
        <v/>
      </c>
      <c r="Q27" t="str">
        <f>IF($AB27="","",INDEX(入力!$B$9:$B$58,$AB27))</f>
        <v/>
      </c>
      <c r="R27" t="str">
        <f>IF($AB27="","",INDEX(入力!$F$9:$F$58,$AB27))</f>
        <v/>
      </c>
      <c r="S27" t="str">
        <f>IF($AB27="","",INDEX(入力!$C$9:$C$58,$AB27))</f>
        <v/>
      </c>
      <c r="T27" t="str">
        <f>IF($AB27="","",INDEX(入力!$D$9:$D$58,$AB27))</f>
        <v/>
      </c>
      <c r="U27" t="str">
        <f>IF($AB27="","",INDEX(入力!$E$9:$E$58,$AB27))</f>
        <v/>
      </c>
      <c r="Z27" t="str">
        <f>IFERROR(MATCH(ROW()-1,入力!$N$9:$N$58,0),"")</f>
        <v/>
      </c>
      <c r="AA27" t="str">
        <f>IF(ROW()-1&gt;COUNTIF(入力!$L$9:$L$58,"&gt;-9.9E+98"),"",IFERROR(MATCH(LARGE(入力!$L$9:$L$58,ROW()-1),入力!$L$9:$L$58,0),""))</f>
        <v/>
      </c>
      <c r="AB27" t="str">
        <f>IF(ROW()-1&gt;COUNTIF(入力!$M$9:$M$58,"&gt;-9.9E+98"),"",IFERROR(MATCH(LARGE(入力!$M$9:$M$58,ROW()-1),入力!$M$9:$M$58,0),""))</f>
        <v/>
      </c>
      <c r="AC27">
        <f>入力!$B$5</f>
        <v>1.6</v>
      </c>
      <c r="AD27">
        <f>入力!$C$5</f>
        <v>1.6</v>
      </c>
    </row>
    <row r="28" spans="1:34">
      <c r="A28" t="str">
        <f>IF($Z28="","",INDEX(入力!$B$9:$B$58,$Z28))</f>
        <v/>
      </c>
      <c r="B28" t="str">
        <f>IF($Z28="","",IF(INDEX(入力!$C$9:$C$58,$Z28)="","",INDEX(入力!$C$9:$C$58,$Z28)))</f>
        <v/>
      </c>
      <c r="C28" t="str">
        <f>IF($Z28="","",IF(INDEX(入力!$D$9:$D$58,$Z28)="","",INDEX(入力!$D$9:$D$58,$Z28)))</f>
        <v/>
      </c>
      <c r="D28" t="str">
        <f>IF($Z28="","",INDEX(入力!$E$9:$E$58,$Z28))</f>
        <v/>
      </c>
      <c r="E28" t="str">
        <f>IF($Z28="","",INDEX(入力!$F$9:$F$58,$Z28))</f>
        <v/>
      </c>
      <c r="F28" t="str">
        <f>IF($Z28="","",INDEX(入力!$J$9:$J$58,$Z28))</f>
        <v/>
      </c>
      <c r="G28" t="str">
        <f>IF($Z28="","",INDEX(入力!$K$9:$K$58,$Z28))</f>
        <v/>
      </c>
      <c r="I28" t="str">
        <f>IF($AA28="","",INDEX(入力!$B$9:$B$58,$AA28))</f>
        <v/>
      </c>
      <c r="J28" t="str">
        <f>IF($AA28="","",INDEX(入力!$C$9:$C$58,$AA28))</f>
        <v/>
      </c>
      <c r="K28" t="str">
        <f>IF($AA28="","",INDEX(入力!$D$9:$D$58,$AA28))</f>
        <v/>
      </c>
      <c r="L28" t="str">
        <f>IF($AA28="","",INDEX(入力!$E$9:$E$58,$AA28))</f>
        <v/>
      </c>
      <c r="M28" t="str">
        <f>IF($AA28="","",INDEX(入力!$I$9:$I$58,$AA28))</f>
        <v/>
      </c>
      <c r="N28" t="str">
        <f>IF($AA28="","",INDEX(入力!$J$9:$J$58,$AA28))</f>
        <v/>
      </c>
      <c r="O28" t="str">
        <f>IF($AA28="","",INDEX(入力!$K$9:$K$58,$AA28))</f>
        <v/>
      </c>
      <c r="Q28" t="str">
        <f>IF($AB28="","",INDEX(入力!$B$9:$B$58,$AB28))</f>
        <v/>
      </c>
      <c r="R28" t="str">
        <f>IF($AB28="","",INDEX(入力!$F$9:$F$58,$AB28))</f>
        <v/>
      </c>
      <c r="S28" t="str">
        <f>IF($AB28="","",INDEX(入力!$C$9:$C$58,$AB28))</f>
        <v/>
      </c>
      <c r="T28" t="str">
        <f>IF($AB28="","",INDEX(入力!$D$9:$D$58,$AB28))</f>
        <v/>
      </c>
      <c r="U28" t="str">
        <f>IF($AB28="","",INDEX(入力!$E$9:$E$58,$AB28))</f>
        <v/>
      </c>
      <c r="Z28" t="str">
        <f>IFERROR(MATCH(ROW()-1,入力!$N$9:$N$58,0),"")</f>
        <v/>
      </c>
      <c r="AA28" t="str">
        <f>IF(ROW()-1&gt;COUNTIF(入力!$L$9:$L$58,"&gt;-9.9E+98"),"",IFERROR(MATCH(LARGE(入力!$L$9:$L$58,ROW()-1),入力!$L$9:$L$58,0),""))</f>
        <v/>
      </c>
      <c r="AB28" t="str">
        <f>IF(ROW()-1&gt;COUNTIF(入力!$M$9:$M$58,"&gt;-9.9E+98"),"",IFERROR(MATCH(LARGE(入力!$M$9:$M$58,ROW()-1),入力!$M$9:$M$58,0),""))</f>
        <v/>
      </c>
      <c r="AC28">
        <f>入力!$B$5</f>
        <v>1.6</v>
      </c>
      <c r="AD28">
        <f>入力!$C$5</f>
        <v>1.6</v>
      </c>
    </row>
    <row r="29" spans="1:34">
      <c r="A29" t="str">
        <f>IF($Z29="","",INDEX(入力!$B$9:$B$58,$Z29))</f>
        <v/>
      </c>
      <c r="B29" t="str">
        <f>IF($Z29="","",IF(INDEX(入力!$C$9:$C$58,$Z29)="","",INDEX(入力!$C$9:$C$58,$Z29)))</f>
        <v/>
      </c>
      <c r="C29" t="str">
        <f>IF($Z29="","",IF(INDEX(入力!$D$9:$D$58,$Z29)="","",INDEX(入力!$D$9:$D$58,$Z29)))</f>
        <v/>
      </c>
      <c r="D29" t="str">
        <f>IF($Z29="","",INDEX(入力!$E$9:$E$58,$Z29))</f>
        <v/>
      </c>
      <c r="E29" t="str">
        <f>IF($Z29="","",INDEX(入力!$F$9:$F$58,$Z29))</f>
        <v/>
      </c>
      <c r="F29" t="str">
        <f>IF($Z29="","",INDEX(入力!$J$9:$J$58,$Z29))</f>
        <v/>
      </c>
      <c r="G29" t="str">
        <f>IF($Z29="","",INDEX(入力!$K$9:$K$58,$Z29))</f>
        <v/>
      </c>
      <c r="I29" t="str">
        <f>IF($AA29="","",INDEX(入力!$B$9:$B$58,$AA29))</f>
        <v/>
      </c>
      <c r="J29" t="str">
        <f>IF($AA29="","",INDEX(入力!$C$9:$C$58,$AA29))</f>
        <v/>
      </c>
      <c r="K29" t="str">
        <f>IF($AA29="","",INDEX(入力!$D$9:$D$58,$AA29))</f>
        <v/>
      </c>
      <c r="L29" t="str">
        <f>IF($AA29="","",INDEX(入力!$E$9:$E$58,$AA29))</f>
        <v/>
      </c>
      <c r="M29" t="str">
        <f>IF($AA29="","",INDEX(入力!$I$9:$I$58,$AA29))</f>
        <v/>
      </c>
      <c r="N29" t="str">
        <f>IF($AA29="","",INDEX(入力!$J$9:$J$58,$AA29))</f>
        <v/>
      </c>
      <c r="O29" t="str">
        <f>IF($AA29="","",INDEX(入力!$K$9:$K$58,$AA29))</f>
        <v/>
      </c>
      <c r="Q29" t="str">
        <f>IF($AB29="","",INDEX(入力!$B$9:$B$58,$AB29))</f>
        <v/>
      </c>
      <c r="R29" t="str">
        <f>IF($AB29="","",INDEX(入力!$F$9:$F$58,$AB29))</f>
        <v/>
      </c>
      <c r="S29" t="str">
        <f>IF($AB29="","",INDEX(入力!$C$9:$C$58,$AB29))</f>
        <v/>
      </c>
      <c r="T29" t="str">
        <f>IF($AB29="","",INDEX(入力!$D$9:$D$58,$AB29))</f>
        <v/>
      </c>
      <c r="U29" t="str">
        <f>IF($AB29="","",INDEX(入力!$E$9:$E$58,$AB29))</f>
        <v/>
      </c>
      <c r="Z29" t="str">
        <f>IFERROR(MATCH(ROW()-1,入力!$N$9:$N$58,0),"")</f>
        <v/>
      </c>
      <c r="AA29" t="str">
        <f>IF(ROW()-1&gt;COUNTIF(入力!$L$9:$L$58,"&gt;-9.9E+98"),"",IFERROR(MATCH(LARGE(入力!$L$9:$L$58,ROW()-1),入力!$L$9:$L$58,0),""))</f>
        <v/>
      </c>
      <c r="AB29" t="str">
        <f>IF(ROW()-1&gt;COUNTIF(入力!$M$9:$M$58,"&gt;-9.9E+98"),"",IFERROR(MATCH(LARGE(入力!$M$9:$M$58,ROW()-1),入力!$M$9:$M$58,0),""))</f>
        <v/>
      </c>
      <c r="AC29">
        <f>入力!$B$5</f>
        <v>1.6</v>
      </c>
      <c r="AD29">
        <f>入力!$C$5</f>
        <v>1.6</v>
      </c>
    </row>
    <row r="30" spans="1:34">
      <c r="A30" t="str">
        <f>IF($Z30="","",INDEX(入力!$B$9:$B$58,$Z30))</f>
        <v/>
      </c>
      <c r="B30" t="str">
        <f>IF($Z30="","",IF(INDEX(入力!$C$9:$C$58,$Z30)="","",INDEX(入力!$C$9:$C$58,$Z30)))</f>
        <v/>
      </c>
      <c r="C30" t="str">
        <f>IF($Z30="","",IF(INDEX(入力!$D$9:$D$58,$Z30)="","",INDEX(入力!$D$9:$D$58,$Z30)))</f>
        <v/>
      </c>
      <c r="D30" t="str">
        <f>IF($Z30="","",INDEX(入力!$E$9:$E$58,$Z30))</f>
        <v/>
      </c>
      <c r="E30" t="str">
        <f>IF($Z30="","",INDEX(入力!$F$9:$F$58,$Z30))</f>
        <v/>
      </c>
      <c r="F30" t="str">
        <f>IF($Z30="","",INDEX(入力!$J$9:$J$58,$Z30))</f>
        <v/>
      </c>
      <c r="G30" t="str">
        <f>IF($Z30="","",INDEX(入力!$K$9:$K$58,$Z30))</f>
        <v/>
      </c>
      <c r="I30" t="str">
        <f>IF($AA30="","",INDEX(入力!$B$9:$B$58,$AA30))</f>
        <v/>
      </c>
      <c r="J30" t="str">
        <f>IF($AA30="","",INDEX(入力!$C$9:$C$58,$AA30))</f>
        <v/>
      </c>
      <c r="K30" t="str">
        <f>IF($AA30="","",INDEX(入力!$D$9:$D$58,$AA30))</f>
        <v/>
      </c>
      <c r="L30" t="str">
        <f>IF($AA30="","",INDEX(入力!$E$9:$E$58,$AA30))</f>
        <v/>
      </c>
      <c r="M30" t="str">
        <f>IF($AA30="","",INDEX(入力!$I$9:$I$58,$AA30))</f>
        <v/>
      </c>
      <c r="N30" t="str">
        <f>IF($AA30="","",INDEX(入力!$J$9:$J$58,$AA30))</f>
        <v/>
      </c>
      <c r="O30" t="str">
        <f>IF($AA30="","",INDEX(入力!$K$9:$K$58,$AA30))</f>
        <v/>
      </c>
      <c r="Q30" t="str">
        <f>IF($AB30="","",INDEX(入力!$B$9:$B$58,$AB30))</f>
        <v/>
      </c>
      <c r="R30" t="str">
        <f>IF($AB30="","",INDEX(入力!$F$9:$F$58,$AB30))</f>
        <v/>
      </c>
      <c r="S30" t="str">
        <f>IF($AB30="","",INDEX(入力!$C$9:$C$58,$AB30))</f>
        <v/>
      </c>
      <c r="T30" t="str">
        <f>IF($AB30="","",INDEX(入力!$D$9:$D$58,$AB30))</f>
        <v/>
      </c>
      <c r="U30" t="str">
        <f>IF($AB30="","",INDEX(入力!$E$9:$E$58,$AB30))</f>
        <v/>
      </c>
      <c r="Z30" t="str">
        <f>IFERROR(MATCH(ROW()-1,入力!$N$9:$N$58,0),"")</f>
        <v/>
      </c>
      <c r="AA30" t="str">
        <f>IF(ROW()-1&gt;COUNTIF(入力!$L$9:$L$58,"&gt;-9.9E+98"),"",IFERROR(MATCH(LARGE(入力!$L$9:$L$58,ROW()-1),入力!$L$9:$L$58,0),""))</f>
        <v/>
      </c>
      <c r="AB30" t="str">
        <f>IF(ROW()-1&gt;COUNTIF(入力!$M$9:$M$58,"&gt;-9.9E+98"),"",IFERROR(MATCH(LARGE(入力!$M$9:$M$58,ROW()-1),入力!$M$9:$M$58,0),""))</f>
        <v/>
      </c>
      <c r="AC30">
        <f>入力!$B$5</f>
        <v>1.6</v>
      </c>
      <c r="AD30">
        <f>入力!$C$5</f>
        <v>1.6</v>
      </c>
    </row>
    <row r="31" spans="1:34">
      <c r="A31" t="str">
        <f>IF($Z31="","",INDEX(入力!$B$9:$B$58,$Z31))</f>
        <v/>
      </c>
      <c r="B31" t="str">
        <f>IF($Z31="","",IF(INDEX(入力!$C$9:$C$58,$Z31)="","",INDEX(入力!$C$9:$C$58,$Z31)))</f>
        <v/>
      </c>
      <c r="C31" t="str">
        <f>IF($Z31="","",IF(INDEX(入力!$D$9:$D$58,$Z31)="","",INDEX(入力!$D$9:$D$58,$Z31)))</f>
        <v/>
      </c>
      <c r="D31" t="str">
        <f>IF($Z31="","",INDEX(入力!$E$9:$E$58,$Z31))</f>
        <v/>
      </c>
      <c r="E31" t="str">
        <f>IF($Z31="","",INDEX(入力!$F$9:$F$58,$Z31))</f>
        <v/>
      </c>
      <c r="F31" t="str">
        <f>IF($Z31="","",INDEX(入力!$J$9:$J$58,$Z31))</f>
        <v/>
      </c>
      <c r="G31" t="str">
        <f>IF($Z31="","",INDEX(入力!$K$9:$K$58,$Z31))</f>
        <v/>
      </c>
      <c r="I31" t="str">
        <f>IF($AA31="","",INDEX(入力!$B$9:$B$58,$AA31))</f>
        <v/>
      </c>
      <c r="J31" t="str">
        <f>IF($AA31="","",INDEX(入力!$C$9:$C$58,$AA31))</f>
        <v/>
      </c>
      <c r="K31" t="str">
        <f>IF($AA31="","",INDEX(入力!$D$9:$D$58,$AA31))</f>
        <v/>
      </c>
      <c r="L31" t="str">
        <f>IF($AA31="","",INDEX(入力!$E$9:$E$58,$AA31))</f>
        <v/>
      </c>
      <c r="M31" t="str">
        <f>IF($AA31="","",INDEX(入力!$I$9:$I$58,$AA31))</f>
        <v/>
      </c>
      <c r="N31" t="str">
        <f>IF($AA31="","",INDEX(入力!$J$9:$J$58,$AA31))</f>
        <v/>
      </c>
      <c r="O31" t="str">
        <f>IF($AA31="","",INDEX(入力!$K$9:$K$58,$AA31))</f>
        <v/>
      </c>
      <c r="Q31" t="str">
        <f>IF($AB31="","",INDEX(入力!$B$9:$B$58,$AB31))</f>
        <v/>
      </c>
      <c r="R31" t="str">
        <f>IF($AB31="","",INDEX(入力!$F$9:$F$58,$AB31))</f>
        <v/>
      </c>
      <c r="S31" t="str">
        <f>IF($AB31="","",INDEX(入力!$C$9:$C$58,$AB31))</f>
        <v/>
      </c>
      <c r="T31" t="str">
        <f>IF($AB31="","",INDEX(入力!$D$9:$D$58,$AB31))</f>
        <v/>
      </c>
      <c r="U31" t="str">
        <f>IF($AB31="","",INDEX(入力!$E$9:$E$58,$AB31))</f>
        <v/>
      </c>
      <c r="Z31" t="str">
        <f>IFERROR(MATCH(ROW()-1,入力!$N$9:$N$58,0),"")</f>
        <v/>
      </c>
      <c r="AA31" t="str">
        <f>IF(ROW()-1&gt;COUNTIF(入力!$L$9:$L$58,"&gt;-9.9E+98"),"",IFERROR(MATCH(LARGE(入力!$L$9:$L$58,ROW()-1),入力!$L$9:$L$58,0),""))</f>
        <v/>
      </c>
      <c r="AB31" t="str">
        <f>IF(ROW()-1&gt;COUNTIF(入力!$M$9:$M$58,"&gt;-9.9E+98"),"",IFERROR(MATCH(LARGE(入力!$M$9:$M$58,ROW()-1),入力!$M$9:$M$58,0),""))</f>
        <v/>
      </c>
      <c r="AC31">
        <f>入力!$B$5</f>
        <v>1.6</v>
      </c>
      <c r="AD31">
        <f>入力!$C$5</f>
        <v>1.6</v>
      </c>
    </row>
    <row r="32" spans="1:34">
      <c r="A32" t="str">
        <f>IF($Z32="","",INDEX(入力!$B$9:$B$58,$Z32))</f>
        <v/>
      </c>
      <c r="B32" t="str">
        <f>IF($Z32="","",IF(INDEX(入力!$C$9:$C$58,$Z32)="","",INDEX(入力!$C$9:$C$58,$Z32)))</f>
        <v/>
      </c>
      <c r="C32" t="str">
        <f>IF($Z32="","",IF(INDEX(入力!$D$9:$D$58,$Z32)="","",INDEX(入力!$D$9:$D$58,$Z32)))</f>
        <v/>
      </c>
      <c r="D32" t="str">
        <f>IF($Z32="","",INDEX(入力!$E$9:$E$58,$Z32))</f>
        <v/>
      </c>
      <c r="E32" t="str">
        <f>IF($Z32="","",INDEX(入力!$F$9:$F$58,$Z32))</f>
        <v/>
      </c>
      <c r="F32" t="str">
        <f>IF($Z32="","",INDEX(入力!$J$9:$J$58,$Z32))</f>
        <v/>
      </c>
      <c r="G32" t="str">
        <f>IF($Z32="","",INDEX(入力!$K$9:$K$58,$Z32))</f>
        <v/>
      </c>
      <c r="I32" t="str">
        <f>IF($AA32="","",INDEX(入力!$B$9:$B$58,$AA32))</f>
        <v/>
      </c>
      <c r="J32" t="str">
        <f>IF($AA32="","",INDEX(入力!$C$9:$C$58,$AA32))</f>
        <v/>
      </c>
      <c r="K32" t="str">
        <f>IF($AA32="","",INDEX(入力!$D$9:$D$58,$AA32))</f>
        <v/>
      </c>
      <c r="L32" t="str">
        <f>IF($AA32="","",INDEX(入力!$E$9:$E$58,$AA32))</f>
        <v/>
      </c>
      <c r="M32" t="str">
        <f>IF($AA32="","",INDEX(入力!$I$9:$I$58,$AA32))</f>
        <v/>
      </c>
      <c r="N32" t="str">
        <f>IF($AA32="","",INDEX(入力!$J$9:$J$58,$AA32))</f>
        <v/>
      </c>
      <c r="O32" t="str">
        <f>IF($AA32="","",INDEX(入力!$K$9:$K$58,$AA32))</f>
        <v/>
      </c>
      <c r="Q32" t="str">
        <f>IF($AB32="","",INDEX(入力!$B$9:$B$58,$AB32))</f>
        <v/>
      </c>
      <c r="R32" t="str">
        <f>IF($AB32="","",INDEX(入力!$F$9:$F$58,$AB32))</f>
        <v/>
      </c>
      <c r="S32" t="str">
        <f>IF($AB32="","",INDEX(入力!$C$9:$C$58,$AB32))</f>
        <v/>
      </c>
      <c r="T32" t="str">
        <f>IF($AB32="","",INDEX(入力!$D$9:$D$58,$AB32))</f>
        <v/>
      </c>
      <c r="U32" t="str">
        <f>IF($AB32="","",INDEX(入力!$E$9:$E$58,$AB32))</f>
        <v/>
      </c>
      <c r="Z32" t="str">
        <f>IFERROR(MATCH(ROW()-1,入力!$N$9:$N$58,0),"")</f>
        <v/>
      </c>
      <c r="AA32" t="str">
        <f>IF(ROW()-1&gt;COUNTIF(入力!$L$9:$L$58,"&gt;-9.9E+98"),"",IFERROR(MATCH(LARGE(入力!$L$9:$L$58,ROW()-1),入力!$L$9:$L$58,0),""))</f>
        <v/>
      </c>
      <c r="AB32" t="str">
        <f>IF(ROW()-1&gt;COUNTIF(入力!$M$9:$M$58,"&gt;-9.9E+98"),"",IFERROR(MATCH(LARGE(入力!$M$9:$M$58,ROW()-1),入力!$M$9:$M$58,0),""))</f>
        <v/>
      </c>
      <c r="AC32">
        <f>入力!$B$5</f>
        <v>1.6</v>
      </c>
      <c r="AD32">
        <f>入力!$C$5</f>
        <v>1.6</v>
      </c>
    </row>
    <row r="33" spans="1:34">
      <c r="A33" t="str">
        <f>IF($Z33="","",INDEX(入力!$B$9:$B$58,$Z33))</f>
        <v/>
      </c>
      <c r="B33" t="str">
        <f>IF($Z33="","",IF(INDEX(入力!$C$9:$C$58,$Z33)="","",INDEX(入力!$C$9:$C$58,$Z33)))</f>
        <v/>
      </c>
      <c r="C33" t="str">
        <f>IF($Z33="","",IF(INDEX(入力!$D$9:$D$58,$Z33)="","",INDEX(入力!$D$9:$D$58,$Z33)))</f>
        <v/>
      </c>
      <c r="D33" t="str">
        <f>IF($Z33="","",INDEX(入力!$E$9:$E$58,$Z33))</f>
        <v/>
      </c>
      <c r="E33" t="str">
        <f>IF($Z33="","",INDEX(入力!$F$9:$F$58,$Z33))</f>
        <v/>
      </c>
      <c r="F33" t="str">
        <f>IF($Z33="","",INDEX(入力!$J$9:$J$58,$Z33))</f>
        <v/>
      </c>
      <c r="G33" t="str">
        <f>IF($Z33="","",INDEX(入力!$K$9:$K$58,$Z33))</f>
        <v/>
      </c>
      <c r="I33" t="str">
        <f>IF($AA33="","",INDEX(入力!$B$9:$B$58,$AA33))</f>
        <v/>
      </c>
      <c r="J33" t="str">
        <f>IF($AA33="","",INDEX(入力!$C$9:$C$58,$AA33))</f>
        <v/>
      </c>
      <c r="K33" t="str">
        <f>IF($AA33="","",INDEX(入力!$D$9:$D$58,$AA33))</f>
        <v/>
      </c>
      <c r="L33" t="str">
        <f>IF($AA33="","",INDEX(入力!$E$9:$E$58,$AA33))</f>
        <v/>
      </c>
      <c r="M33" t="str">
        <f>IF($AA33="","",INDEX(入力!$I$9:$I$58,$AA33))</f>
        <v/>
      </c>
      <c r="N33" t="str">
        <f>IF($AA33="","",INDEX(入力!$J$9:$J$58,$AA33))</f>
        <v/>
      </c>
      <c r="O33" t="str">
        <f>IF($AA33="","",INDEX(入力!$K$9:$K$58,$AA33))</f>
        <v/>
      </c>
      <c r="Q33" t="str">
        <f>IF($AB33="","",INDEX(入力!$B$9:$B$58,$AB33))</f>
        <v/>
      </c>
      <c r="R33" t="str">
        <f>IF($AB33="","",INDEX(入力!$F$9:$F$58,$AB33))</f>
        <v/>
      </c>
      <c r="S33" t="str">
        <f>IF($AB33="","",INDEX(入力!$C$9:$C$58,$AB33))</f>
        <v/>
      </c>
      <c r="T33" t="str">
        <f>IF($AB33="","",INDEX(入力!$D$9:$D$58,$AB33))</f>
        <v/>
      </c>
      <c r="U33" t="str">
        <f>IF($AB33="","",INDEX(入力!$E$9:$E$58,$AB33))</f>
        <v/>
      </c>
      <c r="Z33" t="str">
        <f>IFERROR(MATCH(ROW()-1,入力!$N$9:$N$58,0),"")</f>
        <v/>
      </c>
      <c r="AA33" t="str">
        <f>IF(ROW()-1&gt;COUNTIF(入力!$L$9:$L$58,"&gt;-9.9E+98"),"",IFERROR(MATCH(LARGE(入力!$L$9:$L$58,ROW()-1),入力!$L$9:$L$58,0),""))</f>
        <v/>
      </c>
      <c r="AB33" t="str">
        <f>IF(ROW()-1&gt;COUNTIF(入力!$M$9:$M$58,"&gt;-9.9E+98"),"",IFERROR(MATCH(LARGE(入力!$M$9:$M$58,ROW()-1),入力!$M$9:$M$58,0),""))</f>
        <v/>
      </c>
      <c r="AC33">
        <f>入力!$B$5</f>
        <v>1.6</v>
      </c>
      <c r="AD33">
        <f>入力!$C$5</f>
        <v>1.6</v>
      </c>
    </row>
    <row r="34" spans="1:34">
      <c r="A34" t="str">
        <f>IF($Z34="","",INDEX(入力!$B$9:$B$58,$Z34))</f>
        <v/>
      </c>
      <c r="B34" t="str">
        <f>IF($Z34="","",IF(INDEX(入力!$C$9:$C$58,$Z34)="","",INDEX(入力!$C$9:$C$58,$Z34)))</f>
        <v/>
      </c>
      <c r="C34" t="str">
        <f>IF($Z34="","",IF(INDEX(入力!$D$9:$D$58,$Z34)="","",INDEX(入力!$D$9:$D$58,$Z34)))</f>
        <v/>
      </c>
      <c r="D34" t="str">
        <f>IF($Z34="","",INDEX(入力!$E$9:$E$58,$Z34))</f>
        <v/>
      </c>
      <c r="E34" t="str">
        <f>IF($Z34="","",INDEX(入力!$F$9:$F$58,$Z34))</f>
        <v/>
      </c>
      <c r="F34" t="str">
        <f>IF($Z34="","",INDEX(入力!$J$9:$J$58,$Z34))</f>
        <v/>
      </c>
      <c r="G34" t="str">
        <f>IF($Z34="","",INDEX(入力!$K$9:$K$58,$Z34))</f>
        <v/>
      </c>
      <c r="I34" t="str">
        <f>IF($AA34="","",INDEX(入力!$B$9:$B$58,$AA34))</f>
        <v/>
      </c>
      <c r="J34" t="str">
        <f>IF($AA34="","",INDEX(入力!$C$9:$C$58,$AA34))</f>
        <v/>
      </c>
      <c r="K34" t="str">
        <f>IF($AA34="","",INDEX(入力!$D$9:$D$58,$AA34))</f>
        <v/>
      </c>
      <c r="L34" t="str">
        <f>IF($AA34="","",INDEX(入力!$E$9:$E$58,$AA34))</f>
        <v/>
      </c>
      <c r="M34" t="str">
        <f>IF($AA34="","",INDEX(入力!$I$9:$I$58,$AA34))</f>
        <v/>
      </c>
      <c r="N34" t="str">
        <f>IF($AA34="","",INDEX(入力!$J$9:$J$58,$AA34))</f>
        <v/>
      </c>
      <c r="O34" t="str">
        <f>IF($AA34="","",INDEX(入力!$K$9:$K$58,$AA34))</f>
        <v/>
      </c>
      <c r="Q34" t="str">
        <f>IF($AB34="","",INDEX(入力!$B$9:$B$58,$AB34))</f>
        <v/>
      </c>
      <c r="R34" t="str">
        <f>IF($AB34="","",INDEX(入力!$F$9:$F$58,$AB34))</f>
        <v/>
      </c>
      <c r="S34" t="str">
        <f>IF($AB34="","",INDEX(入力!$C$9:$C$58,$AB34))</f>
        <v/>
      </c>
      <c r="T34" t="str">
        <f>IF($AB34="","",INDEX(入力!$D$9:$D$58,$AB34))</f>
        <v/>
      </c>
      <c r="U34" t="str">
        <f>IF($AB34="","",INDEX(入力!$E$9:$E$58,$AB34))</f>
        <v/>
      </c>
      <c r="Z34" t="str">
        <f>IFERROR(MATCH(ROW()-1,入力!$N$9:$N$58,0),"")</f>
        <v/>
      </c>
      <c r="AA34" t="str">
        <f>IF(ROW()-1&gt;COUNTIF(入力!$L$9:$L$58,"&gt;-9.9E+98"),"",IFERROR(MATCH(LARGE(入力!$L$9:$L$58,ROW()-1),入力!$L$9:$L$58,0),""))</f>
        <v/>
      </c>
      <c r="AB34" t="str">
        <f>IF(ROW()-1&gt;COUNTIF(入力!$M$9:$M$58,"&gt;-9.9E+98"),"",IFERROR(MATCH(LARGE(入力!$M$9:$M$58,ROW()-1),入力!$M$9:$M$58,0),""))</f>
        <v/>
      </c>
      <c r="AC34">
        <f>入力!$B$5</f>
        <v>1.6</v>
      </c>
      <c r="AD34">
        <f>入力!$C$5</f>
        <v>1.6</v>
      </c>
    </row>
    <row r="35" spans="1:34">
      <c r="A35" t="str">
        <f>IF($Z35="","",INDEX(入力!$B$9:$B$58,$Z35))</f>
        <v/>
      </c>
      <c r="B35" t="str">
        <f>IF($Z35="","",IF(INDEX(入力!$C$9:$C$58,$Z35)="","",INDEX(入力!$C$9:$C$58,$Z35)))</f>
        <v/>
      </c>
      <c r="C35" t="str">
        <f>IF($Z35="","",IF(INDEX(入力!$D$9:$D$58,$Z35)="","",INDEX(入力!$D$9:$D$58,$Z35)))</f>
        <v/>
      </c>
      <c r="D35" t="str">
        <f>IF($Z35="","",INDEX(入力!$E$9:$E$58,$Z35))</f>
        <v/>
      </c>
      <c r="E35" t="str">
        <f>IF($Z35="","",INDEX(入力!$F$9:$F$58,$Z35))</f>
        <v/>
      </c>
      <c r="F35" t="str">
        <f>IF($Z35="","",INDEX(入力!$J$9:$J$58,$Z35))</f>
        <v/>
      </c>
      <c r="G35" t="str">
        <f>IF($Z35="","",INDEX(入力!$K$9:$K$58,$Z35))</f>
        <v/>
      </c>
      <c r="I35" t="str">
        <f>IF($AA35="","",INDEX(入力!$B$9:$B$58,$AA35))</f>
        <v/>
      </c>
      <c r="J35" t="str">
        <f>IF($AA35="","",INDEX(入力!$C$9:$C$58,$AA35))</f>
        <v/>
      </c>
      <c r="K35" t="str">
        <f>IF($AA35="","",INDEX(入力!$D$9:$D$58,$AA35))</f>
        <v/>
      </c>
      <c r="L35" t="str">
        <f>IF($AA35="","",INDEX(入力!$E$9:$E$58,$AA35))</f>
        <v/>
      </c>
      <c r="M35" t="str">
        <f>IF($AA35="","",INDEX(入力!$I$9:$I$58,$AA35))</f>
        <v/>
      </c>
      <c r="N35" t="str">
        <f>IF($AA35="","",INDEX(入力!$J$9:$J$58,$AA35))</f>
        <v/>
      </c>
      <c r="O35" t="str">
        <f>IF($AA35="","",INDEX(入力!$K$9:$K$58,$AA35))</f>
        <v/>
      </c>
      <c r="Q35" t="str">
        <f>IF($AB35="","",INDEX(入力!$B$9:$B$58,$AB35))</f>
        <v/>
      </c>
      <c r="R35" t="str">
        <f>IF($AB35="","",INDEX(入力!$F$9:$F$58,$AB35))</f>
        <v/>
      </c>
      <c r="S35" t="str">
        <f>IF($AB35="","",INDEX(入力!$C$9:$C$58,$AB35))</f>
        <v/>
      </c>
      <c r="T35" t="str">
        <f>IF($AB35="","",INDEX(入力!$D$9:$D$58,$AB35))</f>
        <v/>
      </c>
      <c r="U35" t="str">
        <f>IF($AB35="","",INDEX(入力!$E$9:$E$58,$AB35))</f>
        <v/>
      </c>
      <c r="Z35" t="str">
        <f>IFERROR(MATCH(ROW()-1,入力!$N$9:$N$58,0),"")</f>
        <v/>
      </c>
      <c r="AA35" t="str">
        <f>IF(ROW()-1&gt;COUNTIF(入力!$L$9:$L$58,"&gt;-9.9E+98"),"",IFERROR(MATCH(LARGE(入力!$L$9:$L$58,ROW()-1),入力!$L$9:$L$58,0),""))</f>
        <v/>
      </c>
      <c r="AB35" t="str">
        <f>IF(ROW()-1&gt;COUNTIF(入力!$M$9:$M$58,"&gt;-9.9E+98"),"",IFERROR(MATCH(LARGE(入力!$M$9:$M$58,ROW()-1),入力!$M$9:$M$58,0),""))</f>
        <v/>
      </c>
      <c r="AC35">
        <f>入力!$B$5</f>
        <v>1.6</v>
      </c>
      <c r="AD35">
        <f>入力!$C$5</f>
        <v>1.6</v>
      </c>
    </row>
    <row r="36" spans="1:34">
      <c r="A36" t="str">
        <f>IF($Z36="","",INDEX(入力!$B$9:$B$58,$Z36))</f>
        <v/>
      </c>
      <c r="B36" t="str">
        <f>IF($Z36="","",IF(INDEX(入力!$C$9:$C$58,$Z36)="","",INDEX(入力!$C$9:$C$58,$Z36)))</f>
        <v/>
      </c>
      <c r="C36" t="str">
        <f>IF($Z36="","",IF(INDEX(入力!$D$9:$D$58,$Z36)="","",INDEX(入力!$D$9:$D$58,$Z36)))</f>
        <v/>
      </c>
      <c r="D36" t="str">
        <f>IF($Z36="","",INDEX(入力!$E$9:$E$58,$Z36))</f>
        <v/>
      </c>
      <c r="E36" t="str">
        <f>IF($Z36="","",INDEX(入力!$F$9:$F$58,$Z36))</f>
        <v/>
      </c>
      <c r="F36" t="str">
        <f>IF($Z36="","",INDEX(入力!$J$9:$J$58,$Z36))</f>
        <v/>
      </c>
      <c r="G36" t="str">
        <f>IF($Z36="","",INDEX(入力!$K$9:$K$58,$Z36))</f>
        <v/>
      </c>
      <c r="I36" t="str">
        <f>IF($AA36="","",INDEX(入力!$B$9:$B$58,$AA36))</f>
        <v/>
      </c>
      <c r="J36" t="str">
        <f>IF($AA36="","",INDEX(入力!$C$9:$C$58,$AA36))</f>
        <v/>
      </c>
      <c r="K36" t="str">
        <f>IF($AA36="","",INDEX(入力!$D$9:$D$58,$AA36))</f>
        <v/>
      </c>
      <c r="L36" t="str">
        <f>IF($AA36="","",INDEX(入力!$E$9:$E$58,$AA36))</f>
        <v/>
      </c>
      <c r="M36" t="str">
        <f>IF($AA36="","",INDEX(入力!$I$9:$I$58,$AA36))</f>
        <v/>
      </c>
      <c r="N36" t="str">
        <f>IF($AA36="","",INDEX(入力!$J$9:$J$58,$AA36))</f>
        <v/>
      </c>
      <c r="O36" t="str">
        <f>IF($AA36="","",INDEX(入力!$K$9:$K$58,$AA36))</f>
        <v/>
      </c>
      <c r="Q36" t="str">
        <f>IF($AB36="","",INDEX(入力!$B$9:$B$58,$AB36))</f>
        <v/>
      </c>
      <c r="R36" t="str">
        <f>IF($AB36="","",INDEX(入力!$F$9:$F$58,$AB36))</f>
        <v/>
      </c>
      <c r="S36" t="str">
        <f>IF($AB36="","",INDEX(入力!$C$9:$C$58,$AB36))</f>
        <v/>
      </c>
      <c r="T36" t="str">
        <f>IF($AB36="","",INDEX(入力!$D$9:$D$58,$AB36))</f>
        <v/>
      </c>
      <c r="U36" t="str">
        <f>IF($AB36="","",INDEX(入力!$E$9:$E$58,$AB36))</f>
        <v/>
      </c>
      <c r="Z36" t="str">
        <f>IFERROR(MATCH(ROW()-1,入力!$N$9:$N$58,0),"")</f>
        <v/>
      </c>
      <c r="AA36" t="str">
        <f>IF(ROW()-1&gt;COUNTIF(入力!$L$9:$L$58,"&gt;-9.9E+98"),"",IFERROR(MATCH(LARGE(入力!$L$9:$L$58,ROW()-1),入力!$L$9:$L$58,0),""))</f>
        <v/>
      </c>
      <c r="AB36" t="str">
        <f>IF(ROW()-1&gt;COUNTIF(入力!$M$9:$M$58,"&gt;-9.9E+98"),"",IFERROR(MATCH(LARGE(入力!$M$9:$M$58,ROW()-1),入力!$M$9:$M$58,0),""))</f>
        <v/>
      </c>
      <c r="AC36">
        <f>入力!$B$5</f>
        <v>1.6</v>
      </c>
      <c r="AD36">
        <f>入力!$C$5</f>
        <v>1.6</v>
      </c>
    </row>
    <row r="37" spans="1:34">
      <c r="A37" t="str">
        <f>IF($Z37="","",INDEX(入力!$B$9:$B$58,$Z37))</f>
        <v/>
      </c>
      <c r="B37" t="str">
        <f>IF($Z37="","",IF(INDEX(入力!$C$9:$C$58,$Z37)="","",INDEX(入力!$C$9:$C$58,$Z37)))</f>
        <v/>
      </c>
      <c r="C37" t="str">
        <f>IF($Z37="","",IF(INDEX(入力!$D$9:$D$58,$Z37)="","",INDEX(入力!$D$9:$D$58,$Z37)))</f>
        <v/>
      </c>
      <c r="D37" t="str">
        <f>IF($Z37="","",INDEX(入力!$E$9:$E$58,$Z37))</f>
        <v/>
      </c>
      <c r="E37" t="str">
        <f>IF($Z37="","",INDEX(入力!$F$9:$F$58,$Z37))</f>
        <v/>
      </c>
      <c r="F37" t="str">
        <f>IF($Z37="","",INDEX(入力!$J$9:$J$58,$Z37))</f>
        <v/>
      </c>
      <c r="G37" t="str">
        <f>IF($Z37="","",INDEX(入力!$K$9:$K$58,$Z37))</f>
        <v/>
      </c>
      <c r="I37" t="str">
        <f>IF($AA37="","",INDEX(入力!$B$9:$B$58,$AA37))</f>
        <v/>
      </c>
      <c r="J37" t="str">
        <f>IF($AA37="","",INDEX(入力!$C$9:$C$58,$AA37))</f>
        <v/>
      </c>
      <c r="K37" t="str">
        <f>IF($AA37="","",INDEX(入力!$D$9:$D$58,$AA37))</f>
        <v/>
      </c>
      <c r="L37" t="str">
        <f>IF($AA37="","",INDEX(入力!$E$9:$E$58,$AA37))</f>
        <v/>
      </c>
      <c r="M37" t="str">
        <f>IF($AA37="","",INDEX(入力!$I$9:$I$58,$AA37))</f>
        <v/>
      </c>
      <c r="N37" t="str">
        <f>IF($AA37="","",INDEX(入力!$J$9:$J$58,$AA37))</f>
        <v/>
      </c>
      <c r="O37" t="str">
        <f>IF($AA37="","",INDEX(入力!$K$9:$K$58,$AA37))</f>
        <v/>
      </c>
      <c r="Q37" t="str">
        <f>IF($AB37="","",INDEX(入力!$B$9:$B$58,$AB37))</f>
        <v/>
      </c>
      <c r="R37" t="str">
        <f>IF($AB37="","",INDEX(入力!$F$9:$F$58,$AB37))</f>
        <v/>
      </c>
      <c r="S37" t="str">
        <f>IF($AB37="","",INDEX(入力!$C$9:$C$58,$AB37))</f>
        <v/>
      </c>
      <c r="T37" t="str">
        <f>IF($AB37="","",INDEX(入力!$D$9:$D$58,$AB37))</f>
        <v/>
      </c>
      <c r="U37" t="str">
        <f>IF($AB37="","",INDEX(入力!$E$9:$E$58,$AB37))</f>
        <v/>
      </c>
      <c r="Z37" t="str">
        <f>IFERROR(MATCH(ROW()-1,入力!$N$9:$N$58,0),"")</f>
        <v/>
      </c>
      <c r="AA37" t="str">
        <f>IF(ROW()-1&gt;COUNTIF(入力!$L$9:$L$58,"&gt;-9.9E+98"),"",IFERROR(MATCH(LARGE(入力!$L$9:$L$58,ROW()-1),入力!$L$9:$L$58,0),""))</f>
        <v/>
      </c>
      <c r="AB37" t="str">
        <f>IF(ROW()-1&gt;COUNTIF(入力!$M$9:$M$58,"&gt;-9.9E+98"),"",IFERROR(MATCH(LARGE(入力!$M$9:$M$58,ROW()-1),入力!$M$9:$M$58,0),""))</f>
        <v/>
      </c>
      <c r="AC37">
        <f>入力!$B$5</f>
        <v>1.6</v>
      </c>
      <c r="AD37">
        <f>入力!$C$5</f>
        <v>1.6</v>
      </c>
    </row>
    <row r="38" spans="1:34">
      <c r="A38" t="str">
        <f>IF($Z38="","",INDEX(入力!$B$9:$B$58,$Z38))</f>
        <v/>
      </c>
      <c r="B38" t="str">
        <f>IF($Z38="","",IF(INDEX(入力!$C$9:$C$58,$Z38)="","",INDEX(入力!$C$9:$C$58,$Z38)))</f>
        <v/>
      </c>
      <c r="C38" t="str">
        <f>IF($Z38="","",IF(INDEX(入力!$D$9:$D$58,$Z38)="","",INDEX(入力!$D$9:$D$58,$Z38)))</f>
        <v/>
      </c>
      <c r="D38" t="str">
        <f>IF($Z38="","",INDEX(入力!$E$9:$E$58,$Z38))</f>
        <v/>
      </c>
      <c r="E38" t="str">
        <f>IF($Z38="","",INDEX(入力!$F$9:$F$58,$Z38))</f>
        <v/>
      </c>
      <c r="F38" t="str">
        <f>IF($Z38="","",INDEX(入力!$J$9:$J$58,$Z38))</f>
        <v/>
      </c>
      <c r="G38" t="str">
        <f>IF($Z38="","",INDEX(入力!$K$9:$K$58,$Z38))</f>
        <v/>
      </c>
      <c r="I38" t="str">
        <f>IF($AA38="","",INDEX(入力!$B$9:$B$58,$AA38))</f>
        <v/>
      </c>
      <c r="J38" t="str">
        <f>IF($AA38="","",INDEX(入力!$C$9:$C$58,$AA38))</f>
        <v/>
      </c>
      <c r="K38" t="str">
        <f>IF($AA38="","",INDEX(入力!$D$9:$D$58,$AA38))</f>
        <v/>
      </c>
      <c r="L38" t="str">
        <f>IF($AA38="","",INDEX(入力!$E$9:$E$58,$AA38))</f>
        <v/>
      </c>
      <c r="M38" t="str">
        <f>IF($AA38="","",INDEX(入力!$I$9:$I$58,$AA38))</f>
        <v/>
      </c>
      <c r="N38" t="str">
        <f>IF($AA38="","",INDEX(入力!$J$9:$J$58,$AA38))</f>
        <v/>
      </c>
      <c r="O38" t="str">
        <f>IF($AA38="","",INDEX(入力!$K$9:$K$58,$AA38))</f>
        <v/>
      </c>
      <c r="Q38" t="str">
        <f>IF($AB38="","",INDEX(入力!$B$9:$B$58,$AB38))</f>
        <v/>
      </c>
      <c r="R38" t="str">
        <f>IF($AB38="","",INDEX(入力!$F$9:$F$58,$AB38))</f>
        <v/>
      </c>
      <c r="S38" t="str">
        <f>IF($AB38="","",INDEX(入力!$C$9:$C$58,$AB38))</f>
        <v/>
      </c>
      <c r="T38" t="str">
        <f>IF($AB38="","",INDEX(入力!$D$9:$D$58,$AB38))</f>
        <v/>
      </c>
      <c r="U38" t="str">
        <f>IF($AB38="","",INDEX(入力!$E$9:$E$58,$AB38))</f>
        <v/>
      </c>
      <c r="Z38" t="str">
        <f>IFERROR(MATCH(ROW()-1,入力!$N$9:$N$58,0),"")</f>
        <v/>
      </c>
      <c r="AA38" t="str">
        <f>IF(ROW()-1&gt;COUNTIF(入力!$L$9:$L$58,"&gt;-9.9E+98"),"",IFERROR(MATCH(LARGE(入力!$L$9:$L$58,ROW()-1),入力!$L$9:$L$58,0),""))</f>
        <v/>
      </c>
      <c r="AB38" t="str">
        <f>IF(ROW()-1&gt;COUNTIF(入力!$M$9:$M$58,"&gt;-9.9E+98"),"",IFERROR(MATCH(LARGE(入力!$M$9:$M$58,ROW()-1),入力!$M$9:$M$58,0),""))</f>
        <v/>
      </c>
      <c r="AC38">
        <f>入力!$B$5</f>
        <v>1.6</v>
      </c>
      <c r="AD38">
        <f>入力!$C$5</f>
        <v>1.6</v>
      </c>
    </row>
    <row r="39" spans="1:34">
      <c r="A39" t="str">
        <f>IF($Z39="","",INDEX(入力!$B$9:$B$58,$Z39))</f>
        <v/>
      </c>
      <c r="B39" t="str">
        <f>IF($Z39="","",IF(INDEX(入力!$C$9:$C$58,$Z39)="","",INDEX(入力!$C$9:$C$58,$Z39)))</f>
        <v/>
      </c>
      <c r="C39" t="str">
        <f>IF($Z39="","",IF(INDEX(入力!$D$9:$D$58,$Z39)="","",INDEX(入力!$D$9:$D$58,$Z39)))</f>
        <v/>
      </c>
      <c r="D39" t="str">
        <f>IF($Z39="","",INDEX(入力!$E$9:$E$58,$Z39))</f>
        <v/>
      </c>
      <c r="E39" t="str">
        <f>IF($Z39="","",INDEX(入力!$F$9:$F$58,$Z39))</f>
        <v/>
      </c>
      <c r="F39" t="str">
        <f>IF($Z39="","",INDEX(入力!$J$9:$J$58,$Z39))</f>
        <v/>
      </c>
      <c r="G39" t="str">
        <f>IF($Z39="","",INDEX(入力!$K$9:$K$58,$Z39))</f>
        <v/>
      </c>
      <c r="I39" t="str">
        <f>IF($AA39="","",INDEX(入力!$B$9:$B$58,$AA39))</f>
        <v/>
      </c>
      <c r="J39" t="str">
        <f>IF($AA39="","",INDEX(入力!$C$9:$C$58,$AA39))</f>
        <v/>
      </c>
      <c r="K39" t="str">
        <f>IF($AA39="","",INDEX(入力!$D$9:$D$58,$AA39))</f>
        <v/>
      </c>
      <c r="L39" t="str">
        <f>IF($AA39="","",INDEX(入力!$E$9:$E$58,$AA39))</f>
        <v/>
      </c>
      <c r="M39" t="str">
        <f>IF($AA39="","",INDEX(入力!$I$9:$I$58,$AA39))</f>
        <v/>
      </c>
      <c r="N39" t="str">
        <f>IF($AA39="","",INDEX(入力!$J$9:$J$58,$AA39))</f>
        <v/>
      </c>
      <c r="O39" t="str">
        <f>IF($AA39="","",INDEX(入力!$K$9:$K$58,$AA39))</f>
        <v/>
      </c>
      <c r="Q39" t="str">
        <f>IF($AB39="","",INDEX(入力!$B$9:$B$58,$AB39))</f>
        <v/>
      </c>
      <c r="R39" t="str">
        <f>IF($AB39="","",INDEX(入力!$F$9:$F$58,$AB39))</f>
        <v/>
      </c>
      <c r="S39" t="str">
        <f>IF($AB39="","",INDEX(入力!$C$9:$C$58,$AB39))</f>
        <v/>
      </c>
      <c r="T39" t="str">
        <f>IF($AB39="","",INDEX(入力!$D$9:$D$58,$AB39))</f>
        <v/>
      </c>
      <c r="U39" t="str">
        <f>IF($AB39="","",INDEX(入力!$E$9:$E$58,$AB39))</f>
        <v/>
      </c>
      <c r="Z39" t="str">
        <f>IFERROR(MATCH(ROW()-1,入力!$N$9:$N$58,0),"")</f>
        <v/>
      </c>
      <c r="AA39" t="str">
        <f>IF(ROW()-1&gt;COUNTIF(入力!$L$9:$L$58,"&gt;-9.9E+98"),"",IFERROR(MATCH(LARGE(入力!$L$9:$L$58,ROW()-1),入力!$L$9:$L$58,0),""))</f>
        <v/>
      </c>
      <c r="AB39" t="str">
        <f>IF(ROW()-1&gt;COUNTIF(入力!$M$9:$M$58,"&gt;-9.9E+98"),"",IFERROR(MATCH(LARGE(入力!$M$9:$M$58,ROW()-1),入力!$M$9:$M$58,0),""))</f>
        <v/>
      </c>
      <c r="AC39">
        <f>入力!$B$5</f>
        <v>1.6</v>
      </c>
      <c r="AD39">
        <f>入力!$C$5</f>
        <v>1.6</v>
      </c>
    </row>
    <row r="40" spans="1:34">
      <c r="A40" t="str">
        <f>IF($Z40="","",INDEX(入力!$B$9:$B$58,$Z40))</f>
        <v/>
      </c>
      <c r="B40" t="str">
        <f>IF($Z40="","",IF(INDEX(入力!$C$9:$C$58,$Z40)="","",INDEX(入力!$C$9:$C$58,$Z40)))</f>
        <v/>
      </c>
      <c r="C40" t="str">
        <f>IF($Z40="","",IF(INDEX(入力!$D$9:$D$58,$Z40)="","",INDEX(入力!$D$9:$D$58,$Z40)))</f>
        <v/>
      </c>
      <c r="D40" t="str">
        <f>IF($Z40="","",INDEX(入力!$E$9:$E$58,$Z40))</f>
        <v/>
      </c>
      <c r="E40" t="str">
        <f>IF($Z40="","",INDEX(入力!$F$9:$F$58,$Z40))</f>
        <v/>
      </c>
      <c r="F40" t="str">
        <f>IF($Z40="","",INDEX(入力!$J$9:$J$58,$Z40))</f>
        <v/>
      </c>
      <c r="G40" t="str">
        <f>IF($Z40="","",INDEX(入力!$K$9:$K$58,$Z40))</f>
        <v/>
      </c>
      <c r="I40" t="str">
        <f>IF($AA40="","",INDEX(入力!$B$9:$B$58,$AA40))</f>
        <v/>
      </c>
      <c r="J40" t="str">
        <f>IF($AA40="","",INDEX(入力!$C$9:$C$58,$AA40))</f>
        <v/>
      </c>
      <c r="K40" t="str">
        <f>IF($AA40="","",INDEX(入力!$D$9:$D$58,$AA40))</f>
        <v/>
      </c>
      <c r="L40" t="str">
        <f>IF($AA40="","",INDEX(入力!$E$9:$E$58,$AA40))</f>
        <v/>
      </c>
      <c r="M40" t="str">
        <f>IF($AA40="","",INDEX(入力!$I$9:$I$58,$AA40))</f>
        <v/>
      </c>
      <c r="N40" t="str">
        <f>IF($AA40="","",INDEX(入力!$J$9:$J$58,$AA40))</f>
        <v/>
      </c>
      <c r="O40" t="str">
        <f>IF($AA40="","",INDEX(入力!$K$9:$K$58,$AA40))</f>
        <v/>
      </c>
      <c r="Q40" t="str">
        <f>IF($AB40="","",INDEX(入力!$B$9:$B$58,$AB40))</f>
        <v/>
      </c>
      <c r="R40" t="str">
        <f>IF($AB40="","",INDEX(入力!$F$9:$F$58,$AB40))</f>
        <v/>
      </c>
      <c r="S40" t="str">
        <f>IF($AB40="","",INDEX(入力!$C$9:$C$58,$AB40))</f>
        <v/>
      </c>
      <c r="T40" t="str">
        <f>IF($AB40="","",INDEX(入力!$D$9:$D$58,$AB40))</f>
        <v/>
      </c>
      <c r="U40" t="str">
        <f>IF($AB40="","",INDEX(入力!$E$9:$E$58,$AB40))</f>
        <v/>
      </c>
      <c r="Z40" t="str">
        <f>IFERROR(MATCH(ROW()-1,入力!$N$9:$N$58,0),"")</f>
        <v/>
      </c>
      <c r="AA40" t="str">
        <f>IF(ROW()-1&gt;COUNTIF(入力!$L$9:$L$58,"&gt;-9.9E+98"),"",IFERROR(MATCH(LARGE(入力!$L$9:$L$58,ROW()-1),入力!$L$9:$L$58,0),""))</f>
        <v/>
      </c>
      <c r="AB40" t="str">
        <f>IF(ROW()-1&gt;COUNTIF(入力!$M$9:$M$58,"&gt;-9.9E+98"),"",IFERROR(MATCH(LARGE(入力!$M$9:$M$58,ROW()-1),入力!$M$9:$M$58,0),""))</f>
        <v/>
      </c>
      <c r="AC40">
        <f>入力!$B$5</f>
        <v>1.6</v>
      </c>
      <c r="AD40">
        <f>入力!$C$5</f>
        <v>1.6</v>
      </c>
    </row>
    <row r="41" spans="1:34">
      <c r="A41" t="str">
        <f>IF($Z41="","",INDEX(入力!$B$9:$B$58,$Z41))</f>
        <v/>
      </c>
      <c r="B41" t="str">
        <f>IF($Z41="","",IF(INDEX(入力!$C$9:$C$58,$Z41)="","",INDEX(入力!$C$9:$C$58,$Z41)))</f>
        <v/>
      </c>
      <c r="C41" t="str">
        <f>IF($Z41="","",IF(INDEX(入力!$D$9:$D$58,$Z41)="","",INDEX(入力!$D$9:$D$58,$Z41)))</f>
        <v/>
      </c>
      <c r="D41" t="str">
        <f>IF($Z41="","",INDEX(入力!$E$9:$E$58,$Z41))</f>
        <v/>
      </c>
      <c r="E41" t="str">
        <f>IF($Z41="","",INDEX(入力!$F$9:$F$58,$Z41))</f>
        <v/>
      </c>
      <c r="F41" t="str">
        <f>IF($Z41="","",INDEX(入力!$J$9:$J$58,$Z41))</f>
        <v/>
      </c>
      <c r="G41" t="str">
        <f>IF($Z41="","",INDEX(入力!$K$9:$K$58,$Z41))</f>
        <v/>
      </c>
      <c r="I41" t="str">
        <f>IF($AA41="","",INDEX(入力!$B$9:$B$58,$AA41))</f>
        <v/>
      </c>
      <c r="J41" t="str">
        <f>IF($AA41="","",INDEX(入力!$C$9:$C$58,$AA41))</f>
        <v/>
      </c>
      <c r="K41" t="str">
        <f>IF($AA41="","",INDEX(入力!$D$9:$D$58,$AA41))</f>
        <v/>
      </c>
      <c r="L41" t="str">
        <f>IF($AA41="","",INDEX(入力!$E$9:$E$58,$AA41))</f>
        <v/>
      </c>
      <c r="M41" t="str">
        <f>IF($AA41="","",INDEX(入力!$I$9:$I$58,$AA41))</f>
        <v/>
      </c>
      <c r="N41" t="str">
        <f>IF($AA41="","",INDEX(入力!$J$9:$J$58,$AA41))</f>
        <v/>
      </c>
      <c r="O41" t="str">
        <f>IF($AA41="","",INDEX(入力!$K$9:$K$58,$AA41))</f>
        <v/>
      </c>
      <c r="Q41" t="str">
        <f>IF($AB41="","",INDEX(入力!$B$9:$B$58,$AB41))</f>
        <v/>
      </c>
      <c r="R41" t="str">
        <f>IF($AB41="","",INDEX(入力!$F$9:$F$58,$AB41))</f>
        <v/>
      </c>
      <c r="S41" t="str">
        <f>IF($AB41="","",INDEX(入力!$C$9:$C$58,$AB41))</f>
        <v/>
      </c>
      <c r="T41" t="str">
        <f>IF($AB41="","",INDEX(入力!$D$9:$D$58,$AB41))</f>
        <v/>
      </c>
      <c r="U41" t="str">
        <f>IF($AB41="","",INDEX(入力!$E$9:$E$58,$AB41))</f>
        <v/>
      </c>
      <c r="Z41" t="str">
        <f>IFERROR(MATCH(ROW()-1,入力!$N$9:$N$58,0),"")</f>
        <v/>
      </c>
      <c r="AA41" t="str">
        <f>IF(ROW()-1&gt;COUNTIF(入力!$L$9:$L$58,"&gt;-9.9E+98"),"",IFERROR(MATCH(LARGE(入力!$L$9:$L$58,ROW()-1),入力!$L$9:$L$58,0),""))</f>
        <v/>
      </c>
      <c r="AB41" t="str">
        <f>IF(ROW()-1&gt;COUNTIF(入力!$M$9:$M$58,"&gt;-9.9E+98"),"",IFERROR(MATCH(LARGE(入力!$M$9:$M$58,ROW()-1),入力!$M$9:$M$58,0),""))</f>
        <v/>
      </c>
      <c r="AC41">
        <f>入力!$B$5</f>
        <v>1.6</v>
      </c>
      <c r="AD41">
        <f>入力!$C$5</f>
        <v>1.6</v>
      </c>
    </row>
    <row r="42" spans="1:34">
      <c r="A42" t="str">
        <f>IF($Z42="","",INDEX(入力!$B$9:$B$58,$Z42))</f>
        <v/>
      </c>
      <c r="B42" t="str">
        <f>IF($Z42="","",IF(INDEX(入力!$C$9:$C$58,$Z42)="","",INDEX(入力!$C$9:$C$58,$Z42)))</f>
        <v/>
      </c>
      <c r="C42" t="str">
        <f>IF($Z42="","",IF(INDEX(入力!$D$9:$D$58,$Z42)="","",INDEX(入力!$D$9:$D$58,$Z42)))</f>
        <v/>
      </c>
      <c r="D42" t="str">
        <f>IF($Z42="","",INDEX(入力!$E$9:$E$58,$Z42))</f>
        <v/>
      </c>
      <c r="E42" t="str">
        <f>IF($Z42="","",INDEX(入力!$F$9:$F$58,$Z42))</f>
        <v/>
      </c>
      <c r="F42" t="str">
        <f>IF($Z42="","",INDEX(入力!$J$9:$J$58,$Z42))</f>
        <v/>
      </c>
      <c r="G42" t="str">
        <f>IF($Z42="","",INDEX(入力!$K$9:$K$58,$Z42))</f>
        <v/>
      </c>
      <c r="I42" t="str">
        <f>IF($AA42="","",INDEX(入力!$B$9:$B$58,$AA42))</f>
        <v/>
      </c>
      <c r="J42" t="str">
        <f>IF($AA42="","",INDEX(入力!$C$9:$C$58,$AA42))</f>
        <v/>
      </c>
      <c r="K42" t="str">
        <f>IF($AA42="","",INDEX(入力!$D$9:$D$58,$AA42))</f>
        <v/>
      </c>
      <c r="L42" t="str">
        <f>IF($AA42="","",INDEX(入力!$E$9:$E$58,$AA42))</f>
        <v/>
      </c>
      <c r="M42" t="str">
        <f>IF($AA42="","",INDEX(入力!$I$9:$I$58,$AA42))</f>
        <v/>
      </c>
      <c r="N42" t="str">
        <f>IF($AA42="","",INDEX(入力!$J$9:$J$58,$AA42))</f>
        <v/>
      </c>
      <c r="O42" t="str">
        <f>IF($AA42="","",INDEX(入力!$K$9:$K$58,$AA42))</f>
        <v/>
      </c>
      <c r="Q42" t="str">
        <f>IF($AB42="","",INDEX(入力!$B$9:$B$58,$AB42))</f>
        <v/>
      </c>
      <c r="R42" t="str">
        <f>IF($AB42="","",INDEX(入力!$F$9:$F$58,$AB42))</f>
        <v/>
      </c>
      <c r="S42" t="str">
        <f>IF($AB42="","",INDEX(入力!$C$9:$C$58,$AB42))</f>
        <v/>
      </c>
      <c r="T42" t="str">
        <f>IF($AB42="","",INDEX(入力!$D$9:$D$58,$AB42))</f>
        <v/>
      </c>
      <c r="U42" t="str">
        <f>IF($AB42="","",INDEX(入力!$E$9:$E$58,$AB42))</f>
        <v/>
      </c>
      <c r="Z42" t="str">
        <f>IFERROR(MATCH(ROW()-1,入力!$N$9:$N$58,0),"")</f>
        <v/>
      </c>
      <c r="AA42" t="str">
        <f>IF(ROW()-1&gt;COUNTIF(入力!$L$9:$L$58,"&gt;-9.9E+98"),"",IFERROR(MATCH(LARGE(入力!$L$9:$L$58,ROW()-1),入力!$L$9:$L$58,0),""))</f>
        <v/>
      </c>
      <c r="AB42" t="str">
        <f>IF(ROW()-1&gt;COUNTIF(入力!$M$9:$M$58,"&gt;-9.9E+98"),"",IFERROR(MATCH(LARGE(入力!$M$9:$M$58,ROW()-1),入力!$M$9:$M$58,0),""))</f>
        <v/>
      </c>
      <c r="AC42">
        <f>入力!$B$5</f>
        <v>1.6</v>
      </c>
      <c r="AD42">
        <f>入力!$C$5</f>
        <v>1.6</v>
      </c>
    </row>
    <row r="43" spans="1:34">
      <c r="A43" t="str">
        <f>IF($Z43="","",INDEX(入力!$B$9:$B$58,$Z43))</f>
        <v/>
      </c>
      <c r="B43" t="str">
        <f>IF($Z43="","",IF(INDEX(入力!$C$9:$C$58,$Z43)="","",INDEX(入力!$C$9:$C$58,$Z43)))</f>
        <v/>
      </c>
      <c r="C43" t="str">
        <f>IF($Z43="","",IF(INDEX(入力!$D$9:$D$58,$Z43)="","",INDEX(入力!$D$9:$D$58,$Z43)))</f>
        <v/>
      </c>
      <c r="D43" t="str">
        <f>IF($Z43="","",INDEX(入力!$E$9:$E$58,$Z43))</f>
        <v/>
      </c>
      <c r="E43" t="str">
        <f>IF($Z43="","",INDEX(入力!$F$9:$F$58,$Z43))</f>
        <v/>
      </c>
      <c r="F43" t="str">
        <f>IF($Z43="","",INDEX(入力!$J$9:$J$58,$Z43))</f>
        <v/>
      </c>
      <c r="G43" t="str">
        <f>IF($Z43="","",INDEX(入力!$K$9:$K$58,$Z43))</f>
        <v/>
      </c>
      <c r="I43" t="str">
        <f>IF($AA43="","",INDEX(入力!$B$9:$B$58,$AA43))</f>
        <v/>
      </c>
      <c r="J43" t="str">
        <f>IF($AA43="","",INDEX(入力!$C$9:$C$58,$AA43))</f>
        <v/>
      </c>
      <c r="K43" t="str">
        <f>IF($AA43="","",INDEX(入力!$D$9:$D$58,$AA43))</f>
        <v/>
      </c>
      <c r="L43" t="str">
        <f>IF($AA43="","",INDEX(入力!$E$9:$E$58,$AA43))</f>
        <v/>
      </c>
      <c r="M43" t="str">
        <f>IF($AA43="","",INDEX(入力!$I$9:$I$58,$AA43))</f>
        <v/>
      </c>
      <c r="N43" t="str">
        <f>IF($AA43="","",INDEX(入力!$J$9:$J$58,$AA43))</f>
        <v/>
      </c>
      <c r="O43" t="str">
        <f>IF($AA43="","",INDEX(入力!$K$9:$K$58,$AA43))</f>
        <v/>
      </c>
      <c r="Q43" t="str">
        <f>IF($AB43="","",INDEX(入力!$B$9:$B$58,$AB43))</f>
        <v/>
      </c>
      <c r="R43" t="str">
        <f>IF($AB43="","",INDEX(入力!$F$9:$F$58,$AB43))</f>
        <v/>
      </c>
      <c r="S43" t="str">
        <f>IF($AB43="","",INDEX(入力!$C$9:$C$58,$AB43))</f>
        <v/>
      </c>
      <c r="T43" t="str">
        <f>IF($AB43="","",INDEX(入力!$D$9:$D$58,$AB43))</f>
        <v/>
      </c>
      <c r="U43" t="str">
        <f>IF($AB43="","",INDEX(入力!$E$9:$E$58,$AB43))</f>
        <v/>
      </c>
      <c r="Z43" t="str">
        <f>IFERROR(MATCH(ROW()-1,入力!$N$9:$N$58,0),"")</f>
        <v/>
      </c>
      <c r="AA43" t="str">
        <f>IF(ROW()-1&gt;COUNTIF(入力!$L$9:$L$58,"&gt;-9.9E+98"),"",IFERROR(MATCH(LARGE(入力!$L$9:$L$58,ROW()-1),入力!$L$9:$L$58,0),""))</f>
        <v/>
      </c>
      <c r="AB43" t="str">
        <f>IF(ROW()-1&gt;COUNTIF(入力!$M$9:$M$58,"&gt;-9.9E+98"),"",IFERROR(MATCH(LARGE(入力!$M$9:$M$58,ROW()-1),入力!$M$9:$M$58,0),""))</f>
        <v/>
      </c>
      <c r="AC43">
        <f>入力!$B$5</f>
        <v>1.6</v>
      </c>
      <c r="AD43">
        <f>入力!$C$5</f>
        <v>1.6</v>
      </c>
    </row>
    <row r="44" spans="1:34">
      <c r="A44" t="str">
        <f>IF($Z44="","",INDEX(入力!$B$9:$B$58,$Z44))</f>
        <v/>
      </c>
      <c r="B44" t="str">
        <f>IF($Z44="","",IF(INDEX(入力!$C$9:$C$58,$Z44)="","",INDEX(入力!$C$9:$C$58,$Z44)))</f>
        <v/>
      </c>
      <c r="C44" t="str">
        <f>IF($Z44="","",IF(INDEX(入力!$D$9:$D$58,$Z44)="","",INDEX(入力!$D$9:$D$58,$Z44)))</f>
        <v/>
      </c>
      <c r="D44" t="str">
        <f>IF($Z44="","",INDEX(入力!$E$9:$E$58,$Z44))</f>
        <v/>
      </c>
      <c r="E44" t="str">
        <f>IF($Z44="","",INDEX(入力!$F$9:$F$58,$Z44))</f>
        <v/>
      </c>
      <c r="F44" t="str">
        <f>IF($Z44="","",INDEX(入力!$J$9:$J$58,$Z44))</f>
        <v/>
      </c>
      <c r="G44" t="str">
        <f>IF($Z44="","",INDEX(入力!$K$9:$K$58,$Z44))</f>
        <v/>
      </c>
      <c r="I44" t="str">
        <f>IF($AA44="","",INDEX(入力!$B$9:$B$58,$AA44))</f>
        <v/>
      </c>
      <c r="J44" t="str">
        <f>IF($AA44="","",INDEX(入力!$C$9:$C$58,$AA44))</f>
        <v/>
      </c>
      <c r="K44" t="str">
        <f>IF($AA44="","",INDEX(入力!$D$9:$D$58,$AA44))</f>
        <v/>
      </c>
      <c r="L44" t="str">
        <f>IF($AA44="","",INDEX(入力!$E$9:$E$58,$AA44))</f>
        <v/>
      </c>
      <c r="M44" t="str">
        <f>IF($AA44="","",INDEX(入力!$I$9:$I$58,$AA44))</f>
        <v/>
      </c>
      <c r="N44" t="str">
        <f>IF($AA44="","",INDEX(入力!$J$9:$J$58,$AA44))</f>
        <v/>
      </c>
      <c r="O44" t="str">
        <f>IF($AA44="","",INDEX(入力!$K$9:$K$58,$AA44))</f>
        <v/>
      </c>
      <c r="Q44" t="str">
        <f>IF($AB44="","",INDEX(入力!$B$9:$B$58,$AB44))</f>
        <v/>
      </c>
      <c r="R44" t="str">
        <f>IF($AB44="","",INDEX(入力!$F$9:$F$58,$AB44))</f>
        <v/>
      </c>
      <c r="S44" t="str">
        <f>IF($AB44="","",INDEX(入力!$C$9:$C$58,$AB44))</f>
        <v/>
      </c>
      <c r="T44" t="str">
        <f>IF($AB44="","",INDEX(入力!$D$9:$D$58,$AB44))</f>
        <v/>
      </c>
      <c r="U44" t="str">
        <f>IF($AB44="","",INDEX(入力!$E$9:$E$58,$AB44))</f>
        <v/>
      </c>
      <c r="Z44" t="str">
        <f>IFERROR(MATCH(ROW()-1,入力!$N$9:$N$58,0),"")</f>
        <v/>
      </c>
      <c r="AA44" t="str">
        <f>IF(ROW()-1&gt;COUNTIF(入力!$L$9:$L$58,"&gt;-9.9E+98"),"",IFERROR(MATCH(LARGE(入力!$L$9:$L$58,ROW()-1),入力!$L$9:$L$58,0),""))</f>
        <v/>
      </c>
      <c r="AB44" t="str">
        <f>IF(ROW()-1&gt;COUNTIF(入力!$M$9:$M$58,"&gt;-9.9E+98"),"",IFERROR(MATCH(LARGE(入力!$M$9:$M$58,ROW()-1),入力!$M$9:$M$58,0),""))</f>
        <v/>
      </c>
      <c r="AC44">
        <f>入力!$B$5</f>
        <v>1.6</v>
      </c>
      <c r="AD44">
        <f>入力!$C$5</f>
        <v>1.6</v>
      </c>
    </row>
    <row r="45" spans="1:34">
      <c r="A45" t="str">
        <f>IF($Z45="","",INDEX(入力!$B$9:$B$58,$Z45))</f>
        <v/>
      </c>
      <c r="B45" t="str">
        <f>IF($Z45="","",IF(INDEX(入力!$C$9:$C$58,$Z45)="","",INDEX(入力!$C$9:$C$58,$Z45)))</f>
        <v/>
      </c>
      <c r="C45" t="str">
        <f>IF($Z45="","",IF(INDEX(入力!$D$9:$D$58,$Z45)="","",INDEX(入力!$D$9:$D$58,$Z45)))</f>
        <v/>
      </c>
      <c r="D45" t="str">
        <f>IF($Z45="","",INDEX(入力!$E$9:$E$58,$Z45))</f>
        <v/>
      </c>
      <c r="E45" t="str">
        <f>IF($Z45="","",INDEX(入力!$F$9:$F$58,$Z45))</f>
        <v/>
      </c>
      <c r="F45" t="str">
        <f>IF($Z45="","",INDEX(入力!$J$9:$J$58,$Z45))</f>
        <v/>
      </c>
      <c r="G45" t="str">
        <f>IF($Z45="","",INDEX(入力!$K$9:$K$58,$Z45))</f>
        <v/>
      </c>
      <c r="I45" t="str">
        <f>IF($AA45="","",INDEX(入力!$B$9:$B$58,$AA45))</f>
        <v/>
      </c>
      <c r="J45" t="str">
        <f>IF($AA45="","",INDEX(入力!$C$9:$C$58,$AA45))</f>
        <v/>
      </c>
      <c r="K45" t="str">
        <f>IF($AA45="","",INDEX(入力!$D$9:$D$58,$AA45))</f>
        <v/>
      </c>
      <c r="L45" t="str">
        <f>IF($AA45="","",INDEX(入力!$E$9:$E$58,$AA45))</f>
        <v/>
      </c>
      <c r="M45" t="str">
        <f>IF($AA45="","",INDEX(入力!$I$9:$I$58,$AA45))</f>
        <v/>
      </c>
      <c r="N45" t="str">
        <f>IF($AA45="","",INDEX(入力!$J$9:$J$58,$AA45))</f>
        <v/>
      </c>
      <c r="O45" t="str">
        <f>IF($AA45="","",INDEX(入力!$K$9:$K$58,$AA45))</f>
        <v/>
      </c>
      <c r="Q45" t="str">
        <f>IF($AB45="","",INDEX(入力!$B$9:$B$58,$AB45))</f>
        <v/>
      </c>
      <c r="R45" t="str">
        <f>IF($AB45="","",INDEX(入力!$F$9:$F$58,$AB45))</f>
        <v/>
      </c>
      <c r="S45" t="str">
        <f>IF($AB45="","",INDEX(入力!$C$9:$C$58,$AB45))</f>
        <v/>
      </c>
      <c r="T45" t="str">
        <f>IF($AB45="","",INDEX(入力!$D$9:$D$58,$AB45))</f>
        <v/>
      </c>
      <c r="U45" t="str">
        <f>IF($AB45="","",INDEX(入力!$E$9:$E$58,$AB45))</f>
        <v/>
      </c>
      <c r="Z45" t="str">
        <f>IFERROR(MATCH(ROW()-1,入力!$N$9:$N$58,0),"")</f>
        <v/>
      </c>
      <c r="AA45" t="str">
        <f>IF(ROW()-1&gt;COUNTIF(入力!$L$9:$L$58,"&gt;-9.9E+98"),"",IFERROR(MATCH(LARGE(入力!$L$9:$L$58,ROW()-1),入力!$L$9:$L$58,0),""))</f>
        <v/>
      </c>
      <c r="AB45" t="str">
        <f>IF(ROW()-1&gt;COUNTIF(入力!$M$9:$M$58,"&gt;-9.9E+98"),"",IFERROR(MATCH(LARGE(入力!$M$9:$M$58,ROW()-1),入力!$M$9:$M$58,0),""))</f>
        <v/>
      </c>
      <c r="AC45">
        <f>入力!$B$5</f>
        <v>1.6</v>
      </c>
      <c r="AD45">
        <f>入力!$C$5</f>
        <v>1.6</v>
      </c>
    </row>
    <row r="46" spans="1:34">
      <c r="A46" t="str">
        <f>IF($Z46="","",INDEX(入力!$B$9:$B$58,$Z46))</f>
        <v/>
      </c>
      <c r="B46" t="str">
        <f>IF($Z46="","",IF(INDEX(入力!$C$9:$C$58,$Z46)="","",INDEX(入力!$C$9:$C$58,$Z46)))</f>
        <v/>
      </c>
      <c r="C46" t="str">
        <f>IF($Z46="","",IF(INDEX(入力!$D$9:$D$58,$Z46)="","",INDEX(入力!$D$9:$D$58,$Z46)))</f>
        <v/>
      </c>
      <c r="D46" t="str">
        <f>IF($Z46="","",INDEX(入力!$E$9:$E$58,$Z46))</f>
        <v/>
      </c>
      <c r="E46" t="str">
        <f>IF($Z46="","",INDEX(入力!$F$9:$F$58,$Z46))</f>
        <v/>
      </c>
      <c r="F46" t="str">
        <f>IF($Z46="","",INDEX(入力!$J$9:$J$58,$Z46))</f>
        <v/>
      </c>
      <c r="G46" t="str">
        <f>IF($Z46="","",INDEX(入力!$K$9:$K$58,$Z46))</f>
        <v/>
      </c>
      <c r="I46" t="str">
        <f>IF($AA46="","",INDEX(入力!$B$9:$B$58,$AA46))</f>
        <v/>
      </c>
      <c r="J46" t="str">
        <f>IF($AA46="","",INDEX(入力!$C$9:$C$58,$AA46))</f>
        <v/>
      </c>
      <c r="K46" t="str">
        <f>IF($AA46="","",INDEX(入力!$D$9:$D$58,$AA46))</f>
        <v/>
      </c>
      <c r="L46" t="str">
        <f>IF($AA46="","",INDEX(入力!$E$9:$E$58,$AA46))</f>
        <v/>
      </c>
      <c r="M46" t="str">
        <f>IF($AA46="","",INDEX(入力!$I$9:$I$58,$AA46))</f>
        <v/>
      </c>
      <c r="N46" t="str">
        <f>IF($AA46="","",INDEX(入力!$J$9:$J$58,$AA46))</f>
        <v/>
      </c>
      <c r="O46" t="str">
        <f>IF($AA46="","",INDEX(入力!$K$9:$K$58,$AA46))</f>
        <v/>
      </c>
      <c r="Q46" t="str">
        <f>IF($AB46="","",INDEX(入力!$B$9:$B$58,$AB46))</f>
        <v/>
      </c>
      <c r="R46" t="str">
        <f>IF($AB46="","",INDEX(入力!$F$9:$F$58,$AB46))</f>
        <v/>
      </c>
      <c r="S46" t="str">
        <f>IF($AB46="","",INDEX(入力!$C$9:$C$58,$AB46))</f>
        <v/>
      </c>
      <c r="T46" t="str">
        <f>IF($AB46="","",INDEX(入力!$D$9:$D$58,$AB46))</f>
        <v/>
      </c>
      <c r="U46" t="str">
        <f>IF($AB46="","",INDEX(入力!$E$9:$E$58,$AB46))</f>
        <v/>
      </c>
      <c r="Z46" t="str">
        <f>IFERROR(MATCH(ROW()-1,入力!$N$9:$N$58,0),"")</f>
        <v/>
      </c>
      <c r="AA46" t="str">
        <f>IF(ROW()-1&gt;COUNTIF(入力!$L$9:$L$58,"&gt;-9.9E+98"),"",IFERROR(MATCH(LARGE(入力!$L$9:$L$58,ROW()-1),入力!$L$9:$L$58,0),""))</f>
        <v/>
      </c>
      <c r="AB46" t="str">
        <f>IF(ROW()-1&gt;COUNTIF(入力!$M$9:$M$58,"&gt;-9.9E+98"),"",IFERROR(MATCH(LARGE(入力!$M$9:$M$58,ROW()-1),入力!$M$9:$M$58,0),""))</f>
        <v/>
      </c>
      <c r="AC46">
        <f>入力!$B$5</f>
        <v>1.6</v>
      </c>
      <c r="AD46">
        <f>入力!$C$5</f>
        <v>1.6</v>
      </c>
    </row>
    <row r="47" spans="1:34">
      <c r="A47" t="str">
        <f>IF($Z47="","",INDEX(入力!$B$9:$B$58,$Z47))</f>
        <v/>
      </c>
      <c r="B47" t="str">
        <f>IF($Z47="","",IF(INDEX(入力!$C$9:$C$58,$Z47)="","",INDEX(入力!$C$9:$C$58,$Z47)))</f>
        <v/>
      </c>
      <c r="C47" t="str">
        <f>IF($Z47="","",IF(INDEX(入力!$D$9:$D$58,$Z47)="","",INDEX(入力!$D$9:$D$58,$Z47)))</f>
        <v/>
      </c>
      <c r="D47" t="str">
        <f>IF($Z47="","",INDEX(入力!$E$9:$E$58,$Z47))</f>
        <v/>
      </c>
      <c r="E47" t="str">
        <f>IF($Z47="","",INDEX(入力!$F$9:$F$58,$Z47))</f>
        <v/>
      </c>
      <c r="F47" t="str">
        <f>IF($Z47="","",INDEX(入力!$J$9:$J$58,$Z47))</f>
        <v/>
      </c>
      <c r="G47" t="str">
        <f>IF($Z47="","",INDEX(入力!$K$9:$K$58,$Z47))</f>
        <v/>
      </c>
      <c r="I47" t="str">
        <f>IF($AA47="","",INDEX(入力!$B$9:$B$58,$AA47))</f>
        <v/>
      </c>
      <c r="J47" t="str">
        <f>IF($AA47="","",INDEX(入力!$C$9:$C$58,$AA47))</f>
        <v/>
      </c>
      <c r="K47" t="str">
        <f>IF($AA47="","",INDEX(入力!$D$9:$D$58,$AA47))</f>
        <v/>
      </c>
      <c r="L47" t="str">
        <f>IF($AA47="","",INDEX(入力!$E$9:$E$58,$AA47))</f>
        <v/>
      </c>
      <c r="M47" t="str">
        <f>IF($AA47="","",INDEX(入力!$I$9:$I$58,$AA47))</f>
        <v/>
      </c>
      <c r="N47" t="str">
        <f>IF($AA47="","",INDEX(入力!$J$9:$J$58,$AA47))</f>
        <v/>
      </c>
      <c r="O47" t="str">
        <f>IF($AA47="","",INDEX(入力!$K$9:$K$58,$AA47))</f>
        <v/>
      </c>
      <c r="Q47" t="str">
        <f>IF($AB47="","",INDEX(入力!$B$9:$B$58,$AB47))</f>
        <v/>
      </c>
      <c r="R47" t="str">
        <f>IF($AB47="","",INDEX(入力!$F$9:$F$58,$AB47))</f>
        <v/>
      </c>
      <c r="S47" t="str">
        <f>IF($AB47="","",INDEX(入力!$C$9:$C$58,$AB47))</f>
        <v/>
      </c>
      <c r="T47" t="str">
        <f>IF($AB47="","",INDEX(入力!$D$9:$D$58,$AB47))</f>
        <v/>
      </c>
      <c r="U47" t="str">
        <f>IF($AB47="","",INDEX(入力!$E$9:$E$58,$AB47))</f>
        <v/>
      </c>
      <c r="Z47" t="str">
        <f>IFERROR(MATCH(ROW()-1,入力!$N$9:$N$58,0),"")</f>
        <v/>
      </c>
      <c r="AA47" t="str">
        <f>IF(ROW()-1&gt;COUNTIF(入力!$L$9:$L$58,"&gt;-9.9E+98"),"",IFERROR(MATCH(LARGE(入力!$L$9:$L$58,ROW()-1),入力!$L$9:$L$58,0),""))</f>
        <v/>
      </c>
      <c r="AB47" t="str">
        <f>IF(ROW()-1&gt;COUNTIF(入力!$M$9:$M$58,"&gt;-9.9E+98"),"",IFERROR(MATCH(LARGE(入力!$M$9:$M$58,ROW()-1),入力!$M$9:$M$58,0),""))</f>
        <v/>
      </c>
      <c r="AC47">
        <f>入力!$B$5</f>
        <v>1.6</v>
      </c>
      <c r="AD47">
        <f>入力!$C$5</f>
        <v>1.6</v>
      </c>
    </row>
    <row r="48" spans="1:34">
      <c r="A48" t="str">
        <f>IF($Z48="","",INDEX(入力!$B$9:$B$58,$Z48))</f>
        <v/>
      </c>
      <c r="B48" t="str">
        <f>IF($Z48="","",IF(INDEX(入力!$C$9:$C$58,$Z48)="","",INDEX(入力!$C$9:$C$58,$Z48)))</f>
        <v/>
      </c>
      <c r="C48" t="str">
        <f>IF($Z48="","",IF(INDEX(入力!$D$9:$D$58,$Z48)="","",INDEX(入力!$D$9:$D$58,$Z48)))</f>
        <v/>
      </c>
      <c r="D48" t="str">
        <f>IF($Z48="","",INDEX(入力!$E$9:$E$58,$Z48))</f>
        <v/>
      </c>
      <c r="E48" t="str">
        <f>IF($Z48="","",INDEX(入力!$F$9:$F$58,$Z48))</f>
        <v/>
      </c>
      <c r="F48" t="str">
        <f>IF($Z48="","",INDEX(入力!$J$9:$J$58,$Z48))</f>
        <v/>
      </c>
      <c r="G48" t="str">
        <f>IF($Z48="","",INDEX(入力!$K$9:$K$58,$Z48))</f>
        <v/>
      </c>
      <c r="I48" t="str">
        <f>IF($AA48="","",INDEX(入力!$B$9:$B$58,$AA48))</f>
        <v/>
      </c>
      <c r="J48" t="str">
        <f>IF($AA48="","",INDEX(入力!$C$9:$C$58,$AA48))</f>
        <v/>
      </c>
      <c r="K48" t="str">
        <f>IF($AA48="","",INDEX(入力!$D$9:$D$58,$AA48))</f>
        <v/>
      </c>
      <c r="L48" t="str">
        <f>IF($AA48="","",INDEX(入力!$E$9:$E$58,$AA48))</f>
        <v/>
      </c>
      <c r="M48" t="str">
        <f>IF($AA48="","",INDEX(入力!$I$9:$I$58,$AA48))</f>
        <v/>
      </c>
      <c r="N48" t="str">
        <f>IF($AA48="","",INDEX(入力!$J$9:$J$58,$AA48))</f>
        <v/>
      </c>
      <c r="O48" t="str">
        <f>IF($AA48="","",INDEX(入力!$K$9:$K$58,$AA48))</f>
        <v/>
      </c>
      <c r="Q48" t="str">
        <f>IF($AB48="","",INDEX(入力!$B$9:$B$58,$AB48))</f>
        <v/>
      </c>
      <c r="R48" t="str">
        <f>IF($AB48="","",INDEX(入力!$F$9:$F$58,$AB48))</f>
        <v/>
      </c>
      <c r="S48" t="str">
        <f>IF($AB48="","",INDEX(入力!$C$9:$C$58,$AB48))</f>
        <v/>
      </c>
      <c r="T48" t="str">
        <f>IF($AB48="","",INDEX(入力!$D$9:$D$58,$AB48))</f>
        <v/>
      </c>
      <c r="U48" t="str">
        <f>IF($AB48="","",INDEX(入力!$E$9:$E$58,$AB48))</f>
        <v/>
      </c>
      <c r="Z48" t="str">
        <f>IFERROR(MATCH(ROW()-1,入力!$N$9:$N$58,0),"")</f>
        <v/>
      </c>
      <c r="AA48" t="str">
        <f>IF(ROW()-1&gt;COUNTIF(入力!$L$9:$L$58,"&gt;-9.9E+98"),"",IFERROR(MATCH(LARGE(入力!$L$9:$L$58,ROW()-1),入力!$L$9:$L$58,0),""))</f>
        <v/>
      </c>
      <c r="AB48" t="str">
        <f>IF(ROW()-1&gt;COUNTIF(入力!$M$9:$M$58,"&gt;-9.9E+98"),"",IFERROR(MATCH(LARGE(入力!$M$9:$M$58,ROW()-1),入力!$M$9:$M$58,0),""))</f>
        <v/>
      </c>
      <c r="AC48">
        <f>入力!$B$5</f>
        <v>1.6</v>
      </c>
      <c r="AD48">
        <f>入力!$C$5</f>
        <v>1.6</v>
      </c>
    </row>
    <row r="49" spans="1:34">
      <c r="A49" t="str">
        <f>IF($Z49="","",INDEX(入力!$B$9:$B$58,$Z49))</f>
        <v/>
      </c>
      <c r="B49" t="str">
        <f>IF($Z49="","",IF(INDEX(入力!$C$9:$C$58,$Z49)="","",INDEX(入力!$C$9:$C$58,$Z49)))</f>
        <v/>
      </c>
      <c r="C49" t="str">
        <f>IF($Z49="","",IF(INDEX(入力!$D$9:$D$58,$Z49)="","",INDEX(入力!$D$9:$D$58,$Z49)))</f>
        <v/>
      </c>
      <c r="D49" t="str">
        <f>IF($Z49="","",INDEX(入力!$E$9:$E$58,$Z49))</f>
        <v/>
      </c>
      <c r="E49" t="str">
        <f>IF($Z49="","",INDEX(入力!$F$9:$F$58,$Z49))</f>
        <v/>
      </c>
      <c r="F49" t="str">
        <f>IF($Z49="","",INDEX(入力!$J$9:$J$58,$Z49))</f>
        <v/>
      </c>
      <c r="G49" t="str">
        <f>IF($Z49="","",INDEX(入力!$K$9:$K$58,$Z49))</f>
        <v/>
      </c>
      <c r="I49" t="str">
        <f>IF($AA49="","",INDEX(入力!$B$9:$B$58,$AA49))</f>
        <v/>
      </c>
      <c r="J49" t="str">
        <f>IF($AA49="","",INDEX(入力!$C$9:$C$58,$AA49))</f>
        <v/>
      </c>
      <c r="K49" t="str">
        <f>IF($AA49="","",INDEX(入力!$D$9:$D$58,$AA49))</f>
        <v/>
      </c>
      <c r="L49" t="str">
        <f>IF($AA49="","",INDEX(入力!$E$9:$E$58,$AA49))</f>
        <v/>
      </c>
      <c r="M49" t="str">
        <f>IF($AA49="","",INDEX(入力!$I$9:$I$58,$AA49))</f>
        <v/>
      </c>
      <c r="N49" t="str">
        <f>IF($AA49="","",INDEX(入力!$J$9:$J$58,$AA49))</f>
        <v/>
      </c>
      <c r="O49" t="str">
        <f>IF($AA49="","",INDEX(入力!$K$9:$K$58,$AA49))</f>
        <v/>
      </c>
      <c r="Q49" t="str">
        <f>IF($AB49="","",INDEX(入力!$B$9:$B$58,$AB49))</f>
        <v/>
      </c>
      <c r="R49" t="str">
        <f>IF($AB49="","",INDEX(入力!$F$9:$F$58,$AB49))</f>
        <v/>
      </c>
      <c r="S49" t="str">
        <f>IF($AB49="","",INDEX(入力!$C$9:$C$58,$AB49))</f>
        <v/>
      </c>
      <c r="T49" t="str">
        <f>IF($AB49="","",INDEX(入力!$D$9:$D$58,$AB49))</f>
        <v/>
      </c>
      <c r="U49" t="str">
        <f>IF($AB49="","",INDEX(入力!$E$9:$E$58,$AB49))</f>
        <v/>
      </c>
      <c r="Z49" t="str">
        <f>IFERROR(MATCH(ROW()-1,入力!$N$9:$N$58,0),"")</f>
        <v/>
      </c>
      <c r="AA49" t="str">
        <f>IF(ROW()-1&gt;COUNTIF(入力!$L$9:$L$58,"&gt;-9.9E+98"),"",IFERROR(MATCH(LARGE(入力!$L$9:$L$58,ROW()-1),入力!$L$9:$L$58,0),""))</f>
        <v/>
      </c>
      <c r="AB49" t="str">
        <f>IF(ROW()-1&gt;COUNTIF(入力!$M$9:$M$58,"&gt;-9.9E+98"),"",IFERROR(MATCH(LARGE(入力!$M$9:$M$58,ROW()-1),入力!$M$9:$M$58,0),""))</f>
        <v/>
      </c>
      <c r="AC49">
        <f>入力!$B$5</f>
        <v>1.6</v>
      </c>
      <c r="AD49">
        <f>入力!$C$5</f>
        <v>1.6</v>
      </c>
    </row>
    <row r="50" spans="1:34">
      <c r="A50" t="str">
        <f>IF($Z50="","",INDEX(入力!$B$9:$B$58,$Z50))</f>
        <v/>
      </c>
      <c r="B50" t="str">
        <f>IF($Z50="","",IF(INDEX(入力!$C$9:$C$58,$Z50)="","",INDEX(入力!$C$9:$C$58,$Z50)))</f>
        <v/>
      </c>
      <c r="C50" t="str">
        <f>IF($Z50="","",IF(INDEX(入力!$D$9:$D$58,$Z50)="","",INDEX(入力!$D$9:$D$58,$Z50)))</f>
        <v/>
      </c>
      <c r="D50" t="str">
        <f>IF($Z50="","",INDEX(入力!$E$9:$E$58,$Z50))</f>
        <v/>
      </c>
      <c r="E50" t="str">
        <f>IF($Z50="","",INDEX(入力!$F$9:$F$58,$Z50))</f>
        <v/>
      </c>
      <c r="F50" t="str">
        <f>IF($Z50="","",INDEX(入力!$J$9:$J$58,$Z50))</f>
        <v/>
      </c>
      <c r="G50" t="str">
        <f>IF($Z50="","",INDEX(入力!$K$9:$K$58,$Z50))</f>
        <v/>
      </c>
      <c r="I50" t="str">
        <f>IF($AA50="","",INDEX(入力!$B$9:$B$58,$AA50))</f>
        <v/>
      </c>
      <c r="J50" t="str">
        <f>IF($AA50="","",INDEX(入力!$C$9:$C$58,$AA50))</f>
        <v/>
      </c>
      <c r="K50" t="str">
        <f>IF($AA50="","",INDEX(入力!$D$9:$D$58,$AA50))</f>
        <v/>
      </c>
      <c r="L50" t="str">
        <f>IF($AA50="","",INDEX(入力!$E$9:$E$58,$AA50))</f>
        <v/>
      </c>
      <c r="M50" t="str">
        <f>IF($AA50="","",INDEX(入力!$I$9:$I$58,$AA50))</f>
        <v/>
      </c>
      <c r="N50" t="str">
        <f>IF($AA50="","",INDEX(入力!$J$9:$J$58,$AA50))</f>
        <v/>
      </c>
      <c r="O50" t="str">
        <f>IF($AA50="","",INDEX(入力!$K$9:$K$58,$AA50))</f>
        <v/>
      </c>
      <c r="Q50" t="str">
        <f>IF($AB50="","",INDEX(入力!$B$9:$B$58,$AB50))</f>
        <v/>
      </c>
      <c r="R50" t="str">
        <f>IF($AB50="","",INDEX(入力!$F$9:$F$58,$AB50))</f>
        <v/>
      </c>
      <c r="S50" t="str">
        <f>IF($AB50="","",INDEX(入力!$C$9:$C$58,$AB50))</f>
        <v/>
      </c>
      <c r="T50" t="str">
        <f>IF($AB50="","",INDEX(入力!$D$9:$D$58,$AB50))</f>
        <v/>
      </c>
      <c r="U50" t="str">
        <f>IF($AB50="","",INDEX(入力!$E$9:$E$58,$AB50))</f>
        <v/>
      </c>
      <c r="Z50" t="str">
        <f>IFERROR(MATCH(ROW()-1,入力!$N$9:$N$58,0),"")</f>
        <v/>
      </c>
      <c r="AA50" t="str">
        <f>IF(ROW()-1&gt;COUNTIF(入力!$L$9:$L$58,"&gt;-9.9E+98"),"",IFERROR(MATCH(LARGE(入力!$L$9:$L$58,ROW()-1),入力!$L$9:$L$58,0),""))</f>
        <v/>
      </c>
      <c r="AB50" t="str">
        <f>IF(ROW()-1&gt;COUNTIF(入力!$M$9:$M$58,"&gt;-9.9E+98"),"",IFERROR(MATCH(LARGE(入力!$M$9:$M$58,ROW()-1),入力!$M$9:$M$58,0),""))</f>
        <v/>
      </c>
      <c r="AC50">
        <f>入力!$B$5</f>
        <v>1.6</v>
      </c>
      <c r="AD50">
        <f>入力!$C$5</f>
        <v>1.6</v>
      </c>
    </row>
    <row r="51" spans="1:34">
      <c r="A51" t="str">
        <f>IF($Z51="","",INDEX(入力!$B$9:$B$58,$Z51))</f>
        <v/>
      </c>
      <c r="B51" t="str">
        <f>IF($Z51="","",IF(INDEX(入力!$C$9:$C$58,$Z51)="","",INDEX(入力!$C$9:$C$58,$Z51)))</f>
        <v/>
      </c>
      <c r="C51" t="str">
        <f>IF($Z51="","",IF(INDEX(入力!$D$9:$D$58,$Z51)="","",INDEX(入力!$D$9:$D$58,$Z51)))</f>
        <v/>
      </c>
      <c r="D51" t="str">
        <f>IF($Z51="","",INDEX(入力!$E$9:$E$58,$Z51))</f>
        <v/>
      </c>
      <c r="E51" t="str">
        <f>IF($Z51="","",INDEX(入力!$F$9:$F$58,$Z51))</f>
        <v/>
      </c>
      <c r="F51" t="str">
        <f>IF($Z51="","",INDEX(入力!$J$9:$J$58,$Z51))</f>
        <v/>
      </c>
      <c r="G51" t="str">
        <f>IF($Z51="","",INDEX(入力!$K$9:$K$58,$Z51))</f>
        <v/>
      </c>
      <c r="I51" t="str">
        <f>IF($AA51="","",INDEX(入力!$B$9:$B$58,$AA51))</f>
        <v/>
      </c>
      <c r="J51" t="str">
        <f>IF($AA51="","",INDEX(入力!$C$9:$C$58,$AA51))</f>
        <v/>
      </c>
      <c r="K51" t="str">
        <f>IF($AA51="","",INDEX(入力!$D$9:$D$58,$AA51))</f>
        <v/>
      </c>
      <c r="L51" t="str">
        <f>IF($AA51="","",INDEX(入力!$E$9:$E$58,$AA51))</f>
        <v/>
      </c>
      <c r="M51" t="str">
        <f>IF($AA51="","",INDEX(入力!$I$9:$I$58,$AA51))</f>
        <v/>
      </c>
      <c r="N51" t="str">
        <f>IF($AA51="","",INDEX(入力!$J$9:$J$58,$AA51))</f>
        <v/>
      </c>
      <c r="O51" t="str">
        <f>IF($AA51="","",INDEX(入力!$K$9:$K$58,$AA51))</f>
        <v/>
      </c>
      <c r="Q51" t="str">
        <f>IF($AB51="","",INDEX(入力!$B$9:$B$58,$AB51))</f>
        <v/>
      </c>
      <c r="R51" t="str">
        <f>IF($AB51="","",INDEX(入力!$F$9:$F$58,$AB51))</f>
        <v/>
      </c>
      <c r="S51" t="str">
        <f>IF($AB51="","",INDEX(入力!$C$9:$C$58,$AB51))</f>
        <v/>
      </c>
      <c r="T51" t="str">
        <f>IF($AB51="","",INDEX(入力!$D$9:$D$58,$AB51))</f>
        <v/>
      </c>
      <c r="U51" t="str">
        <f>IF($AB51="","",INDEX(入力!$E$9:$E$58,$AB51))</f>
        <v/>
      </c>
      <c r="Z51" t="str">
        <f>IFERROR(MATCH(ROW()-1,入力!$N$9:$N$58,0),"")</f>
        <v/>
      </c>
      <c r="AA51" t="str">
        <f>IF(ROW()-1&gt;COUNTIF(入力!$L$9:$L$58,"&gt;-9.9E+98"),"",IFERROR(MATCH(LARGE(入力!$L$9:$L$58,ROW()-1),入力!$L$9:$L$58,0),""))</f>
        <v/>
      </c>
      <c r="AB51" t="str">
        <f>IF(ROW()-1&gt;COUNTIF(入力!$M$9:$M$58,"&gt;-9.9E+98"),"",IFERROR(MATCH(LARGE(入力!$M$9:$M$58,ROW()-1),入力!$M$9:$M$58,0),""))</f>
        <v/>
      </c>
      <c r="AC51">
        <f>入力!$B$5</f>
        <v>1.6</v>
      </c>
      <c r="AD51">
        <f>入力!$C$5</f>
        <v>1.6</v>
      </c>
    </row>
    <row r="53" spans="1:34">
      <c r="A53" t="str">
        <f>"ピッキング目標 "&amp;TEXT(入力!$B$5,"0.0")&amp;"分"</f>
        <v>ピッキング目標 1.6分</v>
      </c>
    </row>
    <row r="54" spans="1:34">
      <c r="A54" t="str">
        <f>"梱包目標 "&amp;TEXT(入力!$C$5,"0.0")&amp;"分"</f>
        <v>梱包目標 1.6分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zoomScale="90" zoomScaleNormal="90" workbookViewId="0"/>
  </sheetViews>
  <sheetFormatPr defaultRowHeight="15"/>
  <cols>
    <col min="1" max="1" width="8.7109375" customWidth="1"/>
    <col min="2" max="2" width="28.7109375" customWidth="1"/>
    <col min="3" max="3" width="75.7109375" customWidth="1"/>
  </cols>
  <sheetData>
    <row r="1" spans="1:3">
      <c r="A1" s="1" t="s">
        <v>73</v>
      </c>
      <c r="B1" s="1"/>
      <c r="C1" s="1"/>
    </row>
    <row r="3" spans="1:3">
      <c r="A3" s="11" t="s">
        <v>74</v>
      </c>
      <c r="B3" s="11" t="s">
        <v>75</v>
      </c>
      <c r="C3" s="11" t="s">
        <v>76</v>
      </c>
    </row>
    <row r="4" spans="1:3">
      <c r="A4" s="8" t="s">
        <v>77</v>
      </c>
      <c r="B4" s="14" t="s">
        <v>78</v>
      </c>
      <c r="C4" s="23" t="s">
        <v>79</v>
      </c>
    </row>
    <row r="5" spans="1:3">
      <c r="A5" s="8" t="s">
        <v>80</v>
      </c>
      <c r="B5" s="14" t="s">
        <v>81</v>
      </c>
      <c r="C5" s="23" t="s">
        <v>82</v>
      </c>
    </row>
    <row r="6" spans="1:3">
      <c r="A6" s="8" t="s">
        <v>83</v>
      </c>
      <c r="B6" s="14" t="s">
        <v>84</v>
      </c>
      <c r="C6" s="23" t="s">
        <v>85</v>
      </c>
    </row>
    <row r="7" spans="1:3">
      <c r="A7" s="8" t="s">
        <v>86</v>
      </c>
      <c r="B7" s="14" t="s">
        <v>87</v>
      </c>
      <c r="C7" s="23" t="s">
        <v>88</v>
      </c>
    </row>
    <row r="8" spans="1:3">
      <c r="A8" s="8" t="s">
        <v>89</v>
      </c>
      <c r="B8" s="14" t="s">
        <v>90</v>
      </c>
      <c r="C8" s="23" t="s">
        <v>91</v>
      </c>
    </row>
    <row r="9" spans="1:3">
      <c r="A9" s="8" t="s">
        <v>92</v>
      </c>
      <c r="B9" s="14" t="s">
        <v>93</v>
      </c>
      <c r="C9" s="23" t="s">
        <v>94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ダッシュボード</vt:lpstr>
      <vt:lpstr>入力</vt:lpstr>
      <vt:lpstr>集計用</vt:lpstr>
      <vt:lpstr>使い方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2026-07-07T05:49:41Z</dcterms:created>
  <dcterms:modified xsi:type="dcterms:W3CDTF">2026-07-07T05:49:41Z</dcterms:modified>
</cp:coreProperties>
</file>