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c01044\関東物流\澤田\送り数値表\"/>
    </mc:Choice>
  </mc:AlternateContent>
  <xr:revisionPtr revIDLastSave="0" documentId="13_ncr:1_{12359F90-F078-44EF-987B-2F7EA28953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ダッシュボード" sheetId="1" r:id="rId1"/>
    <sheet name="入力" sheetId="2" r:id="rId2"/>
    <sheet name="集計用" sheetId="3" state="hidden" r:id="rId3"/>
    <sheet name="使い方" sheetId="4" r:id="rId4"/>
    <sheet name="偏差値" sheetId="5" r:id="rId5"/>
    <sheet name="目標到達分析" sheetId="6" r:id="rId10"/>
  </sheets>
  <definedNames>
    <definedName name="dispNames" localSheetId="2">OFFSET(集計用!$A$2,0,0,MAX(COUNT(集計用!$Z$2:$Z$51),1),1)</definedName>
    <definedName name="packTgt" localSheetId="2">OFFSET(集計用!$AD$2,0,0,MAX(COUNT(集計用!$Z$2:$Z$51),1),1)</definedName>
    <definedName name="packVals" localSheetId="2">OFFSET(集計用!$C$2,0,0,MAX(COUNT(集計用!$Z$2:$Z$51),1),1)</definedName>
    <definedName name="pickTgt" localSheetId="2">OFFSET(集計用!$AC$2,0,0,MAX(COUNT(集計用!$Z$2:$Z$51),1),1)</definedName>
    <definedName name="pickVals" localSheetId="2">OFFSET(集計用!$B$2,0,0,MAX(COUNT(集計用!$Z$2:$Z$51),1),1)</definedName>
    <definedName name="rateNames" localSheetId="2">OFFSET(集計用!$Q$2,0,0,MAX(COUNT(集計用!$AB$2:$AB$51),1),1)</definedName>
    <definedName name="rateVals" localSheetId="2">OFFSET(集計用!$R$2,0,0,MAX(COUNT(集計用!$AB$2:$AB$51),1),1)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J6" i="1" l="1"/>
  <c r="A54" i="3"/>
  <c r="A53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D7" i="3"/>
  <c r="AC7" i="3"/>
  <c r="AD6" i="3"/>
  <c r="AC6" i="3"/>
  <c r="AD5" i="3"/>
  <c r="AC5" i="3"/>
  <c r="AD4" i="3"/>
  <c r="AC4" i="3"/>
  <c r="AH3" i="3"/>
  <c r="AE3" i="3"/>
  <c r="AD3" i="3"/>
  <c r="AC3" i="3"/>
  <c r="AH2" i="3"/>
  <c r="AE2" i="3"/>
  <c r="AD2" i="3"/>
  <c r="AC2" i="3"/>
  <c r="N58" i="2"/>
  <c r="H58" i="2"/>
  <c r="G58" i="2"/>
  <c r="E58" i="2"/>
  <c r="L58" i="2" s="1"/>
  <c r="N57" i="2"/>
  <c r="L57" i="2"/>
  <c r="H57" i="2"/>
  <c r="G57" i="2"/>
  <c r="E57" i="2"/>
  <c r="F57" i="2" s="1"/>
  <c r="N56" i="2"/>
  <c r="H56" i="2"/>
  <c r="G56" i="2"/>
  <c r="E56" i="2"/>
  <c r="F56" i="2" s="1"/>
  <c r="N55" i="2"/>
  <c r="H55" i="2"/>
  <c r="G55" i="2"/>
  <c r="E55" i="2"/>
  <c r="K55" i="2" s="1"/>
  <c r="N54" i="2"/>
  <c r="L54" i="2"/>
  <c r="H54" i="2"/>
  <c r="G54" i="2"/>
  <c r="E54" i="2"/>
  <c r="M54" i="2" s="1"/>
  <c r="N53" i="2"/>
  <c r="J53" i="2"/>
  <c r="H53" i="2"/>
  <c r="G53" i="2"/>
  <c r="E53" i="2"/>
  <c r="F53" i="2" s="1"/>
  <c r="N52" i="2"/>
  <c r="H52" i="2"/>
  <c r="G52" i="2"/>
  <c r="E52" i="2"/>
  <c r="M52" i="2" s="1"/>
  <c r="N51" i="2"/>
  <c r="M51" i="2"/>
  <c r="L51" i="2"/>
  <c r="J51" i="2"/>
  <c r="I51" i="2"/>
  <c r="H51" i="2"/>
  <c r="G51" i="2"/>
  <c r="E51" i="2"/>
  <c r="K51" i="2" s="1"/>
  <c r="N50" i="2"/>
  <c r="L50" i="2"/>
  <c r="H50" i="2"/>
  <c r="G50" i="2"/>
  <c r="E50" i="2"/>
  <c r="F50" i="2" s="1"/>
  <c r="N49" i="2"/>
  <c r="H49" i="2"/>
  <c r="G49" i="2"/>
  <c r="E49" i="2"/>
  <c r="L49" i="2" s="1"/>
  <c r="N48" i="2"/>
  <c r="H48" i="2"/>
  <c r="G48" i="2"/>
  <c r="E48" i="2"/>
  <c r="J48" i="2" s="1"/>
  <c r="N47" i="2"/>
  <c r="H47" i="2"/>
  <c r="G47" i="2"/>
  <c r="E47" i="2"/>
  <c r="L47" i="2" s="1"/>
  <c r="N46" i="2"/>
  <c r="L46" i="2"/>
  <c r="H46" i="2"/>
  <c r="G46" i="2"/>
  <c r="E46" i="2"/>
  <c r="F46" i="2" s="1"/>
  <c r="N45" i="2"/>
  <c r="L45" i="2"/>
  <c r="I45" i="2"/>
  <c r="H45" i="2"/>
  <c r="G45" i="2"/>
  <c r="E45" i="2"/>
  <c r="F45" i="2" s="1"/>
  <c r="N44" i="2"/>
  <c r="L44" i="2"/>
  <c r="H44" i="2"/>
  <c r="G44" i="2"/>
  <c r="E44" i="2"/>
  <c r="K44" i="2" s="1"/>
  <c r="N43" i="2"/>
  <c r="H43" i="2"/>
  <c r="G43" i="2"/>
  <c r="E43" i="2"/>
  <c r="L43" i="2" s="1"/>
  <c r="N42" i="2"/>
  <c r="H42" i="2"/>
  <c r="G42" i="2"/>
  <c r="E42" i="2"/>
  <c r="J42" i="2" s="1"/>
  <c r="N41" i="2"/>
  <c r="L41" i="2"/>
  <c r="K41" i="2"/>
  <c r="H41" i="2"/>
  <c r="G41" i="2"/>
  <c r="E41" i="2"/>
  <c r="I41" i="2" s="1"/>
  <c r="N40" i="2"/>
  <c r="H40" i="2"/>
  <c r="G40" i="2"/>
  <c r="E40" i="2"/>
  <c r="F40" i="2" s="1"/>
  <c r="N39" i="2"/>
  <c r="L39" i="2"/>
  <c r="H39" i="2"/>
  <c r="G39" i="2"/>
  <c r="E39" i="2"/>
  <c r="M39" i="2" s="1"/>
  <c r="N38" i="2"/>
  <c r="H38" i="2"/>
  <c r="G38" i="2"/>
  <c r="E38" i="2"/>
  <c r="M38" i="2" s="1"/>
  <c r="N37" i="2"/>
  <c r="H37" i="2"/>
  <c r="G37" i="2"/>
  <c r="E37" i="2"/>
  <c r="L37" i="2" s="1"/>
  <c r="N36" i="2"/>
  <c r="H36" i="2"/>
  <c r="G36" i="2"/>
  <c r="E36" i="2"/>
  <c r="J36" i="2" s="1"/>
  <c r="N35" i="2"/>
  <c r="H35" i="2"/>
  <c r="G35" i="2"/>
  <c r="E35" i="2"/>
  <c r="F35" i="2" s="1"/>
  <c r="N34" i="2"/>
  <c r="H34" i="2"/>
  <c r="G34" i="2"/>
  <c r="E34" i="2"/>
  <c r="M34" i="2" s="1"/>
  <c r="N33" i="2"/>
  <c r="H33" i="2"/>
  <c r="G33" i="2"/>
  <c r="E33" i="2"/>
  <c r="M33" i="2" s="1"/>
  <c r="N32" i="2"/>
  <c r="H32" i="2"/>
  <c r="G32" i="2"/>
  <c r="E32" i="2"/>
  <c r="N31" i="2"/>
  <c r="H31" i="2"/>
  <c r="G31" i="2"/>
  <c r="E31" i="2"/>
  <c r="J31" i="2" s="1"/>
  <c r="N30" i="2"/>
  <c r="J30" i="2"/>
  <c r="I30" i="2"/>
  <c r="H30" i="2"/>
  <c r="G30" i="2"/>
  <c r="L30" i="2" s="1"/>
  <c r="E30" i="2"/>
  <c r="F30" i="2" s="1"/>
  <c r="N29" i="2"/>
  <c r="H29" i="2"/>
  <c r="G29" i="2"/>
  <c r="E29" i="2"/>
  <c r="F29" i="2" s="1"/>
  <c r="N28" i="2"/>
  <c r="H28" i="2"/>
  <c r="G28" i="2"/>
  <c r="E28" i="2"/>
  <c r="N27" i="2"/>
  <c r="H27" i="2"/>
  <c r="G27" i="2"/>
  <c r="E27" i="2"/>
  <c r="N26" i="2"/>
  <c r="H26" i="2"/>
  <c r="G26" i="2"/>
  <c r="E26" i="2"/>
  <c r="N25" i="2"/>
  <c r="H25" i="2"/>
  <c r="G25" i="2"/>
  <c r="E25" i="2"/>
  <c r="J25" i="2" s="1"/>
  <c r="N24" i="2"/>
  <c r="H24" i="2"/>
  <c r="G24" i="2"/>
  <c r="E24" i="2"/>
  <c r="N23" i="2"/>
  <c r="H23" i="2"/>
  <c r="G23" i="2"/>
  <c r="E23" i="2"/>
  <c r="N22" i="2"/>
  <c r="H22" i="2"/>
  <c r="G22" i="2"/>
  <c r="E22" i="2"/>
  <c r="N21" i="2"/>
  <c r="H21" i="2"/>
  <c r="G21" i="2"/>
  <c r="E21" i="2"/>
  <c r="N20" i="2"/>
  <c r="H20" i="2"/>
  <c r="G20" i="2"/>
  <c r="E20" i="2"/>
  <c r="N19" i="2"/>
  <c r="H19" i="2"/>
  <c r="G19" i="2"/>
  <c r="E19" i="2"/>
  <c r="J19" i="2" s="1"/>
  <c r="N18" i="2"/>
  <c r="K18" i="2"/>
  <c r="H18" i="2"/>
  <c r="G18" i="2"/>
  <c r="E18" i="2"/>
  <c r="F18" i="2" s="1"/>
  <c r="N17" i="2"/>
  <c r="H17" i="2"/>
  <c r="G17" i="2"/>
  <c r="E17" i="2"/>
  <c r="N16" i="2"/>
  <c r="H16" i="2"/>
  <c r="G16" i="2"/>
  <c r="E16" i="2"/>
  <c r="N15" i="2"/>
  <c r="H15" i="2"/>
  <c r="G15" i="2"/>
  <c r="E15" i="2"/>
  <c r="N14" i="2"/>
  <c r="H14" i="2"/>
  <c r="G14" i="2"/>
  <c r="E14" i="2"/>
  <c r="N13" i="2"/>
  <c r="H13" i="2"/>
  <c r="G13" i="2"/>
  <c r="E13" i="2"/>
  <c r="N12" i="2"/>
  <c r="H12" i="2"/>
  <c r="G12" i="2"/>
  <c r="E12" i="2"/>
  <c r="N11" i="2"/>
  <c r="H11" i="2"/>
  <c r="G11" i="2"/>
  <c r="E11" i="2"/>
  <c r="N10" i="2"/>
  <c r="H10" i="2"/>
  <c r="G10" i="2"/>
  <c r="E10" i="2"/>
  <c r="N9" i="2"/>
  <c r="H9" i="2"/>
  <c r="G9" i="2"/>
  <c r="E9" i="2"/>
  <c r="D5" i="2"/>
  <c r="I44" i="2" l="1"/>
  <c r="M44" i="2"/>
  <c r="I46" i="2"/>
  <c r="L32" i="2"/>
  <c r="I49" i="2"/>
  <c r="F51" i="2"/>
  <c r="I39" i="2"/>
  <c r="F34" i="2"/>
  <c r="J49" i="2"/>
  <c r="K50" i="2"/>
  <c r="J44" i="2"/>
  <c r="M50" i="2"/>
  <c r="M49" i="2"/>
  <c r="F24" i="2"/>
  <c r="J18" i="2"/>
  <c r="M37" i="2"/>
  <c r="F44" i="2"/>
  <c r="M46" i="2"/>
  <c r="F49" i="2"/>
  <c r="J50" i="2"/>
  <c r="J45" i="2"/>
  <c r="I57" i="2"/>
  <c r="K45" i="2"/>
  <c r="J57" i="2"/>
  <c r="K30" i="2"/>
  <c r="I40" i="2"/>
  <c r="K42" i="2"/>
  <c r="K57" i="2"/>
  <c r="F11" i="2"/>
  <c r="F17" i="2"/>
  <c r="J40" i="2"/>
  <c r="M42" i="2"/>
  <c r="M45" i="2"/>
  <c r="K47" i="2"/>
  <c r="K49" i="2"/>
  <c r="I52" i="2"/>
  <c r="I54" i="2"/>
  <c r="I56" i="2"/>
  <c r="M57" i="2"/>
  <c r="F23" i="2"/>
  <c r="F39" i="2"/>
  <c r="J56" i="2"/>
  <c r="M56" i="2"/>
  <c r="J37" i="2"/>
  <c r="I50" i="2"/>
  <c r="K58" i="2"/>
  <c r="L31" i="2"/>
  <c r="F31" i="2"/>
  <c r="I29" i="2"/>
  <c r="I28" i="2"/>
  <c r="L28" i="2" s="1"/>
  <c r="F25" i="2"/>
  <c r="M25" i="2" s="1"/>
  <c r="M24" i="2"/>
  <c r="F22" i="2"/>
  <c r="M22" i="2" s="1"/>
  <c r="M19" i="2"/>
  <c r="I17" i="2"/>
  <c r="K17" i="2" s="1"/>
  <c r="I36" i="2"/>
  <c r="K36" i="2"/>
  <c r="L36" i="2"/>
  <c r="M36" i="2"/>
  <c r="I35" i="2"/>
  <c r="I34" i="2"/>
  <c r="L34" i="2"/>
  <c r="K32" i="2"/>
  <c r="M31" i="2"/>
  <c r="I31" i="2"/>
  <c r="K31" i="2"/>
  <c r="M30" i="2"/>
  <c r="F28" i="2"/>
  <c r="M28" i="2" s="1"/>
  <c r="I25" i="2"/>
  <c r="L25" i="2" s="1"/>
  <c r="K25" i="2"/>
  <c r="J24" i="2"/>
  <c r="I24" i="2"/>
  <c r="K24" i="2" s="1"/>
  <c r="I23" i="2"/>
  <c r="K23" i="2" s="1"/>
  <c r="I22" i="2"/>
  <c r="L22" i="2" s="1"/>
  <c r="F19" i="2"/>
  <c r="I19" i="2"/>
  <c r="K19" i="2"/>
  <c r="L19" i="2"/>
  <c r="L18" i="2"/>
  <c r="M18" i="2"/>
  <c r="I18" i="2"/>
  <c r="I13" i="2"/>
  <c r="L13" i="2" s="1"/>
  <c r="J12" i="2"/>
  <c r="Z4" i="3"/>
  <c r="D4" i="3" s="1"/>
  <c r="B6" i="1"/>
  <c r="Z42" i="3"/>
  <c r="G42" i="3" s="1"/>
  <c r="Z8" i="3"/>
  <c r="D8" i="3" s="1"/>
  <c r="Z39" i="3"/>
  <c r="A39" i="3" s="1"/>
  <c r="F12" i="2"/>
  <c r="M12" i="2" s="1"/>
  <c r="F10" i="2"/>
  <c r="M10" i="2" s="1"/>
  <c r="J13" i="2"/>
  <c r="F16" i="2"/>
  <c r="M16" i="2" s="1"/>
  <c r="I11" i="2"/>
  <c r="K11" i="2" s="1"/>
  <c r="B204" i="1"/>
  <c r="I12" i="2"/>
  <c r="M32" i="2"/>
  <c r="J41" i="2"/>
  <c r="K46" i="2"/>
  <c r="M47" i="2"/>
  <c r="L53" i="2"/>
  <c r="I53" i="2"/>
  <c r="Z5" i="3"/>
  <c r="Z27" i="3"/>
  <c r="Z50" i="3"/>
  <c r="L6" i="1"/>
  <c r="F9" i="2"/>
  <c r="J11" i="2"/>
  <c r="F15" i="2"/>
  <c r="J17" i="2"/>
  <c r="F21" i="2"/>
  <c r="M21" i="2" s="1"/>
  <c r="J23" i="2"/>
  <c r="F27" i="2"/>
  <c r="M27" i="2" s="1"/>
  <c r="J29" i="2"/>
  <c r="F33" i="2"/>
  <c r="J35" i="2"/>
  <c r="F38" i="2"/>
  <c r="K40" i="2"/>
  <c r="M41" i="2"/>
  <c r="F43" i="2"/>
  <c r="F48" i="2"/>
  <c r="Z30" i="3"/>
  <c r="I10" i="2"/>
  <c r="L10" i="2" s="1"/>
  <c r="I16" i="2"/>
  <c r="L16" i="2" s="1"/>
  <c r="K29" i="2"/>
  <c r="K35" i="2"/>
  <c r="L40" i="2"/>
  <c r="J52" i="2"/>
  <c r="F52" i="2"/>
  <c r="M55" i="2"/>
  <c r="L55" i="2"/>
  <c r="Z48" i="3"/>
  <c r="J10" i="2"/>
  <c r="F14" i="2"/>
  <c r="M14" i="2" s="1"/>
  <c r="J16" i="2"/>
  <c r="F20" i="2"/>
  <c r="M20" i="2" s="1"/>
  <c r="J22" i="2"/>
  <c r="F26" i="2"/>
  <c r="M26" i="2" s="1"/>
  <c r="J28" i="2"/>
  <c r="L29" i="2"/>
  <c r="F32" i="2"/>
  <c r="J34" i="2"/>
  <c r="L35" i="2"/>
  <c r="J39" i="2"/>
  <c r="M40" i="2"/>
  <c r="F47" i="2"/>
  <c r="K53" i="2"/>
  <c r="F55" i="2"/>
  <c r="K56" i="2"/>
  <c r="Z33" i="3"/>
  <c r="I9" i="2"/>
  <c r="L9" i="2" s="1"/>
  <c r="M11" i="2"/>
  <c r="I15" i="2"/>
  <c r="L15" i="2" s="1"/>
  <c r="M17" i="2"/>
  <c r="I21" i="2"/>
  <c r="L21" i="2" s="1"/>
  <c r="M23" i="2"/>
  <c r="I27" i="2"/>
  <c r="K27" i="2" s="1"/>
  <c r="K28" i="2"/>
  <c r="M29" i="2"/>
  <c r="I33" i="2"/>
  <c r="K34" i="2"/>
  <c r="M35" i="2"/>
  <c r="F37" i="2"/>
  <c r="I38" i="2"/>
  <c r="K39" i="2"/>
  <c r="F42" i="2"/>
  <c r="I43" i="2"/>
  <c r="I48" i="2"/>
  <c r="M53" i="2"/>
  <c r="L56" i="2"/>
  <c r="Z7" i="3"/>
  <c r="Z46" i="3"/>
  <c r="J9" i="2"/>
  <c r="F13" i="2"/>
  <c r="M13" i="2" s="1"/>
  <c r="J15" i="2"/>
  <c r="J21" i="2"/>
  <c r="J27" i="2"/>
  <c r="J33" i="2"/>
  <c r="J38" i="2"/>
  <c r="J43" i="2"/>
  <c r="K48" i="2"/>
  <c r="Z18" i="3"/>
  <c r="Z36" i="3"/>
  <c r="B2" i="1"/>
  <c r="I14" i="2"/>
  <c r="K14" i="2" s="1"/>
  <c r="I20" i="2"/>
  <c r="L20" i="2" s="1"/>
  <c r="I26" i="2"/>
  <c r="L26" i="2" s="1"/>
  <c r="I32" i="2"/>
  <c r="K33" i="2"/>
  <c r="K38" i="2"/>
  <c r="F41" i="2"/>
  <c r="K43" i="2"/>
  <c r="I47" i="2"/>
  <c r="L48" i="2"/>
  <c r="K52" i="2"/>
  <c r="K54" i="2"/>
  <c r="J54" i="2"/>
  <c r="I55" i="2"/>
  <c r="Z44" i="3"/>
  <c r="Q3" i="1"/>
  <c r="J14" i="2"/>
  <c r="J20" i="2"/>
  <c r="J26" i="2"/>
  <c r="J32" i="2"/>
  <c r="L33" i="2"/>
  <c r="F36" i="2"/>
  <c r="I37" i="2"/>
  <c r="L38" i="2"/>
  <c r="I42" i="2"/>
  <c r="M43" i="2"/>
  <c r="J47" i="2"/>
  <c r="M48" i="2"/>
  <c r="L52" i="2"/>
  <c r="F54" i="2"/>
  <c r="J55" i="2"/>
  <c r="Z21" i="3"/>
  <c r="Z6" i="3"/>
  <c r="Z51" i="3"/>
  <c r="Z3" i="3"/>
  <c r="Z40" i="3"/>
  <c r="Z37" i="3"/>
  <c r="Z34" i="3"/>
  <c r="Z31" i="3"/>
  <c r="Z28" i="3"/>
  <c r="Z25" i="3"/>
  <c r="Z22" i="3"/>
  <c r="Z19" i="3"/>
  <c r="Z16" i="3"/>
  <c r="Z10" i="3"/>
  <c r="Z2" i="3"/>
  <c r="Z11" i="3"/>
  <c r="Z49" i="3"/>
  <c r="Z47" i="3"/>
  <c r="Z45" i="3"/>
  <c r="Z43" i="3"/>
  <c r="Z41" i="3"/>
  <c r="Z38" i="3"/>
  <c r="Z35" i="3"/>
  <c r="Z32" i="3"/>
  <c r="Z29" i="3"/>
  <c r="Z26" i="3"/>
  <c r="Z23" i="3"/>
  <c r="Z20" i="3"/>
  <c r="Z17" i="3"/>
  <c r="Z12" i="3"/>
  <c r="Z13" i="3"/>
  <c r="Z15" i="3"/>
  <c r="Z9" i="3"/>
  <c r="K37" i="2"/>
  <c r="L42" i="2"/>
  <c r="J46" i="2"/>
  <c r="Z14" i="3"/>
  <c r="Z24" i="3"/>
  <c r="M58" i="2"/>
  <c r="F58" i="2"/>
  <c r="I58" i="2"/>
  <c r="J58" i="2"/>
  <c r="L27" i="2" l="1"/>
  <c r="K26" i="2"/>
  <c r="G19" i="3" s="1"/>
  <c r="L24" i="2"/>
  <c r="L23" i="2"/>
  <c r="K22" i="2"/>
  <c r="G15" i="3" s="1"/>
  <c r="K21" i="2"/>
  <c r="K20" i="2"/>
  <c r="L17" i="2"/>
  <c r="K13" i="2"/>
  <c r="L11" i="2"/>
  <c r="E4" i="3"/>
  <c r="D42" i="3"/>
  <c r="B4" i="3"/>
  <c r="C4" i="3"/>
  <c r="F4" i="3"/>
  <c r="A4" i="3"/>
  <c r="G4" i="3"/>
  <c r="C42" i="3"/>
  <c r="F42" i="3"/>
  <c r="B39" i="3"/>
  <c r="F8" i="3"/>
  <c r="B42" i="3"/>
  <c r="A42" i="3"/>
  <c r="E42" i="3"/>
  <c r="G39" i="3"/>
  <c r="B8" i="3"/>
  <c r="E39" i="3"/>
  <c r="E8" i="3"/>
  <c r="A8" i="3"/>
  <c r="C8" i="3"/>
  <c r="C39" i="3"/>
  <c r="D39" i="3"/>
  <c r="F39" i="3"/>
  <c r="K16" i="2"/>
  <c r="G9" i="3" s="1"/>
  <c r="M9" i="2"/>
  <c r="K15" i="2"/>
  <c r="G8" i="3" s="1"/>
  <c r="K10" i="2"/>
  <c r="G29" i="3"/>
  <c r="E29" i="3"/>
  <c r="F29" i="3"/>
  <c r="D29" i="3"/>
  <c r="C29" i="3"/>
  <c r="B29" i="3"/>
  <c r="A29" i="3"/>
  <c r="G23" i="3"/>
  <c r="E23" i="3"/>
  <c r="F23" i="3"/>
  <c r="D23" i="3"/>
  <c r="C23" i="3"/>
  <c r="B23" i="3"/>
  <c r="A23" i="3"/>
  <c r="F2" i="3"/>
  <c r="E2" i="3"/>
  <c r="D2" i="3"/>
  <c r="C2" i="3"/>
  <c r="B2" i="3"/>
  <c r="A2" i="3"/>
  <c r="G51" i="3"/>
  <c r="E51" i="3"/>
  <c r="D51" i="3"/>
  <c r="F51" i="3"/>
  <c r="C51" i="3"/>
  <c r="B51" i="3"/>
  <c r="A51" i="3"/>
  <c r="G46" i="3"/>
  <c r="E46" i="3"/>
  <c r="D46" i="3"/>
  <c r="F46" i="3"/>
  <c r="A46" i="3"/>
  <c r="C46" i="3"/>
  <c r="B46" i="3"/>
  <c r="F6" i="1"/>
  <c r="E16" i="3"/>
  <c r="G16" i="3"/>
  <c r="F16" i="3"/>
  <c r="D16" i="3"/>
  <c r="C16" i="3"/>
  <c r="B16" i="3"/>
  <c r="A16" i="3"/>
  <c r="G18" i="3"/>
  <c r="E18" i="3"/>
  <c r="A18" i="3"/>
  <c r="F18" i="3"/>
  <c r="B18" i="3"/>
  <c r="D18" i="3"/>
  <c r="C18" i="3"/>
  <c r="G32" i="3"/>
  <c r="E32" i="3"/>
  <c r="F32" i="3"/>
  <c r="D32" i="3"/>
  <c r="C32" i="3"/>
  <c r="B32" i="3"/>
  <c r="A32" i="3"/>
  <c r="E19" i="3"/>
  <c r="F19" i="3"/>
  <c r="D19" i="3"/>
  <c r="C19" i="3"/>
  <c r="B19" i="3"/>
  <c r="A19" i="3"/>
  <c r="G35" i="3"/>
  <c r="E35" i="3"/>
  <c r="F35" i="3"/>
  <c r="D35" i="3"/>
  <c r="C35" i="3"/>
  <c r="B35" i="3"/>
  <c r="A35" i="3"/>
  <c r="G22" i="3"/>
  <c r="E22" i="3"/>
  <c r="F22" i="3"/>
  <c r="D22" i="3"/>
  <c r="C22" i="3"/>
  <c r="B22" i="3"/>
  <c r="A22" i="3"/>
  <c r="G50" i="3"/>
  <c r="E50" i="3"/>
  <c r="D50" i="3"/>
  <c r="F50" i="3"/>
  <c r="A50" i="3"/>
  <c r="C50" i="3"/>
  <c r="B50" i="3"/>
  <c r="K12" i="2"/>
  <c r="G5" i="3" s="1"/>
  <c r="L12" i="2"/>
  <c r="M15" i="2"/>
  <c r="E10" i="3"/>
  <c r="G10" i="3"/>
  <c r="F10" i="3"/>
  <c r="D10" i="3"/>
  <c r="C10" i="3"/>
  <c r="B10" i="3"/>
  <c r="A10" i="3"/>
  <c r="G38" i="3"/>
  <c r="E38" i="3"/>
  <c r="F38" i="3"/>
  <c r="D38" i="3"/>
  <c r="C38" i="3"/>
  <c r="B38" i="3"/>
  <c r="A38" i="3"/>
  <c r="G25" i="3"/>
  <c r="E25" i="3"/>
  <c r="F25" i="3"/>
  <c r="D25" i="3"/>
  <c r="C25" i="3"/>
  <c r="B25" i="3"/>
  <c r="A25" i="3"/>
  <c r="G44" i="3"/>
  <c r="E44" i="3"/>
  <c r="D44" i="3"/>
  <c r="F44" i="3"/>
  <c r="A44" i="3"/>
  <c r="C44" i="3"/>
  <c r="B44" i="3"/>
  <c r="G27" i="3"/>
  <c r="E27" i="3"/>
  <c r="A27" i="3"/>
  <c r="F27" i="3"/>
  <c r="B27" i="3"/>
  <c r="D27" i="3"/>
  <c r="C27" i="3"/>
  <c r="F6" i="3"/>
  <c r="D6" i="3"/>
  <c r="C6" i="3"/>
  <c r="B6" i="3"/>
  <c r="A6" i="3"/>
  <c r="G6" i="3"/>
  <c r="E6" i="3"/>
  <c r="F9" i="3"/>
  <c r="E9" i="3"/>
  <c r="D9" i="3"/>
  <c r="C9" i="3"/>
  <c r="B9" i="3"/>
  <c r="A9" i="3"/>
  <c r="G41" i="3"/>
  <c r="E41" i="3"/>
  <c r="F41" i="3"/>
  <c r="D41" i="3"/>
  <c r="C41" i="3"/>
  <c r="B41" i="3"/>
  <c r="A41" i="3"/>
  <c r="G28" i="3"/>
  <c r="E28" i="3"/>
  <c r="F28" i="3"/>
  <c r="D28" i="3"/>
  <c r="C28" i="3"/>
  <c r="B28" i="3"/>
  <c r="A28" i="3"/>
  <c r="F5" i="3"/>
  <c r="D5" i="3"/>
  <c r="C5" i="3"/>
  <c r="B5" i="3"/>
  <c r="A5" i="3"/>
  <c r="E5" i="3"/>
  <c r="G26" i="3"/>
  <c r="E26" i="3"/>
  <c r="F26" i="3"/>
  <c r="D26" i="3"/>
  <c r="C26" i="3"/>
  <c r="B26" i="3"/>
  <c r="A26" i="3"/>
  <c r="E15" i="3"/>
  <c r="F15" i="3"/>
  <c r="D15" i="3"/>
  <c r="C15" i="3"/>
  <c r="B15" i="3"/>
  <c r="A15" i="3"/>
  <c r="G43" i="3"/>
  <c r="E43" i="3"/>
  <c r="D43" i="3"/>
  <c r="F43" i="3"/>
  <c r="C43" i="3"/>
  <c r="B43" i="3"/>
  <c r="A43" i="3"/>
  <c r="G31" i="3"/>
  <c r="E31" i="3"/>
  <c r="F31" i="3"/>
  <c r="D31" i="3"/>
  <c r="C31" i="3"/>
  <c r="B31" i="3"/>
  <c r="A31" i="3"/>
  <c r="G33" i="3"/>
  <c r="E33" i="3"/>
  <c r="A33" i="3"/>
  <c r="F33" i="3"/>
  <c r="B33" i="3"/>
  <c r="C33" i="3"/>
  <c r="D33" i="3"/>
  <c r="E14" i="3"/>
  <c r="C14" i="3"/>
  <c r="B14" i="3"/>
  <c r="A14" i="3"/>
  <c r="D14" i="3"/>
  <c r="G14" i="3"/>
  <c r="F14" i="3"/>
  <c r="E13" i="3"/>
  <c r="A13" i="3"/>
  <c r="G13" i="3"/>
  <c r="F13" i="3"/>
  <c r="B13" i="3"/>
  <c r="C13" i="3"/>
  <c r="D13" i="3"/>
  <c r="G45" i="3"/>
  <c r="E45" i="3"/>
  <c r="D45" i="3"/>
  <c r="F45" i="3"/>
  <c r="C45" i="3"/>
  <c r="B45" i="3"/>
  <c r="A45" i="3"/>
  <c r="G34" i="3"/>
  <c r="E34" i="3"/>
  <c r="F34" i="3"/>
  <c r="D34" i="3"/>
  <c r="C34" i="3"/>
  <c r="B34" i="3"/>
  <c r="A34" i="3"/>
  <c r="G21" i="3"/>
  <c r="E21" i="3"/>
  <c r="A21" i="3"/>
  <c r="F21" i="3"/>
  <c r="B21" i="3"/>
  <c r="D21" i="3"/>
  <c r="C21" i="3"/>
  <c r="G36" i="3"/>
  <c r="E36" i="3"/>
  <c r="A36" i="3"/>
  <c r="F36" i="3"/>
  <c r="B36" i="3"/>
  <c r="D36" i="3"/>
  <c r="C36" i="3"/>
  <c r="D6" i="1"/>
  <c r="E12" i="3"/>
  <c r="G12" i="3"/>
  <c r="F12" i="3"/>
  <c r="D12" i="3"/>
  <c r="C12" i="3"/>
  <c r="B12" i="3"/>
  <c r="A12" i="3"/>
  <c r="G47" i="3"/>
  <c r="E47" i="3"/>
  <c r="D47" i="3"/>
  <c r="F47" i="3"/>
  <c r="C47" i="3"/>
  <c r="B47" i="3"/>
  <c r="A47" i="3"/>
  <c r="G37" i="3"/>
  <c r="E37" i="3"/>
  <c r="F37" i="3"/>
  <c r="D37" i="3"/>
  <c r="C37" i="3"/>
  <c r="B37" i="3"/>
  <c r="A37" i="3"/>
  <c r="G24" i="3"/>
  <c r="E24" i="3"/>
  <c r="A24" i="3"/>
  <c r="F24" i="3"/>
  <c r="B24" i="3"/>
  <c r="D24" i="3"/>
  <c r="C24" i="3"/>
  <c r="G17" i="3"/>
  <c r="E17" i="3"/>
  <c r="F17" i="3"/>
  <c r="D17" i="3"/>
  <c r="C17" i="3"/>
  <c r="B17" i="3"/>
  <c r="A17" i="3"/>
  <c r="G49" i="3"/>
  <c r="E49" i="3"/>
  <c r="D49" i="3"/>
  <c r="F49" i="3"/>
  <c r="C49" i="3"/>
  <c r="B49" i="3"/>
  <c r="A49" i="3"/>
  <c r="G40" i="3"/>
  <c r="E40" i="3"/>
  <c r="F40" i="3"/>
  <c r="D40" i="3"/>
  <c r="C40" i="3"/>
  <c r="B40" i="3"/>
  <c r="A40" i="3"/>
  <c r="G48" i="3"/>
  <c r="E48" i="3"/>
  <c r="D48" i="3"/>
  <c r="F48" i="3"/>
  <c r="A48" i="3"/>
  <c r="B48" i="3"/>
  <c r="C48" i="3"/>
  <c r="L14" i="2"/>
  <c r="F7" i="3"/>
  <c r="E7" i="3"/>
  <c r="D7" i="3"/>
  <c r="C7" i="3"/>
  <c r="B7" i="3"/>
  <c r="A7" i="3"/>
  <c r="G7" i="3"/>
  <c r="G20" i="3"/>
  <c r="E20" i="3"/>
  <c r="F20" i="3"/>
  <c r="D20" i="3"/>
  <c r="C20" i="3"/>
  <c r="B20" i="3"/>
  <c r="A20" i="3"/>
  <c r="E11" i="3"/>
  <c r="G11" i="3"/>
  <c r="F11" i="3"/>
  <c r="D11" i="3"/>
  <c r="C11" i="3"/>
  <c r="B11" i="3"/>
  <c r="A11" i="3"/>
  <c r="F3" i="3"/>
  <c r="E3" i="3"/>
  <c r="D3" i="3"/>
  <c r="C3" i="3"/>
  <c r="B3" i="3"/>
  <c r="A3" i="3"/>
  <c r="G3" i="3"/>
  <c r="K9" i="2"/>
  <c r="G2" i="3" s="1"/>
  <c r="G30" i="3"/>
  <c r="E30" i="3"/>
  <c r="A30" i="3"/>
  <c r="F30" i="3"/>
  <c r="B30" i="3"/>
  <c r="D30" i="3"/>
  <c r="C30" i="3"/>
  <c r="AA31" i="3" l="1"/>
  <c r="O31" i="3" s="1"/>
  <c r="I174" i="1" s="1"/>
  <c r="AB5" i="3"/>
  <c r="T5" i="3" s="1"/>
  <c r="AB2" i="3"/>
  <c r="U2" i="3" s="1"/>
  <c r="AB15" i="3"/>
  <c r="T15" i="3" s="1"/>
  <c r="AB37" i="3"/>
  <c r="U37" i="3" s="1"/>
  <c r="AA9" i="3"/>
  <c r="M9" i="3" s="1"/>
  <c r="G152" i="1" s="1"/>
  <c r="AB27" i="3"/>
  <c r="U27" i="3" s="1"/>
  <c r="AB29" i="3"/>
  <c r="S29" i="3" s="1"/>
  <c r="AA28" i="3"/>
  <c r="N28" i="3" s="1"/>
  <c r="AB40" i="3"/>
  <c r="U40" i="3" s="1"/>
  <c r="AB30" i="3"/>
  <c r="U30" i="3" s="1"/>
  <c r="AA36" i="3"/>
  <c r="O36" i="3" s="1"/>
  <c r="I179" i="1" s="1"/>
  <c r="AB32" i="3"/>
  <c r="S32" i="3" s="1"/>
  <c r="AA22" i="3"/>
  <c r="O22" i="3" s="1"/>
  <c r="I165" i="1" s="1"/>
  <c r="AA38" i="3"/>
  <c r="O38" i="3" s="1"/>
  <c r="I181" i="1" s="1"/>
  <c r="AA44" i="3"/>
  <c r="AA5" i="3"/>
  <c r="AA33" i="3"/>
  <c r="AA35" i="3"/>
  <c r="AA25" i="3"/>
  <c r="AB4" i="3"/>
  <c r="AB34" i="3"/>
  <c r="AB24" i="3"/>
  <c r="AB26" i="3"/>
  <c r="AA6" i="3"/>
  <c r="AA13" i="3"/>
  <c r="AA43" i="3"/>
  <c r="AA34" i="3"/>
  <c r="AB7" i="3"/>
  <c r="AB8" i="3"/>
  <c r="AB33" i="3"/>
  <c r="AB35" i="3"/>
  <c r="AA39" i="3"/>
  <c r="AA4" i="3"/>
  <c r="AA42" i="3"/>
  <c r="AA51" i="3"/>
  <c r="AA45" i="3"/>
  <c r="AA37" i="3"/>
  <c r="AB9" i="3"/>
  <c r="AB42" i="3"/>
  <c r="AB36" i="3"/>
  <c r="AB38" i="3"/>
  <c r="AA8" i="3"/>
  <c r="AA3" i="3"/>
  <c r="AA12" i="3"/>
  <c r="AA47" i="3"/>
  <c r="AA40" i="3"/>
  <c r="AB10" i="3"/>
  <c r="AB44" i="3"/>
  <c r="AB39" i="3"/>
  <c r="AB41" i="3"/>
  <c r="AA50" i="3"/>
  <c r="AA14" i="3"/>
  <c r="AA17" i="3"/>
  <c r="AA49" i="3"/>
  <c r="AB16" i="3"/>
  <c r="AB46" i="3"/>
  <c r="AB13" i="3"/>
  <c r="AB43" i="3"/>
  <c r="AA41" i="3"/>
  <c r="AA15" i="3"/>
  <c r="AA18" i="3"/>
  <c r="AA20" i="3"/>
  <c r="AA11" i="3"/>
  <c r="AB19" i="3"/>
  <c r="AB48" i="3"/>
  <c r="AB51" i="3"/>
  <c r="AB45" i="3"/>
  <c r="AA48" i="3"/>
  <c r="AA21" i="3"/>
  <c r="AA23" i="3"/>
  <c r="AA10" i="3"/>
  <c r="AB22" i="3"/>
  <c r="AB50" i="3"/>
  <c r="AB12" i="3"/>
  <c r="AB47" i="3"/>
  <c r="AA2" i="3"/>
  <c r="AA24" i="3"/>
  <c r="AA26" i="3"/>
  <c r="AA16" i="3"/>
  <c r="AB25" i="3"/>
  <c r="AB14" i="3"/>
  <c r="AB17" i="3"/>
  <c r="AB49" i="3"/>
  <c r="AA7" i="3"/>
  <c r="AA27" i="3"/>
  <c r="AA29" i="3"/>
  <c r="AA19" i="3"/>
  <c r="AB6" i="3"/>
  <c r="AB28" i="3"/>
  <c r="AB18" i="3"/>
  <c r="AB20" i="3"/>
  <c r="AB11" i="3"/>
  <c r="AA46" i="3"/>
  <c r="AA30" i="3"/>
  <c r="AA32" i="3"/>
  <c r="AB3" i="3"/>
  <c r="AB31" i="3"/>
  <c r="AB21" i="3"/>
  <c r="AB23" i="3"/>
  <c r="K31" i="3" l="1"/>
  <c r="T29" i="3"/>
  <c r="M31" i="3"/>
  <c r="G174" i="1" s="1"/>
  <c r="J31" i="3"/>
  <c r="I31" i="3"/>
  <c r="C174" i="1" s="1"/>
  <c r="L31" i="3"/>
  <c r="E174" i="1" s="1"/>
  <c r="N31" i="3"/>
  <c r="Q29" i="3"/>
  <c r="U29" i="3"/>
  <c r="S5" i="3"/>
  <c r="U5" i="3"/>
  <c r="R5" i="3"/>
  <c r="Q5" i="3"/>
  <c r="Q40" i="3"/>
  <c r="S15" i="3"/>
  <c r="R29" i="3"/>
  <c r="Q2" i="3"/>
  <c r="S2" i="3"/>
  <c r="R2" i="3"/>
  <c r="T2" i="3"/>
  <c r="S40" i="3"/>
  <c r="Q30" i="3"/>
  <c r="U15" i="3"/>
  <c r="Q37" i="3"/>
  <c r="T37" i="3"/>
  <c r="K28" i="3"/>
  <c r="Q15" i="3"/>
  <c r="R37" i="3"/>
  <c r="J28" i="3"/>
  <c r="S37" i="3"/>
  <c r="T30" i="3"/>
  <c r="I28" i="3"/>
  <c r="C171" i="1" s="1"/>
  <c r="R15" i="3"/>
  <c r="R30" i="3"/>
  <c r="L28" i="3"/>
  <c r="E171" i="1" s="1"/>
  <c r="S30" i="3"/>
  <c r="U32" i="3"/>
  <c r="T40" i="3"/>
  <c r="J36" i="3"/>
  <c r="M28" i="3"/>
  <c r="G171" i="1" s="1"/>
  <c r="K36" i="3"/>
  <c r="O28" i="3"/>
  <c r="I171" i="1" s="1"/>
  <c r="N22" i="3"/>
  <c r="I36" i="3"/>
  <c r="C179" i="1" s="1"/>
  <c r="R27" i="3"/>
  <c r="Q32" i="3"/>
  <c r="L36" i="3"/>
  <c r="E179" i="1" s="1"/>
  <c r="Q27" i="3"/>
  <c r="R32" i="3"/>
  <c r="M36" i="3"/>
  <c r="G179" i="1" s="1"/>
  <c r="S27" i="3"/>
  <c r="T32" i="3"/>
  <c r="N36" i="3"/>
  <c r="T27" i="3"/>
  <c r="I22" i="3"/>
  <c r="C165" i="1" s="1"/>
  <c r="J38" i="3"/>
  <c r="M38" i="3"/>
  <c r="G181" i="1" s="1"/>
  <c r="R40" i="3"/>
  <c r="I38" i="3"/>
  <c r="C181" i="1" s="1"/>
  <c r="M22" i="3"/>
  <c r="G165" i="1" s="1"/>
  <c r="I9" i="3"/>
  <c r="C152" i="1" s="1"/>
  <c r="L38" i="3"/>
  <c r="E181" i="1" s="1"/>
  <c r="J9" i="3"/>
  <c r="K9" i="3"/>
  <c r="L9" i="3"/>
  <c r="E152" i="1" s="1"/>
  <c r="N9" i="3"/>
  <c r="K38" i="3"/>
  <c r="O9" i="3"/>
  <c r="I152" i="1" s="1"/>
  <c r="N38" i="3"/>
  <c r="J22" i="3"/>
  <c r="K22" i="3"/>
  <c r="L22" i="3"/>
  <c r="E165" i="1" s="1"/>
  <c r="U33" i="3"/>
  <c r="S33" i="3"/>
  <c r="Q33" i="3"/>
  <c r="R33" i="3"/>
  <c r="T33" i="3"/>
  <c r="L17" i="3"/>
  <c r="E160" i="1" s="1"/>
  <c r="K17" i="3"/>
  <c r="J17" i="3"/>
  <c r="I17" i="3"/>
  <c r="C160" i="1" s="1"/>
  <c r="M17" i="3"/>
  <c r="G160" i="1" s="1"/>
  <c r="O17" i="3"/>
  <c r="I160" i="1" s="1"/>
  <c r="N17" i="3"/>
  <c r="L32" i="3"/>
  <c r="E175" i="1" s="1"/>
  <c r="K32" i="3"/>
  <c r="J32" i="3"/>
  <c r="I32" i="3"/>
  <c r="C175" i="1" s="1"/>
  <c r="M32" i="3"/>
  <c r="G175" i="1" s="1"/>
  <c r="O32" i="3"/>
  <c r="I175" i="1" s="1"/>
  <c r="N32" i="3"/>
  <c r="T6" i="3"/>
  <c r="R6" i="3"/>
  <c r="Q6" i="3"/>
  <c r="U6" i="3"/>
  <c r="S6" i="3"/>
  <c r="S14" i="3"/>
  <c r="R14" i="3"/>
  <c r="Q14" i="3"/>
  <c r="T14" i="3"/>
  <c r="U14" i="3"/>
  <c r="O21" i="3"/>
  <c r="I164" i="1" s="1"/>
  <c r="N21" i="3"/>
  <c r="M21" i="3"/>
  <c r="G164" i="1" s="1"/>
  <c r="L21" i="3"/>
  <c r="E164" i="1" s="1"/>
  <c r="K21" i="3"/>
  <c r="J21" i="3"/>
  <c r="I21" i="3"/>
  <c r="C164" i="1" s="1"/>
  <c r="L20" i="3"/>
  <c r="E163" i="1" s="1"/>
  <c r="K20" i="3"/>
  <c r="J20" i="3"/>
  <c r="I20" i="3"/>
  <c r="C163" i="1" s="1"/>
  <c r="M20" i="3"/>
  <c r="G163" i="1" s="1"/>
  <c r="N20" i="3"/>
  <c r="O20" i="3"/>
  <c r="I163" i="1" s="1"/>
  <c r="S16" i="3"/>
  <c r="U16" i="3"/>
  <c r="T16" i="3"/>
  <c r="R16" i="3"/>
  <c r="Q16" i="3"/>
  <c r="U44" i="3"/>
  <c r="S44" i="3"/>
  <c r="R44" i="3"/>
  <c r="Q44" i="3"/>
  <c r="T44" i="3"/>
  <c r="J45" i="3"/>
  <c r="I45" i="3"/>
  <c r="C188" i="1" s="1"/>
  <c r="O45" i="3"/>
  <c r="I188" i="1" s="1"/>
  <c r="N45" i="3"/>
  <c r="K45" i="3"/>
  <c r="M45" i="3"/>
  <c r="G188" i="1" s="1"/>
  <c r="L45" i="3"/>
  <c r="E188" i="1" s="1"/>
  <c r="U35" i="3"/>
  <c r="S35" i="3"/>
  <c r="T35" i="3"/>
  <c r="R35" i="3"/>
  <c r="Q35" i="3"/>
  <c r="O30" i="3"/>
  <c r="I173" i="1" s="1"/>
  <c r="N30" i="3"/>
  <c r="M30" i="3"/>
  <c r="G173" i="1" s="1"/>
  <c r="L30" i="3"/>
  <c r="E173" i="1" s="1"/>
  <c r="K30" i="3"/>
  <c r="J30" i="3"/>
  <c r="I30" i="3"/>
  <c r="C173" i="1" s="1"/>
  <c r="O27" i="3"/>
  <c r="I170" i="1" s="1"/>
  <c r="N27" i="3"/>
  <c r="M27" i="3"/>
  <c r="G170" i="1" s="1"/>
  <c r="L27" i="3"/>
  <c r="E170" i="1" s="1"/>
  <c r="K27" i="3"/>
  <c r="J27" i="3"/>
  <c r="I27" i="3"/>
  <c r="C170" i="1" s="1"/>
  <c r="L26" i="3"/>
  <c r="E169" i="1" s="1"/>
  <c r="K26" i="3"/>
  <c r="J26" i="3"/>
  <c r="I26" i="3"/>
  <c r="C169" i="1" s="1"/>
  <c r="M26" i="3"/>
  <c r="G169" i="1" s="1"/>
  <c r="O26" i="3"/>
  <c r="I169" i="1" s="1"/>
  <c r="N26" i="3"/>
  <c r="L41" i="3"/>
  <c r="E184" i="1" s="1"/>
  <c r="K41" i="3"/>
  <c r="J41" i="3"/>
  <c r="I41" i="3"/>
  <c r="C184" i="1" s="1"/>
  <c r="M41" i="3"/>
  <c r="G184" i="1" s="1"/>
  <c r="O41" i="3"/>
  <c r="I184" i="1" s="1"/>
  <c r="N41" i="3"/>
  <c r="O14" i="3"/>
  <c r="I157" i="1" s="1"/>
  <c r="N14" i="3"/>
  <c r="M14" i="3"/>
  <c r="G157" i="1" s="1"/>
  <c r="L14" i="3"/>
  <c r="E157" i="1" s="1"/>
  <c r="K14" i="3"/>
  <c r="J14" i="3"/>
  <c r="I14" i="3"/>
  <c r="C157" i="1" s="1"/>
  <c r="J47" i="3"/>
  <c r="I47" i="3"/>
  <c r="C190" i="1" s="1"/>
  <c r="O47" i="3"/>
  <c r="I190" i="1" s="1"/>
  <c r="N47" i="3"/>
  <c r="K47" i="3"/>
  <c r="M47" i="3"/>
  <c r="G190" i="1" s="1"/>
  <c r="L47" i="3"/>
  <c r="E190" i="1" s="1"/>
  <c r="O4" i="3"/>
  <c r="I147" i="1" s="1"/>
  <c r="N4" i="3"/>
  <c r="M4" i="3"/>
  <c r="G147" i="1" s="1"/>
  <c r="L4" i="3"/>
  <c r="E147" i="1" s="1"/>
  <c r="J4" i="3"/>
  <c r="I4" i="3"/>
  <c r="C147" i="1" s="1"/>
  <c r="K4" i="3"/>
  <c r="T7" i="3"/>
  <c r="S7" i="3"/>
  <c r="R7" i="3"/>
  <c r="Q7" i="3"/>
  <c r="U7" i="3"/>
  <c r="U26" i="3"/>
  <c r="S26" i="3"/>
  <c r="T26" i="3"/>
  <c r="R26" i="3"/>
  <c r="Q26" i="3"/>
  <c r="O48" i="3"/>
  <c r="I191" i="1" s="1"/>
  <c r="N48" i="3"/>
  <c r="M48" i="3"/>
  <c r="G191" i="1" s="1"/>
  <c r="L48" i="3"/>
  <c r="E191" i="1" s="1"/>
  <c r="K48" i="3"/>
  <c r="J48" i="3"/>
  <c r="I48" i="3"/>
  <c r="C191" i="1" s="1"/>
  <c r="O15" i="3"/>
  <c r="I158" i="1" s="1"/>
  <c r="N15" i="3"/>
  <c r="M15" i="3"/>
  <c r="G158" i="1" s="1"/>
  <c r="L15" i="3"/>
  <c r="E158" i="1" s="1"/>
  <c r="K15" i="3"/>
  <c r="I15" i="3"/>
  <c r="C158" i="1" s="1"/>
  <c r="J15" i="3"/>
  <c r="O7" i="3"/>
  <c r="I150" i="1" s="1"/>
  <c r="N7" i="3"/>
  <c r="M7" i="3"/>
  <c r="G150" i="1" s="1"/>
  <c r="L7" i="3"/>
  <c r="E150" i="1" s="1"/>
  <c r="K7" i="3"/>
  <c r="J7" i="3"/>
  <c r="I7" i="3"/>
  <c r="C150" i="1" s="1"/>
  <c r="O24" i="3"/>
  <c r="I167" i="1" s="1"/>
  <c r="N24" i="3"/>
  <c r="M24" i="3"/>
  <c r="G167" i="1" s="1"/>
  <c r="L24" i="3"/>
  <c r="E167" i="1" s="1"/>
  <c r="K24" i="3"/>
  <c r="J24" i="3"/>
  <c r="I24" i="3"/>
  <c r="C167" i="1" s="1"/>
  <c r="O50" i="3"/>
  <c r="I193" i="1" s="1"/>
  <c r="N50" i="3"/>
  <c r="M50" i="3"/>
  <c r="G193" i="1" s="1"/>
  <c r="L50" i="3"/>
  <c r="E193" i="1" s="1"/>
  <c r="K50" i="3"/>
  <c r="J50" i="3"/>
  <c r="I50" i="3"/>
  <c r="C193" i="1" s="1"/>
  <c r="M12" i="3"/>
  <c r="G155" i="1" s="1"/>
  <c r="L12" i="3"/>
  <c r="E155" i="1" s="1"/>
  <c r="K12" i="3"/>
  <c r="J12" i="3"/>
  <c r="I12" i="3"/>
  <c r="C155" i="1" s="1"/>
  <c r="N12" i="3"/>
  <c r="O12" i="3"/>
  <c r="I155" i="1" s="1"/>
  <c r="O39" i="3"/>
  <c r="I182" i="1" s="1"/>
  <c r="N39" i="3"/>
  <c r="M39" i="3"/>
  <c r="G182" i="1" s="1"/>
  <c r="L39" i="3"/>
  <c r="E182" i="1" s="1"/>
  <c r="K39" i="3"/>
  <c r="J39" i="3"/>
  <c r="I39" i="3"/>
  <c r="C182" i="1" s="1"/>
  <c r="O34" i="3"/>
  <c r="I177" i="1" s="1"/>
  <c r="N34" i="3"/>
  <c r="M34" i="3"/>
  <c r="G177" i="1" s="1"/>
  <c r="L34" i="3"/>
  <c r="E177" i="1" s="1"/>
  <c r="I34" i="3"/>
  <c r="C177" i="1" s="1"/>
  <c r="K34" i="3"/>
  <c r="J34" i="3"/>
  <c r="U24" i="3"/>
  <c r="S24" i="3"/>
  <c r="Q24" i="3"/>
  <c r="R24" i="3"/>
  <c r="T24" i="3"/>
  <c r="J51" i="3"/>
  <c r="I51" i="3"/>
  <c r="C194" i="1" s="1"/>
  <c r="O51" i="3"/>
  <c r="I194" i="1" s="1"/>
  <c r="N51" i="3"/>
  <c r="K51" i="3"/>
  <c r="M51" i="3"/>
  <c r="G194" i="1" s="1"/>
  <c r="L51" i="3"/>
  <c r="E194" i="1" s="1"/>
  <c r="O42" i="3"/>
  <c r="I185" i="1" s="1"/>
  <c r="N42" i="3"/>
  <c r="M42" i="3"/>
  <c r="G185" i="1" s="1"/>
  <c r="L42" i="3"/>
  <c r="E185" i="1" s="1"/>
  <c r="K42" i="3"/>
  <c r="J42" i="3"/>
  <c r="I42" i="3"/>
  <c r="C185" i="1" s="1"/>
  <c r="K2" i="3"/>
  <c r="I2" i="3"/>
  <c r="C145" i="1" s="1"/>
  <c r="L2" i="3"/>
  <c r="E145" i="1" s="1"/>
  <c r="O2" i="3"/>
  <c r="I145" i="1" s="1"/>
  <c r="N2" i="3"/>
  <c r="M2" i="3"/>
  <c r="G145" i="1" s="1"/>
  <c r="J2" i="3"/>
  <c r="I3" i="3"/>
  <c r="C146" i="1" s="1"/>
  <c r="O3" i="3"/>
  <c r="I146" i="1" s="1"/>
  <c r="N3" i="3"/>
  <c r="J3" i="3"/>
  <c r="M3" i="3"/>
  <c r="G146" i="1" s="1"/>
  <c r="L3" i="3"/>
  <c r="E146" i="1" s="1"/>
  <c r="K3" i="3"/>
  <c r="J43" i="3"/>
  <c r="I43" i="3"/>
  <c r="C186" i="1" s="1"/>
  <c r="O43" i="3"/>
  <c r="I186" i="1" s="1"/>
  <c r="N43" i="3"/>
  <c r="K43" i="3"/>
  <c r="L43" i="3"/>
  <c r="E186" i="1" s="1"/>
  <c r="M43" i="3"/>
  <c r="G186" i="1" s="1"/>
  <c r="U34" i="3"/>
  <c r="S34" i="3"/>
  <c r="T34" i="3"/>
  <c r="R34" i="3"/>
  <c r="Q34" i="3"/>
  <c r="O18" i="3"/>
  <c r="I161" i="1" s="1"/>
  <c r="N18" i="3"/>
  <c r="M18" i="3"/>
  <c r="G161" i="1" s="1"/>
  <c r="L18" i="3"/>
  <c r="E161" i="1" s="1"/>
  <c r="K18" i="3"/>
  <c r="J18" i="3"/>
  <c r="I18" i="3"/>
  <c r="C161" i="1" s="1"/>
  <c r="T8" i="3"/>
  <c r="S8" i="3"/>
  <c r="R8" i="3"/>
  <c r="Q8" i="3"/>
  <c r="U8" i="3"/>
  <c r="U47" i="3"/>
  <c r="S47" i="3"/>
  <c r="R47" i="3"/>
  <c r="T47" i="3"/>
  <c r="Q47" i="3"/>
  <c r="O8" i="3"/>
  <c r="I151" i="1" s="1"/>
  <c r="N8" i="3"/>
  <c r="M8" i="3"/>
  <c r="G151" i="1" s="1"/>
  <c r="L8" i="3"/>
  <c r="E151" i="1" s="1"/>
  <c r="I8" i="3"/>
  <c r="C151" i="1" s="1"/>
  <c r="K8" i="3"/>
  <c r="J8" i="3"/>
  <c r="O13" i="3"/>
  <c r="I156" i="1" s="1"/>
  <c r="N13" i="3"/>
  <c r="M13" i="3"/>
  <c r="G156" i="1" s="1"/>
  <c r="L13" i="3"/>
  <c r="E156" i="1" s="1"/>
  <c r="K13" i="3"/>
  <c r="J13" i="3"/>
  <c r="I13" i="3"/>
  <c r="C156" i="1" s="1"/>
  <c r="T4" i="3"/>
  <c r="R4" i="3"/>
  <c r="Q4" i="3"/>
  <c r="U4" i="3"/>
  <c r="S4" i="3"/>
  <c r="S10" i="3"/>
  <c r="U10" i="3"/>
  <c r="T10" i="3"/>
  <c r="R10" i="3"/>
  <c r="Q10" i="3"/>
  <c r="I16" i="3"/>
  <c r="C159" i="1" s="1"/>
  <c r="O16" i="3"/>
  <c r="I159" i="1" s="1"/>
  <c r="N16" i="3"/>
  <c r="M16" i="3"/>
  <c r="G159" i="1" s="1"/>
  <c r="J16" i="3"/>
  <c r="L16" i="3"/>
  <c r="E159" i="1" s="1"/>
  <c r="K16" i="3"/>
  <c r="S12" i="3"/>
  <c r="U12" i="3"/>
  <c r="T12" i="3"/>
  <c r="R12" i="3"/>
  <c r="Q12" i="3"/>
  <c r="U45" i="3"/>
  <c r="S45" i="3"/>
  <c r="R45" i="3"/>
  <c r="T45" i="3"/>
  <c r="Q45" i="3"/>
  <c r="U38" i="3"/>
  <c r="S38" i="3"/>
  <c r="T38" i="3"/>
  <c r="R38" i="3"/>
  <c r="Q38" i="3"/>
  <c r="O6" i="3"/>
  <c r="I149" i="1" s="1"/>
  <c r="N6" i="3"/>
  <c r="M6" i="3"/>
  <c r="G149" i="1" s="1"/>
  <c r="L6" i="3"/>
  <c r="E149" i="1" s="1"/>
  <c r="K6" i="3"/>
  <c r="J6" i="3"/>
  <c r="I6" i="3"/>
  <c r="C149" i="1" s="1"/>
  <c r="O25" i="3"/>
  <c r="I168" i="1" s="1"/>
  <c r="N25" i="3"/>
  <c r="M25" i="3"/>
  <c r="G168" i="1" s="1"/>
  <c r="L25" i="3"/>
  <c r="E168" i="1" s="1"/>
  <c r="I25" i="3"/>
  <c r="C168" i="1" s="1"/>
  <c r="J25" i="3"/>
  <c r="K25" i="3"/>
  <c r="O19" i="3"/>
  <c r="I162" i="1" s="1"/>
  <c r="N19" i="3"/>
  <c r="M19" i="3"/>
  <c r="G162" i="1" s="1"/>
  <c r="L19" i="3"/>
  <c r="E162" i="1" s="1"/>
  <c r="I19" i="3"/>
  <c r="C162" i="1" s="1"/>
  <c r="K19" i="3"/>
  <c r="J19" i="3"/>
  <c r="O40" i="3"/>
  <c r="I183" i="1" s="1"/>
  <c r="N40" i="3"/>
  <c r="M40" i="3"/>
  <c r="G183" i="1" s="1"/>
  <c r="L40" i="3"/>
  <c r="E183" i="1" s="1"/>
  <c r="I40" i="3"/>
  <c r="C183" i="1" s="1"/>
  <c r="K40" i="3"/>
  <c r="J40" i="3"/>
  <c r="U23" i="3"/>
  <c r="S23" i="3"/>
  <c r="T23" i="3"/>
  <c r="R23" i="3"/>
  <c r="Q23" i="3"/>
  <c r="S11" i="3"/>
  <c r="U11" i="3"/>
  <c r="T11" i="3"/>
  <c r="R11" i="3"/>
  <c r="Q11" i="3"/>
  <c r="U50" i="3"/>
  <c r="S50" i="3"/>
  <c r="R50" i="3"/>
  <c r="Q50" i="3"/>
  <c r="T50" i="3"/>
  <c r="U51" i="3"/>
  <c r="T51" i="3"/>
  <c r="S51" i="3"/>
  <c r="R51" i="3"/>
  <c r="Q51" i="3"/>
  <c r="U36" i="3"/>
  <c r="S36" i="3"/>
  <c r="Q36" i="3"/>
  <c r="R36" i="3"/>
  <c r="T36" i="3"/>
  <c r="L35" i="3"/>
  <c r="E178" i="1" s="1"/>
  <c r="K35" i="3"/>
  <c r="J35" i="3"/>
  <c r="I35" i="3"/>
  <c r="C178" i="1" s="1"/>
  <c r="M35" i="3"/>
  <c r="G178" i="1" s="1"/>
  <c r="O35" i="3"/>
  <c r="I178" i="1" s="1"/>
  <c r="N35" i="3"/>
  <c r="J49" i="3"/>
  <c r="I49" i="3"/>
  <c r="C192" i="1" s="1"/>
  <c r="O49" i="3"/>
  <c r="I192" i="1" s="1"/>
  <c r="N49" i="3"/>
  <c r="K49" i="3"/>
  <c r="M49" i="3"/>
  <c r="G192" i="1" s="1"/>
  <c r="L49" i="3"/>
  <c r="E192" i="1" s="1"/>
  <c r="O46" i="3"/>
  <c r="I189" i="1" s="1"/>
  <c r="N46" i="3"/>
  <c r="M46" i="3"/>
  <c r="G189" i="1" s="1"/>
  <c r="L46" i="3"/>
  <c r="E189" i="1" s="1"/>
  <c r="K46" i="3"/>
  <c r="J46" i="3"/>
  <c r="I46" i="3"/>
  <c r="C189" i="1" s="1"/>
  <c r="U21" i="3"/>
  <c r="S21" i="3"/>
  <c r="Q21" i="3"/>
  <c r="R21" i="3"/>
  <c r="T21" i="3"/>
  <c r="U20" i="3"/>
  <c r="S20" i="3"/>
  <c r="T20" i="3"/>
  <c r="R20" i="3"/>
  <c r="Q20" i="3"/>
  <c r="U22" i="3"/>
  <c r="S22" i="3"/>
  <c r="T22" i="3"/>
  <c r="R22" i="3"/>
  <c r="Q22" i="3"/>
  <c r="U48" i="3"/>
  <c r="S48" i="3"/>
  <c r="R48" i="3"/>
  <c r="Q48" i="3"/>
  <c r="T48" i="3"/>
  <c r="U43" i="3"/>
  <c r="S43" i="3"/>
  <c r="R43" i="3"/>
  <c r="T43" i="3"/>
  <c r="Q43" i="3"/>
  <c r="U42" i="3"/>
  <c r="S42" i="3"/>
  <c r="R42" i="3"/>
  <c r="Q42" i="3"/>
  <c r="T42" i="3"/>
  <c r="O33" i="3"/>
  <c r="I176" i="1" s="1"/>
  <c r="N33" i="3"/>
  <c r="M33" i="3"/>
  <c r="G176" i="1" s="1"/>
  <c r="L33" i="3"/>
  <c r="E176" i="1" s="1"/>
  <c r="K33" i="3"/>
  <c r="J33" i="3"/>
  <c r="I33" i="3"/>
  <c r="C176" i="1" s="1"/>
  <c r="L29" i="3"/>
  <c r="E172" i="1" s="1"/>
  <c r="K29" i="3"/>
  <c r="J29" i="3"/>
  <c r="I29" i="3"/>
  <c r="C172" i="1" s="1"/>
  <c r="M29" i="3"/>
  <c r="G172" i="1" s="1"/>
  <c r="O29" i="3"/>
  <c r="I172" i="1" s="1"/>
  <c r="N29" i="3"/>
  <c r="U31" i="3"/>
  <c r="S31" i="3"/>
  <c r="T31" i="3"/>
  <c r="R31" i="3"/>
  <c r="Q31" i="3"/>
  <c r="U18" i="3"/>
  <c r="S18" i="3"/>
  <c r="Q18" i="3"/>
  <c r="R18" i="3"/>
  <c r="T18" i="3"/>
  <c r="U49" i="3"/>
  <c r="S49" i="3"/>
  <c r="R49" i="3"/>
  <c r="T49" i="3"/>
  <c r="Q49" i="3"/>
  <c r="I10" i="3"/>
  <c r="C153" i="1" s="1"/>
  <c r="O10" i="3"/>
  <c r="I153" i="1" s="1"/>
  <c r="N10" i="3"/>
  <c r="M10" i="3"/>
  <c r="G153" i="1" s="1"/>
  <c r="J10" i="3"/>
  <c r="L10" i="3"/>
  <c r="E153" i="1" s="1"/>
  <c r="K10" i="3"/>
  <c r="U19" i="3"/>
  <c r="S19" i="3"/>
  <c r="T19" i="3"/>
  <c r="R19" i="3"/>
  <c r="Q19" i="3"/>
  <c r="S13" i="3"/>
  <c r="U13" i="3"/>
  <c r="Q13" i="3"/>
  <c r="T13" i="3"/>
  <c r="R13" i="3"/>
  <c r="U41" i="3"/>
  <c r="S41" i="3"/>
  <c r="T41" i="3"/>
  <c r="R41" i="3"/>
  <c r="Q41" i="3"/>
  <c r="S9" i="3"/>
  <c r="U9" i="3"/>
  <c r="T9" i="3"/>
  <c r="R9" i="3"/>
  <c r="Q9" i="3"/>
  <c r="O5" i="3"/>
  <c r="I148" i="1" s="1"/>
  <c r="N5" i="3"/>
  <c r="M5" i="3"/>
  <c r="G148" i="1" s="1"/>
  <c r="L5" i="3"/>
  <c r="E148" i="1" s="1"/>
  <c r="K5" i="3"/>
  <c r="J5" i="3"/>
  <c r="I5" i="3"/>
  <c r="C148" i="1" s="1"/>
  <c r="U25" i="3"/>
  <c r="S25" i="3"/>
  <c r="T25" i="3"/>
  <c r="R25" i="3"/>
  <c r="Q25" i="3"/>
  <c r="T3" i="3"/>
  <c r="S3" i="3"/>
  <c r="R3" i="3"/>
  <c r="Q3" i="3"/>
  <c r="U3" i="3"/>
  <c r="U28" i="3"/>
  <c r="S28" i="3"/>
  <c r="T28" i="3"/>
  <c r="R28" i="3"/>
  <c r="Q28" i="3"/>
  <c r="U17" i="3"/>
  <c r="S17" i="3"/>
  <c r="T17" i="3"/>
  <c r="R17" i="3"/>
  <c r="Q17" i="3"/>
  <c r="L23" i="3"/>
  <c r="E166" i="1" s="1"/>
  <c r="K23" i="3"/>
  <c r="J23" i="3"/>
  <c r="I23" i="3"/>
  <c r="C166" i="1" s="1"/>
  <c r="M23" i="3"/>
  <c r="G166" i="1" s="1"/>
  <c r="O23" i="3"/>
  <c r="I166" i="1" s="1"/>
  <c r="N23" i="3"/>
  <c r="K11" i="3"/>
  <c r="J11" i="3"/>
  <c r="I11" i="3"/>
  <c r="C154" i="1" s="1"/>
  <c r="O11" i="3"/>
  <c r="I154" i="1" s="1"/>
  <c r="L11" i="3"/>
  <c r="E154" i="1" s="1"/>
  <c r="N11" i="3"/>
  <c r="M11" i="3"/>
  <c r="G154" i="1" s="1"/>
  <c r="U46" i="3"/>
  <c r="S46" i="3"/>
  <c r="R46" i="3"/>
  <c r="Q46" i="3"/>
  <c r="T46" i="3"/>
  <c r="U39" i="3"/>
  <c r="S39" i="3"/>
  <c r="Q39" i="3"/>
  <c r="R39" i="3"/>
  <c r="T39" i="3"/>
  <c r="O37" i="3"/>
  <c r="I180" i="1" s="1"/>
  <c r="N37" i="3"/>
  <c r="M37" i="3"/>
  <c r="G180" i="1" s="1"/>
  <c r="L37" i="3"/>
  <c r="E180" i="1" s="1"/>
  <c r="I37" i="3"/>
  <c r="C180" i="1" s="1"/>
  <c r="K37" i="3"/>
  <c r="J37" i="3"/>
  <c r="O44" i="3"/>
  <c r="I187" i="1" s="1"/>
  <c r="N44" i="3"/>
  <c r="M44" i="3"/>
  <c r="G187" i="1" s="1"/>
  <c r="L44" i="3"/>
  <c r="E187" i="1" s="1"/>
  <c r="K44" i="3"/>
  <c r="J44" i="3"/>
  <c r="I44" i="3"/>
  <c r="C187" i="1" s="1"/>
  <c r="W51" i="3"/>
  <c r="V51" i="3"/>
  <c r="W50" i="3"/>
  <c r="V50" i="3"/>
  <c r="W49" i="3"/>
  <c r="V49" i="3"/>
  <c r="W48" i="3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W4" i="3"/>
  <c r="V4" i="3"/>
  <c r="W3" i="3"/>
  <c r="V3" i="3"/>
  <c r="W2" i="3"/>
  <c r="V2" i="3"/>
  <c r="J59" i="5"/>
  <c r="K59" i="5" s="1"/>
  <c r="H59" i="5"/>
  <c r="I59" i="5" s="1"/>
  <c r="G59" i="5"/>
  <c r="F59" i="5"/>
  <c r="E59" i="5"/>
  <c r="D59" i="5"/>
  <c r="C59" i="5"/>
  <c r="J58" i="5"/>
  <c r="B58" i="5" s="1"/>
  <c r="H58" i="5"/>
  <c r="I58" i="5" s="1"/>
  <c r="G58" i="5"/>
  <c r="F58" i="5"/>
  <c r="E58" i="5"/>
  <c r="D58" i="5"/>
  <c r="C58" i="5"/>
  <c r="J57" i="5"/>
  <c r="B57" i="5" s="1"/>
  <c r="H57" i="5"/>
  <c r="I57" i="5" s="1"/>
  <c r="G57" i="5"/>
  <c r="F57" i="5"/>
  <c r="E57" i="5"/>
  <c r="D57" i="5"/>
  <c r="C57" i="5"/>
  <c r="K56" i="5"/>
  <c r="J56" i="5"/>
  <c r="B56" i="5" s="1"/>
  <c r="H56" i="5"/>
  <c r="I56" i="5" s="1"/>
  <c r="G56" i="5"/>
  <c r="F56" i="5"/>
  <c r="E56" i="5"/>
  <c r="D56" i="5"/>
  <c r="C56" i="5"/>
  <c r="J55" i="5"/>
  <c r="K55" i="5" s="1"/>
  <c r="I55" i="5"/>
  <c r="H55" i="5"/>
  <c r="G55" i="5"/>
  <c r="F55" i="5"/>
  <c r="E55" i="5"/>
  <c r="D55" i="5"/>
  <c r="C55" i="5"/>
  <c r="J54" i="5"/>
  <c r="B54" i="5" s="1"/>
  <c r="H54" i="5"/>
  <c r="I54" i="5" s="1"/>
  <c r="G54" i="5"/>
  <c r="F54" i="5"/>
  <c r="E54" i="5"/>
  <c r="D54" i="5"/>
  <c r="C54" i="5"/>
  <c r="J53" i="5"/>
  <c r="K53" i="5" s="1"/>
  <c r="H53" i="5"/>
  <c r="I53" i="5" s="1"/>
  <c r="G53" i="5"/>
  <c r="F53" i="5"/>
  <c r="E53" i="5"/>
  <c r="D53" i="5"/>
  <c r="C53" i="5"/>
  <c r="J52" i="5"/>
  <c r="B52" i="5" s="1"/>
  <c r="H52" i="5"/>
  <c r="I52" i="5" s="1"/>
  <c r="G52" i="5"/>
  <c r="F52" i="5"/>
  <c r="E52" i="5"/>
  <c r="D52" i="5"/>
  <c r="C52" i="5"/>
  <c r="J51" i="5"/>
  <c r="B51" i="5" s="1"/>
  <c r="H51" i="5"/>
  <c r="I51" i="5" s="1"/>
  <c r="G51" i="5"/>
  <c r="F51" i="5"/>
  <c r="E51" i="5"/>
  <c r="D51" i="5"/>
  <c r="C51" i="5"/>
  <c r="K50" i="5"/>
  <c r="J50" i="5"/>
  <c r="B50" i="5" s="1"/>
  <c r="H50" i="5"/>
  <c r="I50" i="5" s="1"/>
  <c r="G50" i="5"/>
  <c r="F50" i="5"/>
  <c r="E50" i="5"/>
  <c r="D50" i="5"/>
  <c r="C50" i="5"/>
  <c r="J49" i="5"/>
  <c r="K49" i="5" s="1"/>
  <c r="I49" i="5"/>
  <c r="H49" i="5"/>
  <c r="G49" i="5"/>
  <c r="F49" i="5"/>
  <c r="E49" i="5"/>
  <c r="D49" i="5"/>
  <c r="C49" i="5"/>
  <c r="J48" i="5"/>
  <c r="B48" i="5" s="1"/>
  <c r="H48" i="5"/>
  <c r="I48" i="5" s="1"/>
  <c r="G48" i="5"/>
  <c r="F48" i="5"/>
  <c r="E48" i="5"/>
  <c r="D48" i="5"/>
  <c r="C48" i="5"/>
  <c r="J47" i="5"/>
  <c r="K47" i="5" s="1"/>
  <c r="H47" i="5"/>
  <c r="I47" i="5" s="1"/>
  <c r="G47" i="5"/>
  <c r="F47" i="5"/>
  <c r="E47" i="5"/>
  <c r="D47" i="5"/>
  <c r="C47" i="5"/>
  <c r="J46" i="5"/>
  <c r="B46" i="5" s="1"/>
  <c r="H46" i="5"/>
  <c r="I46" i="5" s="1"/>
  <c r="G46" i="5"/>
  <c r="F46" i="5"/>
  <c r="E46" i="5"/>
  <c r="D46" i="5"/>
  <c r="C46" i="5"/>
  <c r="J45" i="5"/>
  <c r="B45" i="5" s="1"/>
  <c r="H45" i="5"/>
  <c r="I45" i="5" s="1"/>
  <c r="G45" i="5"/>
  <c r="F45" i="5"/>
  <c r="E45" i="5"/>
  <c r="D45" i="5"/>
  <c r="C45" i="5"/>
  <c r="K44" i="5"/>
  <c r="J44" i="5"/>
  <c r="B44" i="5" s="1"/>
  <c r="H44" i="5"/>
  <c r="I44" i="5" s="1"/>
  <c r="G44" i="5"/>
  <c r="F44" i="5"/>
  <c r="E44" i="5"/>
  <c r="D44" i="5"/>
  <c r="C44" i="5"/>
  <c r="J43" i="5"/>
  <c r="K43" i="5" s="1"/>
  <c r="I43" i="5"/>
  <c r="H43" i="5"/>
  <c r="G43" i="5"/>
  <c r="F43" i="5"/>
  <c r="E43" i="5"/>
  <c r="D43" i="5"/>
  <c r="C43" i="5"/>
  <c r="J42" i="5"/>
  <c r="B42" i="5" s="1"/>
  <c r="H42" i="5"/>
  <c r="I42" i="5" s="1"/>
  <c r="G42" i="5"/>
  <c r="F42" i="5"/>
  <c r="E42" i="5"/>
  <c r="D42" i="5"/>
  <c r="C42" i="5"/>
  <c r="J41" i="5"/>
  <c r="K41" i="5" s="1"/>
  <c r="H41" i="5"/>
  <c r="I41" i="5" s="1"/>
  <c r="G41" i="5"/>
  <c r="F41" i="5"/>
  <c r="E41" i="5"/>
  <c r="D41" i="5"/>
  <c r="C41" i="5"/>
  <c r="J40" i="5"/>
  <c r="B40" i="5" s="1"/>
  <c r="H40" i="5"/>
  <c r="I40" i="5" s="1"/>
  <c r="G40" i="5"/>
  <c r="F40" i="5"/>
  <c r="E40" i="5"/>
  <c r="D40" i="5"/>
  <c r="C40" i="5"/>
  <c r="J39" i="5"/>
  <c r="B39" i="5" s="1"/>
  <c r="H39" i="5"/>
  <c r="I39" i="5" s="1"/>
  <c r="G39" i="5"/>
  <c r="F39" i="5"/>
  <c r="E39" i="5"/>
  <c r="D39" i="5"/>
  <c r="C39" i="5"/>
  <c r="K38" i="5"/>
  <c r="J38" i="5"/>
  <c r="B38" i="5" s="1"/>
  <c r="H38" i="5"/>
  <c r="I38" i="5" s="1"/>
  <c r="G38" i="5"/>
  <c r="F38" i="5"/>
  <c r="E38" i="5"/>
  <c r="D38" i="5"/>
  <c r="C38" i="5"/>
  <c r="H37" i="5"/>
  <c r="I37" i="5" s="1"/>
  <c r="G37" i="5"/>
  <c r="F37" i="5"/>
  <c r="E37" i="5"/>
  <c r="D37" i="5"/>
  <c r="C37" i="5"/>
  <c r="H36" i="5"/>
  <c r="I36" i="5" s="1"/>
  <c r="G36" i="5"/>
  <c r="F36" i="5"/>
  <c r="E36" i="5"/>
  <c r="J36" i="5" s="1"/>
  <c r="D36" i="5"/>
  <c r="C36" i="5"/>
  <c r="H35" i="5"/>
  <c r="I35" i="5" s="1"/>
  <c r="G35" i="5"/>
  <c r="F35" i="5"/>
  <c r="D35" i="5"/>
  <c r="C35" i="5"/>
  <c r="H34" i="5"/>
  <c r="I34" i="5" s="1"/>
  <c r="G34" i="5"/>
  <c r="F34" i="5"/>
  <c r="D34" i="5"/>
  <c r="C34" i="5"/>
  <c r="H33" i="5"/>
  <c r="I33" i="5" s="1"/>
  <c r="G33" i="5"/>
  <c r="F33" i="5"/>
  <c r="D33" i="5"/>
  <c r="C33" i="5"/>
  <c r="H32" i="5"/>
  <c r="I32" i="5" s="1"/>
  <c r="G32" i="5"/>
  <c r="F32" i="5"/>
  <c r="D32" i="5"/>
  <c r="C32" i="5"/>
  <c r="I31" i="5"/>
  <c r="H31" i="5"/>
  <c r="G31" i="5"/>
  <c r="F31" i="5"/>
  <c r="D31" i="5"/>
  <c r="C31" i="5"/>
  <c r="H30" i="5"/>
  <c r="I30" i="5" s="1"/>
  <c r="G30" i="5"/>
  <c r="F30" i="5"/>
  <c r="D30" i="5"/>
  <c r="C30" i="5"/>
  <c r="H29" i="5"/>
  <c r="F29" i="5"/>
  <c r="D29" i="5"/>
  <c r="C29" i="5"/>
  <c r="H28" i="5"/>
  <c r="I28" i="5" s="1"/>
  <c r="F28" i="5"/>
  <c r="D28" i="5"/>
  <c r="C28" i="5"/>
  <c r="H27" i="5"/>
  <c r="I27" i="5" s="1"/>
  <c r="F27" i="5"/>
  <c r="D27" i="5"/>
  <c r="C27" i="5"/>
  <c r="H26" i="5"/>
  <c r="F26" i="5"/>
  <c r="D26" i="5"/>
  <c r="C26" i="5"/>
  <c r="H25" i="5"/>
  <c r="F25" i="5"/>
  <c r="D25" i="5"/>
  <c r="C25" i="5"/>
  <c r="H24" i="5"/>
  <c r="G24" i="5"/>
  <c r="F24" i="5"/>
  <c r="D24" i="5"/>
  <c r="C24" i="5"/>
  <c r="H23" i="5"/>
  <c r="I23" i="5" s="1"/>
  <c r="F23" i="5"/>
  <c r="D23" i="5"/>
  <c r="C23" i="5"/>
  <c r="H22" i="5"/>
  <c r="F22" i="5"/>
  <c r="D22" i="5"/>
  <c r="C22" i="5"/>
  <c r="H21" i="5"/>
  <c r="I21" i="5" s="1"/>
  <c r="F21" i="5"/>
  <c r="D21" i="5"/>
  <c r="C21" i="5"/>
  <c r="H20" i="5"/>
  <c r="G20" i="5"/>
  <c r="F20" i="5"/>
  <c r="D20" i="5"/>
  <c r="C20" i="5"/>
  <c r="H19" i="5"/>
  <c r="I19" i="5" s="1"/>
  <c r="G19" i="5"/>
  <c r="F19" i="5"/>
  <c r="E19" i="5"/>
  <c r="D19" i="5"/>
  <c r="C19" i="5"/>
  <c r="H18" i="5"/>
  <c r="G18" i="5"/>
  <c r="F18" i="5"/>
  <c r="D18" i="5"/>
  <c r="C18" i="5"/>
  <c r="H17" i="5"/>
  <c r="F17" i="5"/>
  <c r="D17" i="5"/>
  <c r="C17" i="5"/>
  <c r="H16" i="5"/>
  <c r="F16" i="5"/>
  <c r="D16" i="5"/>
  <c r="C16" i="5"/>
  <c r="H15" i="5"/>
  <c r="F15" i="5"/>
  <c r="D15" i="5"/>
  <c r="C15" i="5"/>
  <c r="H14" i="5"/>
  <c r="G14" i="5"/>
  <c r="F14" i="5"/>
  <c r="D14" i="5"/>
  <c r="C14" i="5"/>
  <c r="I13" i="5"/>
  <c r="H13" i="5"/>
  <c r="F13" i="5"/>
  <c r="D13" i="5"/>
  <c r="C13" i="5"/>
  <c r="H12" i="5"/>
  <c r="F12" i="5"/>
  <c r="D12" i="5"/>
  <c r="C12" i="5"/>
  <c r="H11" i="5"/>
  <c r="F11" i="5"/>
  <c r="D11" i="5"/>
  <c r="C11" i="5"/>
  <c r="H10" i="5"/>
  <c r="F10" i="5"/>
  <c r="D10" i="5"/>
  <c r="C10" i="5"/>
  <c r="E7" i="5"/>
  <c r="D7" i="5"/>
  <c r="G28" i="5" s="1"/>
  <c r="C7" i="5"/>
  <c r="E13" i="5" s="1"/>
  <c r="E6" i="5"/>
  <c r="I25" i="5" s="1"/>
  <c r="D6" i="5"/>
  <c r="C6" i="5"/>
  <c r="E5" i="5"/>
  <c r="D5" i="5"/>
  <c r="C5" i="5"/>
  <c r="I10" i="5" l="1"/>
  <c r="I15" i="5"/>
  <c r="I18" i="5"/>
  <c r="I20" i="5"/>
  <c r="E32" i="5"/>
  <c r="J32" i="5" s="1"/>
  <c r="K32" i="5" s="1"/>
  <c r="G27" i="5"/>
  <c r="I11" i="5"/>
  <c r="I16" i="5"/>
  <c r="J19" i="5"/>
  <c r="B19" i="5" s="1"/>
  <c r="G26" i="5"/>
  <c r="K40" i="5"/>
  <c r="K46" i="5"/>
  <c r="K52" i="5"/>
  <c r="K58" i="5"/>
  <c r="I26" i="5"/>
  <c r="I14" i="5"/>
  <c r="B55" i="5"/>
  <c r="G12" i="5"/>
  <c r="I12" i="5"/>
  <c r="I29" i="5"/>
  <c r="B43" i="5"/>
  <c r="I17" i="5"/>
  <c r="I22" i="5"/>
  <c r="I24" i="5"/>
  <c r="B49" i="5"/>
  <c r="J37" i="5"/>
  <c r="B36" i="5"/>
  <c r="K36" i="5"/>
  <c r="B37" i="5"/>
  <c r="K37" i="5"/>
  <c r="B41" i="5"/>
  <c r="B47" i="5"/>
  <c r="B53" i="5"/>
  <c r="B59" i="5"/>
  <c r="E12" i="5"/>
  <c r="G13" i="5"/>
  <c r="J13" i="5" s="1"/>
  <c r="E18" i="5"/>
  <c r="J18" i="5" s="1"/>
  <c r="E24" i="5"/>
  <c r="J24" i="5" s="1"/>
  <c r="G25" i="5"/>
  <c r="E30" i="5"/>
  <c r="J30" i="5" s="1"/>
  <c r="K39" i="5"/>
  <c r="K45" i="5"/>
  <c r="K51" i="5"/>
  <c r="K57" i="5"/>
  <c r="E11" i="5"/>
  <c r="J11" i="5" s="1"/>
  <c r="E23" i="5"/>
  <c r="E17" i="5"/>
  <c r="E35" i="5"/>
  <c r="J35" i="5" s="1"/>
  <c r="E10" i="5"/>
  <c r="G11" i="5"/>
  <c r="E16" i="5"/>
  <c r="J16" i="5" s="1"/>
  <c r="G17" i="5"/>
  <c r="E22" i="5"/>
  <c r="J22" i="5" s="1"/>
  <c r="G23" i="5"/>
  <c r="E28" i="5"/>
  <c r="J28" i="5" s="1"/>
  <c r="G29" i="5"/>
  <c r="E34" i="5"/>
  <c r="J34" i="5" s="1"/>
  <c r="E31" i="5"/>
  <c r="J31" i="5" s="1"/>
  <c r="E29" i="5"/>
  <c r="G10" i="5"/>
  <c r="E15" i="5"/>
  <c r="G16" i="5"/>
  <c r="E21" i="5"/>
  <c r="J21" i="5" s="1"/>
  <c r="G22" i="5"/>
  <c r="E27" i="5"/>
  <c r="J27" i="5" s="1"/>
  <c r="E33" i="5"/>
  <c r="J33" i="5" s="1"/>
  <c r="K42" i="5"/>
  <c r="K48" i="5"/>
  <c r="K54" i="5"/>
  <c r="E25" i="5"/>
  <c r="E14" i="5"/>
  <c r="J14" i="5" s="1"/>
  <c r="G15" i="5"/>
  <c r="E20" i="5"/>
  <c r="J20" i="5" s="1"/>
  <c r="G21" i="5"/>
  <c r="E26" i="5"/>
  <c r="K19" i="5" l="1"/>
  <c r="J26" i="5"/>
  <c r="J12" i="5"/>
  <c r="B12" i="5" s="1"/>
  <c r="K13" i="5"/>
  <c r="K30" i="5"/>
  <c r="K26" i="5"/>
  <c r="K24" i="5"/>
  <c r="K11" i="5"/>
  <c r="K33" i="5"/>
  <c r="K22" i="5"/>
  <c r="K16" i="5"/>
  <c r="J15" i="5"/>
  <c r="J10" i="5"/>
  <c r="K18" i="5"/>
  <c r="K27" i="5"/>
  <c r="K20" i="5"/>
  <c r="K35" i="5"/>
  <c r="K14" i="5"/>
  <c r="J29" i="5"/>
  <c r="J17" i="5"/>
  <c r="K34" i="5"/>
  <c r="K28" i="5"/>
  <c r="K21" i="5"/>
  <c r="J25" i="5"/>
  <c r="K31" i="5"/>
  <c r="J23" i="5"/>
  <c r="B27" i="5" s="1"/>
  <c r="B28" i="5" l="1"/>
  <c r="B18" i="5"/>
  <c r="B20" i="5"/>
  <c r="B33" i="5"/>
  <c r="B34" i="5"/>
  <c r="K12" i="5"/>
  <c r="B11" i="5"/>
  <c r="K17" i="5"/>
  <c r="B17" i="5"/>
  <c r="K10" i="5"/>
  <c r="B10" i="5"/>
  <c r="B32" i="5"/>
  <c r="B30" i="5"/>
  <c r="B24" i="5"/>
  <c r="K29" i="5"/>
  <c r="B29" i="5"/>
  <c r="B26" i="5"/>
  <c r="B16" i="5"/>
  <c r="B22" i="5"/>
  <c r="K23" i="5"/>
  <c r="B23" i="5"/>
  <c r="B15" i="5"/>
  <c r="K15" i="5"/>
  <c r="B31" i="5"/>
  <c r="B14" i="5"/>
  <c r="B25" i="5"/>
  <c r="K25" i="5"/>
  <c r="B35" i="5"/>
  <c r="B21" i="5"/>
  <c r="B13" i="5"/>
</calcChain>
</file>

<file path=xl/sharedStrings.xml><?xml version="1.0" encoding="utf-8"?>
<sst xmlns="http://schemas.openxmlformats.org/spreadsheetml/2006/main" count="260" uniqueCount="226">
  <si>
    <t>個人別 作業実績入力シート</t>
  </si>
  <si>
    <t>目標値（分/個）</t>
  </si>
  <si>
    <t>単位</t>
  </si>
  <si>
    <t>ピッキング目標</t>
  </si>
  <si>
    <t>梱包目標</t>
  </si>
  <si>
    <t>合計目標</t>
  </si>
  <si>
    <t>分/個</t>
  </si>
  <si>
    <t>黄色セルだけ入力してください。
B列=担当者名、C列=ピッキング実績、D列=梱包実績を入力すると、
ダッシュボードには入力した全員（最大50人）が反映されます。</t>
  </si>
  <si>
    <t>ダッシュボードへ戻る</t>
  </si>
  <si>
    <t>No</t>
  </si>
  <si>
    <t>担当者</t>
  </si>
  <si>
    <t>ピッキング実績
（分/個）</t>
  </si>
  <si>
    <t>梱包実績
（分/個）</t>
  </si>
  <si>
    <t>合計実績
（分/個）</t>
  </si>
  <si>
    <t>達成率</t>
  </si>
  <si>
    <t>ピック差
（分）</t>
  </si>
  <si>
    <t>梱包差
（分）</t>
  </si>
  <si>
    <t>目標との差
（分）</t>
  </si>
  <si>
    <t>改善分類</t>
  </si>
  <si>
    <t>コメント</t>
  </si>
  <si>
    <t>優先キー</t>
  </si>
  <si>
    <t>達成率キー</t>
  </si>
  <si>
    <t>表示順_担当者</t>
  </si>
  <si>
    <t>ピック</t>
  </si>
  <si>
    <t>梱包</t>
  </si>
  <si>
    <t>合計</t>
  </si>
  <si>
    <t>分類</t>
  </si>
  <si>
    <t>優先順_担当者</t>
  </si>
  <si>
    <t>合計差</t>
  </si>
  <si>
    <t>達成率順_担当者</t>
  </si>
  <si>
    <t>表示用索引</t>
  </si>
  <si>
    <t>優先順位索引</t>
  </si>
  <si>
    <t>達成率順位索引</t>
  </si>
  <si>
    <t>目標ピック</t>
  </si>
  <si>
    <t>目標梱包</t>
  </si>
  <si>
    <t>x基準</t>
  </si>
  <si>
    <t>y最小</t>
  </si>
  <si>
    <t>x最小</t>
  </si>
  <si>
    <t>y基準</t>
  </si>
  <si>
    <t>個人別 作業達成度と改善分析（Excelテンプレート）</t>
  </si>
  <si>
    <t>入力シートへ移動</t>
  </si>
  <si>
    <t>※このシートが最初に表示されます。入力は「入力」シートの黄色セルへ。</t>
  </si>
  <si>
    <t>目標達成人数</t>
  </si>
  <si>
    <t>要改善人数</t>
  </si>
  <si>
    <t>平均ピック</t>
  </si>
  <si>
    <t>平均梱包</t>
  </si>
  <si>
    <t>平均合計</t>
  </si>
  <si>
    <t>① 個人別 総合達成率</t>
  </si>
  <si>
    <t>入力した全員（最大50人）を表示。達成率が高いほど良い。</t>
  </si>
  <si>
    <t>② ピッキング・梱包 内訳比較（縦棒）</t>
  </si>
  <si>
    <t>入力した全員を縦棒グラフで表示。50人でも崩れにくいよう、名前は縦向き表示。</t>
  </si>
  <si>
    <t>③ 改善優先度マトリクス</t>
  </si>
  <si>
    <t>入力した全員の名前を直接表示。ラベル位置を分散して重なりを軽減。</t>
  </si>
  <si>
    <t>④ 改善優先順位</t>
  </si>
  <si>
    <t>入力した全員を優先度順に一覧表示。</t>
  </si>
  <si>
    <t>順位</t>
  </si>
  <si>
    <t>読み取り方</t>
  </si>
  <si>
    <t>① まず「総合達成率」で全員の達成度を確認</t>
  </si>
  <si>
    <t>② 縦棒グラフでピック・梱包のどちらが遅いかを確認</t>
  </si>
  <si>
    <t>③ マトリクスで全員の位置関係と改善方向を確認</t>
  </si>
  <si>
    <t>④ 最後に改善優先順位で、どの担当者から改善するかを決める</t>
  </si>
  <si>
    <t>個人別 作業達成度と改善分析テンプレート｜使い方</t>
  </si>
  <si>
    <t>手順</t>
  </si>
  <si>
    <t>やること</t>
  </si>
  <si>
    <t>説明</t>
  </si>
  <si>
    <t>1</t>
  </si>
  <si>
    <t>まず入力</t>
  </si>
  <si>
    <t>「入力」シートの黄色セルに、担当者名・ピッキング実績・梱包実績を入力します。最大50人です。</t>
  </si>
  <si>
    <t>2</t>
  </si>
  <si>
    <t>ダッシュボードが最初に開く</t>
  </si>
  <si>
    <t>この版では「ダッシュボード」シートを先頭・アクティブにしてあります。</t>
  </si>
  <si>
    <t>3</t>
  </si>
  <si>
    <t>②は縦棒グラフ</t>
  </si>
  <si>
    <t>②はピッキング・梱包を担当者ごとに並べた縦棒グラフです。目標線（点線）より高い工程が改善対象です。</t>
  </si>
  <si>
    <t>4</t>
  </si>
  <si>
    <t>③マトリクス</t>
  </si>
  <si>
    <t>入力した全員の名前を直接表示します。50人全員だと密集するため、文字サイズは小さめです。</t>
  </si>
  <si>
    <t>5</t>
  </si>
  <si>
    <t>間隔</t>
  </si>
  <si>
    <t>①②③④の間隔を大きく空け、下にスクロールしながら確認する設計です。</t>
  </si>
  <si>
    <t>6</t>
  </si>
  <si>
    <t>表示倍率</t>
  </si>
  <si>
    <t>70%前後推奨です。Excelで保存し直すと表示が安定します。</t>
  </si>
  <si>
    <t>表示順キー</t>
  </si>
  <si>
    <t>達成率</t>
    <phoneticPr fontId="11"/>
  </si>
  <si>
    <t>佐藤　辰成</t>
    <rPh sb="0" eb="2">
      <t>サトウ</t>
    </rPh>
    <rPh sb="3" eb="4">
      <t>タツ</t>
    </rPh>
    <rPh sb="4" eb="5">
      <t>ナリ</t>
    </rPh>
    <phoneticPr fontId="3"/>
  </si>
  <si>
    <t>河野　忠</t>
    <rPh sb="0" eb="2">
      <t>コウノ</t>
    </rPh>
    <rPh sb="3" eb="4">
      <t>タダシ</t>
    </rPh>
    <phoneticPr fontId="3"/>
  </si>
  <si>
    <t>中納　沙織</t>
    <rPh sb="0" eb="1">
      <t>ナカ</t>
    </rPh>
    <rPh sb="1" eb="2">
      <t>ノウ</t>
    </rPh>
    <rPh sb="3" eb="5">
      <t>サオリ</t>
    </rPh>
    <phoneticPr fontId="5"/>
  </si>
  <si>
    <t>澤田　凌</t>
    <rPh sb="0" eb="2">
      <t>サワダ</t>
    </rPh>
    <rPh sb="3" eb="4">
      <t>リョウ</t>
    </rPh>
    <phoneticPr fontId="5"/>
  </si>
  <si>
    <t>佐々木　千恵</t>
    <rPh sb="0" eb="3">
      <t>ササキ</t>
    </rPh>
    <rPh sb="4" eb="6">
      <t>チエ</t>
    </rPh>
    <phoneticPr fontId="3"/>
  </si>
  <si>
    <t>片岡　達也</t>
    <rPh sb="0" eb="2">
      <t>カタオカ</t>
    </rPh>
    <rPh sb="3" eb="5">
      <t>タツヤ</t>
    </rPh>
    <phoneticPr fontId="5"/>
  </si>
  <si>
    <t>後藤　克行</t>
    <rPh sb="0" eb="2">
      <t>ゴトウ</t>
    </rPh>
    <rPh sb="3" eb="4">
      <t>カツ</t>
    </rPh>
    <rPh sb="4" eb="5">
      <t>ユキ</t>
    </rPh>
    <phoneticPr fontId="5"/>
  </si>
  <si>
    <t>山本　祥吉</t>
    <rPh sb="0" eb="2">
      <t>ヤマモト</t>
    </rPh>
    <rPh sb="3" eb="4">
      <t>ショウ</t>
    </rPh>
    <rPh sb="4" eb="5">
      <t>キチ</t>
    </rPh>
    <phoneticPr fontId="5"/>
  </si>
  <si>
    <t>本吉　有美子</t>
    <rPh sb="0" eb="2">
      <t>モトヨシ</t>
    </rPh>
    <rPh sb="3" eb="6">
      <t>ユミコ</t>
    </rPh>
    <phoneticPr fontId="3"/>
  </si>
  <si>
    <t>屋宮　敬子</t>
    <rPh sb="0" eb="1">
      <t>ヤ</t>
    </rPh>
    <rPh sb="1" eb="2">
      <t>ミヤ</t>
    </rPh>
    <rPh sb="3" eb="5">
      <t>ケイコ</t>
    </rPh>
    <phoneticPr fontId="3"/>
  </si>
  <si>
    <t>大江　美記子</t>
    <rPh sb="0" eb="2">
      <t>オオエ</t>
    </rPh>
    <rPh sb="3" eb="4">
      <t>ミ</t>
    </rPh>
    <rPh sb="4" eb="5">
      <t>キ</t>
    </rPh>
    <rPh sb="5" eb="6">
      <t>コ</t>
    </rPh>
    <phoneticPr fontId="3"/>
  </si>
  <si>
    <t>木村　千鶴</t>
    <rPh sb="0" eb="2">
      <t>キムラ</t>
    </rPh>
    <rPh sb="3" eb="5">
      <t>チヅル</t>
    </rPh>
    <phoneticPr fontId="3"/>
  </si>
  <si>
    <t>晩田　恵美</t>
    <rPh sb="0" eb="2">
      <t>バンダ</t>
    </rPh>
    <rPh sb="3" eb="5">
      <t>エミ</t>
    </rPh>
    <phoneticPr fontId="3"/>
  </si>
  <si>
    <t>森田　美加</t>
    <rPh sb="0" eb="2">
      <t>モリタ</t>
    </rPh>
    <rPh sb="3" eb="5">
      <t>ミカ</t>
    </rPh>
    <phoneticPr fontId="3"/>
  </si>
  <si>
    <t>飯田　由加里</t>
    <rPh sb="0" eb="2">
      <t>イイダ</t>
    </rPh>
    <rPh sb="3" eb="6">
      <t>ユカリ</t>
    </rPh>
    <phoneticPr fontId="5"/>
  </si>
  <si>
    <t>森本　久美</t>
    <rPh sb="0" eb="2">
      <t>モリモト</t>
    </rPh>
    <rPh sb="3" eb="5">
      <t>クミ</t>
    </rPh>
    <phoneticPr fontId="5"/>
  </si>
  <si>
    <t>高橋　佐織</t>
    <rPh sb="0" eb="2">
      <t>タカハシ</t>
    </rPh>
    <rPh sb="3" eb="5">
      <t>サオリ</t>
    </rPh>
    <phoneticPr fontId="5"/>
  </si>
  <si>
    <t>北田　倫子</t>
    <rPh sb="0" eb="2">
      <t>キタダ</t>
    </rPh>
    <rPh sb="3" eb="5">
      <t>トモコ</t>
    </rPh>
    <phoneticPr fontId="5"/>
  </si>
  <si>
    <t>鈴木　香織</t>
    <rPh sb="0" eb="2">
      <t>スズキ</t>
    </rPh>
    <rPh sb="3" eb="5">
      <t>カオリ</t>
    </rPh>
    <phoneticPr fontId="5"/>
  </si>
  <si>
    <t>菊池　敬</t>
    <rPh sb="0" eb="2">
      <t>キクチ</t>
    </rPh>
    <rPh sb="3" eb="4">
      <t>タカシ</t>
    </rPh>
    <phoneticPr fontId="5"/>
  </si>
  <si>
    <t>上村　和恵</t>
    <rPh sb="0" eb="2">
      <t>カミムラ</t>
    </rPh>
    <rPh sb="3" eb="5">
      <t>カズエ</t>
    </rPh>
    <phoneticPr fontId="5"/>
  </si>
  <si>
    <t>秋草　文恵</t>
    <rPh sb="0" eb="2">
      <t>アキクサ</t>
    </rPh>
    <rPh sb="3" eb="5">
      <t>フミエ</t>
    </rPh>
    <phoneticPr fontId="5"/>
  </si>
  <si>
    <t>向井　ひかり</t>
    <rPh sb="0" eb="2">
      <t>ムカイ</t>
    </rPh>
    <phoneticPr fontId="5"/>
  </si>
  <si>
    <t>高橋　正美</t>
    <rPh sb="0" eb="2">
      <t>タカハシ</t>
    </rPh>
    <rPh sb="3" eb="5">
      <t>マサミ</t>
    </rPh>
    <phoneticPr fontId="5"/>
  </si>
  <si>
    <t>廣瀬　こずえ</t>
    <rPh sb="0" eb="2">
      <t>ヒロセ</t>
    </rPh>
    <phoneticPr fontId="5"/>
  </si>
  <si>
    <t>石戸谷　亜子</t>
    <rPh sb="0" eb="3">
      <t>イシドヤ</t>
    </rPh>
    <rPh sb="4" eb="6">
      <t>アコ</t>
    </rPh>
    <phoneticPr fontId="5"/>
  </si>
  <si>
    <t>奥野　愛海</t>
    <rPh sb="0" eb="2">
      <t>オクノ</t>
    </rPh>
    <rPh sb="3" eb="5">
      <t>マナウミ</t>
    </rPh>
    <phoneticPr fontId="5"/>
  </si>
  <si>
    <t>平田　学</t>
    <rPh sb="0" eb="2">
      <t>ヒラタ</t>
    </rPh>
    <rPh sb="3" eb="4">
      <t>マナブ</t>
    </rPh>
    <phoneticPr fontId="5"/>
  </si>
  <si>
    <t>⑤ 標準偏差と偏差値（優秀度）</t>
  </si>
  <si>
    <t>各工程の実績を母集団の標準偏差で偏差値化。偏差値50＝平均、数値が大きいほど速く優秀（実績 分/個 が小さいほど高い）。</t>
  </si>
  <si>
    <t>指標</t>
  </si>
  <si>
    <t>ピッキング</t>
  </si>
  <si>
    <t>人数（N）</t>
  </si>
  <si>
    <t>平均（分/個）</t>
  </si>
  <si>
    <t>標準偏差（母集団）</t>
  </si>
  <si>
    <t>ピック実績</t>
  </si>
  <si>
    <t>ピック偏差値</t>
  </si>
  <si>
    <t>梱包実績</t>
  </si>
  <si>
    <t>梱包偏差値</t>
  </si>
  <si>
    <t>合計実績</t>
  </si>
  <si>
    <t>合計偏差値</t>
  </si>
  <si>
    <t>総合偏差値</t>
  </si>
  <si>
    <t>判定</t>
  </si>
  <si>
    <t>ピッキング件数</t>
    <rPh sb="5" eb="7">
      <t>ケンスウ</t>
    </rPh>
    <phoneticPr fontId="11"/>
  </si>
  <si>
    <t>梱包件数</t>
    <rPh sb="0" eb="4">
      <t>コンポウケンスウ</t>
    </rPh>
    <phoneticPr fontId="11"/>
  </si>
  <si>
    <t>1. 標準偏差（σ）とは — 「ばらつきの大きさ」</t>
  </si>
  <si>
    <t>平均だけでは「みんなが平均付近なのか、バラバラなのか」が分かりません。標準偏差は平均からどれくらい散らばっているかを1つの数字で表します。</t>
  </si>
  <si>
    <t>計算式（母集団）： σ = √( Σ(各実績 − 平均)² ÷ N )</t>
  </si>
  <si>
    <t>各人の「平均とのズレ」を2乗して平均し、平方根を取ったものです。</t>
  </si>
  <si>
    <t>今回の3つの数値の意味</t>
  </si>
  <si>
    <t>工程</t>
  </si>
  <si>
    <t>N</t>
  </si>
  <si>
    <t>平均</t>
  </si>
  <si>
    <t>標準偏差σ</t>
  </si>
  <si>
    <t>平均±1σの範囲</t>
  </si>
  <si>
    <t>読み方</t>
  </si>
  <si>
    <t>1.13〜1.97</t>
  </si>
  <si>
    <t>ばらつき小＝比較的そろっている</t>
  </si>
  <si>
    <t>0.89〜2.19</t>
  </si>
  <si>
    <t>ばらつき大＝人による差が大きい</t>
  </si>
  <si>
    <t>2.33〜3.75</t>
  </si>
  <si>
    <t>―</t>
  </si>
  <si>
    <t>ここが一番の示唆：平均はピック1.55／梱包1.54とほぼ同じなのに、梱包のσ（0.65）はピックのσ（0.42）の約1.5倍。つまり梱包は「速い人と遅い人の差が大きい」工程です。ばらつきが大きい＝標準化・教育の余地が大きい、と読めます（0.6分で終わる人もいれば3.1分かかる人もいる）。</t>
  </si>
  <si>
    <t>N（人数）が工程で違うのは、ピッキングのみ入力の6名がいるため。ピック=25人、梱包・合計=両方入力の19人で計算しています。</t>
  </si>
  <si>
    <t>2. 偏差値 — 「チームの中でどれくらい速いか」</t>
  </si>
  <si>
    <t>偏差値は、σを「ものさし」にして各人の位置を50を平均とする点数に変換したものです（学校のテストと同じ考え方）。</t>
  </si>
  <si>
    <t>計算式： 偏差値 ＝ 50 ＋ 10 ×（平均 − 実績）÷ σ</t>
  </si>
  <si>
    <t>（平均 − 実績）… 平均より速い（実績が小さい）ほどプラス。※ここを反転させているのが今回のポイント。作業時間は小さいほど優秀なので、偏差値も高くなります。</t>
  </si>
  <si>
    <t>÷ σ… ズレを「σ何個分か」に換算。</t>
  </si>
  <si>
    <t>×10 ＋50… σ1個分＝10点、平均＝50点になるよう調整。</t>
  </si>
  <si>
    <t>計算例①：佐藤さん（ピック1.0）</t>
  </si>
  <si>
    <t>(1.55 − 1.0) ÷ 0.42 ＝ 1.30σ 速い → 50 ＋ 10×1.30 ＝ 63.0</t>
  </si>
  <si>
    <t>計算例②：片岡さん（ピック3.1）</t>
  </si>
  <si>
    <t>(1.55 − 3.1) ÷ 0.42 ＝ −3.65σ 遅い → 50 ＋ 10×(−3.65) ＝ 13.5（3σ以上遅い＝極端な外れ値）</t>
  </si>
  <si>
    <t>偏差値 早見表（正規分布を仮定した目安）</t>
  </si>
  <si>
    <t>偏差値</t>
  </si>
  <si>
    <t>平均からの位置</t>
  </si>
  <si>
    <t>上位割合</t>
  </si>
  <si>
    <t>意味</t>
  </si>
  <si>
    <t>70+</t>
  </si>
  <si>
    <t>+2σ以上</t>
  </si>
  <si>
    <t>上位 約2%</t>
  </si>
  <si>
    <t>抜群</t>
  </si>
  <si>
    <t>60〜70</t>
  </si>
  <si>
    <t>+1σ〜+2σ</t>
  </si>
  <si>
    <t>上位 約16%</t>
  </si>
  <si>
    <t>優秀</t>
  </si>
  <si>
    <t>55〜60</t>
  </si>
  <si>
    <t>+0.5σ〜+1σ</t>
  </si>
  <si>
    <t>上位 約31%</t>
  </si>
  <si>
    <t>やや優秀</t>
  </si>
  <si>
    <t>45〜55</t>
  </si>
  <si>
    <t>平均±0.5σ</t>
  </si>
  <si>
    <t>中央 約38%</t>
  </si>
  <si>
    <t>標準</t>
  </si>
  <si>
    <t>40〜45</t>
  </si>
  <si>
    <t>−1σ〜−0.5σ</t>
  </si>
  <si>
    <t>下位 約31%</t>
  </si>
  <si>
    <t>やや要改善</t>
  </si>
  <si>
    <t>30〜40</t>
  </si>
  <si>
    <t>−2σ〜−1σ</t>
  </si>
  <si>
    <t>下位 約16%</t>
  </si>
  <si>
    <t>要改善</t>
  </si>
  <si>
    <t>3. 総合偏差値 と 合計偏差値の違い（別列で両方載せています）</t>
  </si>
  <si>
    <t>総合偏差値 ＝ ピック偏差値 と 梱包偏差値 の平均。各工程を対等に評価。片方のみ入力の人は入力側だけ。</t>
  </si>
  <si>
    <t>合計偏差値 ＝ 合計実績（ピック＋梱包）を、合計の平均・σで偏差値化。実時間の重みで評価（時間のかかる工程の影響が大きい）。</t>
  </si>
  <si>
    <t>両者がズレる典型例＝アンバランスな人：</t>
  </si>
  <si>
    <t>ピック偏差</t>
  </si>
  <si>
    <t>梱包偏差</t>
  </si>
  <si>
    <t>総合</t>
  </si>
  <si>
    <t>合計偏差</t>
  </si>
  <si>
    <t>何が起きているか</t>
  </si>
  <si>
    <t>片岡</t>
  </si>
  <si>
    <t>梱包は抜群だがピックが極端に遅い</t>
  </si>
  <si>
    <t>森田</t>
  </si>
  <si>
    <t>ピックは速いが梱包が最も遅い</t>
  </si>
  <si>
    <t>佐々木</t>
  </si>
  <si>
    <t>梱包がとても速い</t>
  </si>
  <si>
    <t>こういう人は「総合」より工程別の偏差値を見ると、どちらを改善すべきか（または得意工程に配置すべきか）が一目で分かります。片岡さんは梱包専任にすればチーム全体が速くなる、という判断材料になります。</t>
  </si>
  <si>
    <t>4. 判定と人数分布（今回のデータ）</t>
  </si>
  <si>
    <t>人数</t>
  </si>
  <si>
    <t>該当者</t>
  </si>
  <si>
    <t>60以上</t>
  </si>
  <si>
    <t>1名</t>
  </si>
  <si>
    <t>佐藤(64.4)</t>
  </si>
  <si>
    <t>6名</t>
  </si>
  <si>
    <t>本吉・河野・大江・晩田・石戸谷・佐々木</t>
  </si>
  <si>
    <t>10名</t>
  </si>
  <si>
    <t>鈴木・北田・森本・向井・山本・澤田・中納・飯田・後藤・高橋佐織</t>
  </si>
  <si>
    <t>上村・秋草・森田・木村・高橋正美・菊池</t>
  </si>
  <si>
    <t>40未満</t>
  </si>
  <si>
    <t>2名</t>
  </si>
  <si>
    <t>廣瀬(39.4)・片岡(38.9)</t>
  </si>
  <si>
    <t>統計的な補足：本来 偏差値60以上は「上位16%（約4名）」出るはずですが、今回は1名だけ。これは総合偏差値が平均どうしなので、山が50付近に集まりやすい（分散が小さくなる）ためです。極端な優秀さ・遅さを見たいときは、総合ではなく工程別の偏差値（佐藤のピック63・梱包66、片岡の梱包64 など）を見てください。</t>
  </si>
  <si>
    <t>5. ⚠ 最重要の注意点 — 「偏差値＝相対評価」</t>
  </si>
  <si>
    <t>偏差値はチーム内での相対位置であって、目標（1.6分）に対する絶対評価ではありません。</t>
  </si>
  <si>
    <t>極端に言えば、全員が目標未達でも、その中で一番マシな人は偏差値70になります（＝目標達成とは別物）。</t>
  </si>
  <si>
    <t>目標との差・達成率を見たいときは ダッシュボードの ①〜④（絶対評価）、チーム内の相対的な速さ・優秀度を見たいときは 偏差値シート、と使い分けてください。両方を並べると「目標も達成し、かつ相対的にも速い人」＝真のトップが分かります。</t>
  </si>
  <si>
    <t>その他の前提：</t>
  </si>
  <si>
    <t>正規分布を仮定した早見表です。N=19〜25と小さめなので、%はあくまで目安。</t>
  </si>
  <si>
    <t>母集団σ（STDEVP） 採用。標本σ（STDEV）にすると σが約2%大きくなり（ピック0.42→0.43 等）、偏差値はごくわずかに50へ寄りますが、順位はほぼ不変です。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</si>
</sst>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;\-0.00;0.00"/>
  </numFmts>
  <fonts count="13" x14ac:knownFonts="1">
    <font>
      <sz val="11"/>
      <color theme="1"/>
      <name val="ＭＳ Ｐゴシック"/>
      <family val="2"/>
      <scheme val="minor"/>
    </font>
    <font>
      <b/>
      <sz val="22"/>
      <color theme="1"/>
      <name val="Meiryo UI"/>
      <family val="2"/>
    </font>
    <font>
      <sz val="12"/>
      <color theme="1"/>
      <name val="Meiryo UI"/>
      <family val="2"/>
    </font>
    <font>
      <u/>
      <sz val="11"/>
      <color rgb="FF0563C1"/>
      <name val="Meiryo UI"/>
      <family val="2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b/>
      <sz val="11"/>
      <color theme="1"/>
      <name val="Meiryo UI"/>
      <family val="2"/>
    </font>
    <font>
      <b/>
      <sz val="15"/>
      <color rgb="FFFFFFFF"/>
      <name val="Meiryo UI"/>
      <family val="2"/>
    </font>
    <font>
      <b/>
      <sz val="11"/>
      <color rgb="FFFFFFFF"/>
      <name val="Meiryo UI"/>
      <family val="2"/>
    </font>
    <font>
      <b/>
      <sz val="11"/>
      <color rgb="FFC00000"/>
      <name val="Meiryo UI"/>
      <family val="2"/>
    </font>
    <font>
      <sz val="9"/>
      <color theme="1"/>
      <name val="Meiryo UI"/>
      <family val="2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53">
    <xf numFmtId="0" fontId="0" fillId="0" borderId="0" xfId="0"/>
    <xf numFmtId="0" fontId="3" fillId="0" borderId="0" xfId="0" applyFont="1"/>
    <xf numFmtId="0" fontId="5" fillId="0" borderId="0" xfId="0" applyFont="1"/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0" fillId="0" borderId="0" xfId="0"/>
    <xf numFmtId="0" fontId="0" fillId="0" borderId="9" xfId="0" applyBorder="1"/>
    <xf numFmtId="0" fontId="0" fillId="0" borderId="7" xfId="0" applyBorder="1"/>
    <xf numFmtId="0" fontId="8" fillId="3" borderId="3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2">
    <cellStyle name="標準" xfId="0" builtinId="0"/>
    <cellStyle name="標準 2" xfId="1" xr:uid="{BAFA8774-FAC4-45C9-BCE4-9D62205C6753}"/>
  </cellStyles>
  <dxfs count="3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DEBF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1F4E78"/>
      </font>
      <numFmt numFmtId="176" formatCode="\+0.00;\-0.00;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eiryo UI"/>
        <family val="2"/>
        <scheme val="none"/>
      </font>
      <fill>
        <patternFill patternType="solid">
          <fgColor indexed="64"/>
          <bgColor rgb="FF1737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① 個人別 総合達成率（全員）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達成率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集計用!rateNames</c:f>
              <c:strCache>
                <c:ptCount val="19"/>
                <c:pt idx="0">
                  <c:v>佐藤　辰成</c:v>
                </c:pt>
                <c:pt idx="1">
                  <c:v>本吉　有美子</c:v>
                </c:pt>
                <c:pt idx="2">
                  <c:v>河野　忠</c:v>
                </c:pt>
                <c:pt idx="3">
                  <c:v>佐々木　千恵</c:v>
                </c:pt>
                <c:pt idx="4">
                  <c:v>大江　美記子</c:v>
                </c:pt>
                <c:pt idx="5">
                  <c:v>晩田　恵美</c:v>
                </c:pt>
                <c:pt idx="6">
                  <c:v>北田　倫子</c:v>
                </c:pt>
                <c:pt idx="7">
                  <c:v>森本　久美</c:v>
                </c:pt>
                <c:pt idx="8">
                  <c:v>鈴木　香織</c:v>
                </c:pt>
                <c:pt idx="9">
                  <c:v>澤田　凌</c:v>
                </c:pt>
                <c:pt idx="10">
                  <c:v>山本　祥吉</c:v>
                </c:pt>
                <c:pt idx="11">
                  <c:v>飯田　由加里</c:v>
                </c:pt>
                <c:pt idx="12">
                  <c:v>中納　沙織</c:v>
                </c:pt>
                <c:pt idx="13">
                  <c:v>後藤　克行</c:v>
                </c:pt>
                <c:pt idx="14">
                  <c:v>高橋　佐織</c:v>
                </c:pt>
                <c:pt idx="15">
                  <c:v>片岡　達也</c:v>
                </c:pt>
                <c:pt idx="16">
                  <c:v>木村　千鶴</c:v>
                </c:pt>
                <c:pt idx="17">
                  <c:v>森田　美加</c:v>
                </c:pt>
                <c:pt idx="18">
                  <c:v>菊池　敬</c:v>
                </c:pt>
              </c:strCache>
            </c:strRef>
          </c:cat>
          <c:val>
            <c:numRef>
              <c:f>集計用!rateVals</c:f>
              <c:numCache>
                <c:formatCode>General</c:formatCode>
                <c:ptCount val="19"/>
                <c:pt idx="0">
                  <c:v>2.1333333333333333</c:v>
                </c:pt>
                <c:pt idx="1">
                  <c:v>1.5238095238095237</c:v>
                </c:pt>
                <c:pt idx="2">
                  <c:v>1.4545454545454546</c:v>
                </c:pt>
                <c:pt idx="3">
                  <c:v>1.3913043478260871</c:v>
                </c:pt>
                <c:pt idx="4">
                  <c:v>1.3333333333333335</c:v>
                </c:pt>
                <c:pt idx="5">
                  <c:v>1.28</c:v>
                </c:pt>
                <c:pt idx="6">
                  <c:v>1.142857142857143</c:v>
                </c:pt>
                <c:pt idx="7">
                  <c:v>1.0666666666666667</c:v>
                </c:pt>
                <c:pt idx="8">
                  <c:v>1.0666666666666667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0.94117647058823528</c:v>
                </c:pt>
                <c:pt idx="13">
                  <c:v>0.94117647058823539</c:v>
                </c:pt>
                <c:pt idx="14">
                  <c:v>0.91428571428571437</c:v>
                </c:pt>
                <c:pt idx="15">
                  <c:v>0.86486486486486491</c:v>
                </c:pt>
                <c:pt idx="16">
                  <c:v>0.82051282051282048</c:v>
                </c:pt>
                <c:pt idx="17">
                  <c:v>0.76190476190476186</c:v>
                </c:pt>
                <c:pt idx="18">
                  <c:v>0.76190476190476186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2-42F8-8D21-68D04E1AC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.4"/>
          <c:min val="0.6"/>
        </c:scaling>
        <c:delete val="0"/>
        <c:axPos val="t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10001"/>
        <c:crosses val="autoZero"/>
        <c:crossBetween val="between"/>
        <c:majorUnit val="0.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② ピッキング・梱包 内訳比較（縦棒・全員）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ピッキング（分/個）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集計用!pickVals</c:f>
              <c:numCache>
                <c:formatCode>General</c:formatCode>
                <c:ptCount val="28"/>
                <c:pt idx="0">
                  <c:v>1</c:v>
                </c:pt>
                <c:pt idx="1">
                  <c:v>1.2</c:v>
                </c:pt>
                <c:pt idx="2">
                  <c:v>1.3</c:v>
                </c:pt>
                <c:pt idx="3">
                  <c:v>1.6</c:v>
                </c:pt>
                <c:pt idx="4">
                  <c:v>1.7</c:v>
                </c:pt>
                <c:pt idx="5">
                  <c:v>3.1</c:v>
                </c:pt>
                <c:pt idx="6">
                  <c:v>1.5</c:v>
                </c:pt>
                <c:pt idx="7">
                  <c:v>1.4</c:v>
                </c:pt>
                <c:pt idx="8">
                  <c:v>1.1000000000000001</c:v>
                </c:pt>
                <c:pt idx="9">
                  <c:v>0</c:v>
                </c:pt>
                <c:pt idx="10">
                  <c:v>1.2</c:v>
                </c:pt>
                <c:pt idx="11">
                  <c:v>1.7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1.8</c:v>
                </c:pt>
                <c:pt idx="15">
                  <c:v>1.4</c:v>
                </c:pt>
                <c:pt idx="16">
                  <c:v>1.8</c:v>
                </c:pt>
                <c:pt idx="17">
                  <c:v>1.6</c:v>
                </c:pt>
                <c:pt idx="18">
                  <c:v>1.2</c:v>
                </c:pt>
                <c:pt idx="19">
                  <c:v>1.7</c:v>
                </c:pt>
                <c:pt idx="20">
                  <c:v>1.8</c:v>
                </c:pt>
                <c:pt idx="21">
                  <c:v>1.8</c:v>
                </c:pt>
                <c:pt idx="22">
                  <c:v>1.5</c:v>
                </c:pt>
                <c:pt idx="23">
                  <c:v>1.9</c:v>
                </c:pt>
                <c:pt idx="24">
                  <c:v>2</c:v>
                </c:pt>
                <c:pt idx="25">
                  <c:v>1.3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1-49F7-8873-0BF3C088BB99}"/>
            </c:ext>
          </c:extLst>
        </c:ser>
        <c:ser>
          <c:idx val="1"/>
          <c:order val="1"/>
          <c:tx>
            <c:v>梱包（分/個）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invertIfNegative val="0"/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集計用!packVals</c:f>
              <c:numCache>
                <c:formatCode>General</c:formatCode>
                <c:ptCount val="28"/>
                <c:pt idx="0">
                  <c:v>0.5</c:v>
                </c:pt>
                <c:pt idx="1">
                  <c:v>1</c:v>
                </c:pt>
                <c:pt idx="2">
                  <c:v>2.1</c:v>
                </c:pt>
                <c:pt idx="3">
                  <c:v>1.6</c:v>
                </c:pt>
                <c:pt idx="4">
                  <c:v>0.6</c:v>
                </c:pt>
                <c:pt idx="5">
                  <c:v>0.6</c:v>
                </c:pt>
                <c:pt idx="6">
                  <c:v>1.9</c:v>
                </c:pt>
                <c:pt idx="7">
                  <c:v>1.8</c:v>
                </c:pt>
                <c:pt idx="8">
                  <c:v>1</c:v>
                </c:pt>
                <c:pt idx="9">
                  <c:v>0</c:v>
                </c:pt>
                <c:pt idx="10">
                  <c:v>1.2</c:v>
                </c:pt>
                <c:pt idx="11">
                  <c:v>2.2000000000000002</c:v>
                </c:pt>
                <c:pt idx="12">
                  <c:v>1.4</c:v>
                </c:pt>
                <c:pt idx="13">
                  <c:v>3.1</c:v>
                </c:pt>
                <c:pt idx="14">
                  <c:v>1.4</c:v>
                </c:pt>
                <c:pt idx="15">
                  <c:v>1.6</c:v>
                </c:pt>
                <c:pt idx="16">
                  <c:v>1.7</c:v>
                </c:pt>
                <c:pt idx="17">
                  <c:v>1.2</c:v>
                </c:pt>
                <c:pt idx="18">
                  <c:v>1.8</c:v>
                </c:pt>
                <c:pt idx="19">
                  <c:v>2.5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1-49F7-8873-0BF3C088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lineChart>
        <c:grouping val="standard"/>
        <c:varyColors val="0"/>
        <c:ser>
          <c:idx val="2"/>
          <c:order val="2"/>
          <c:tx>
            <c:strRef>
              <c:f>集計用!$A$53</c:f>
              <c:strCache>
                <c:ptCount val="1"/>
                <c:pt idx="0">
                  <c:v>ピッキング目標 1.6分</c:v>
                </c:pt>
              </c:strCache>
            </c:strRef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集計用!pickTgt</c:f>
              <c:numCache>
                <c:formatCode>General</c:formatCode>
                <c:ptCount val="2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  <c:pt idx="2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81-49F7-8873-0BF3C088BB99}"/>
            </c:ext>
          </c:extLst>
        </c:ser>
        <c:ser>
          <c:idx val="3"/>
          <c:order val="3"/>
          <c:tx>
            <c:strRef>
              <c:f>集計用!$A$54</c:f>
              <c:strCache>
                <c:ptCount val="1"/>
                <c:pt idx="0">
                  <c:v>梱包目標 1.6分</c:v>
                </c:pt>
              </c:strCache>
            </c:strRef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集計用!packTgt</c:f>
              <c:numCache>
                <c:formatCode>General</c:formatCode>
                <c:ptCount val="2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  <c:pt idx="2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81-49F7-8873-0BF3C088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1000" baseline="0">
                <a:latin typeface="Meiryo UI"/>
              </a:defRPr>
            </a:pPr>
            <a:endParaRPr lang="ja-JP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2.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20001"/>
        <c:crosses val="autoZero"/>
        <c:crossBetween val="between"/>
        <c:majorUnit val="0.5"/>
      </c:valAx>
      <c:spPr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aseline="0">
              <a:latin typeface="Meiryo UI"/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③ 改善優先度マトリクス（全員の名前を直接表示）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088765145956228E-2"/>
          <c:y val="7.5507692307692303E-2"/>
          <c:w val="0.94032952960864502"/>
          <c:h val="0.82743953159701189"/>
        </c:manualLayout>
      </c:layout>
      <c:scatterChart>
        <c:scatterStyle val="lineMarker"/>
        <c:varyColors val="0"/>
        <c:ser>
          <c:idx val="0"/>
          <c:order val="0"/>
          <c:tx>
            <c:strRef>
              <c:f>集計用!$A$2</c:f>
              <c:strCache>
                <c:ptCount val="1"/>
                <c:pt idx="0">
                  <c:v>佐藤　辰成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集計用!$V$2:$V$2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集計用!$W$2:$W$2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C-4671-84A8-8A6D73345752}"/>
            </c:ext>
          </c:extLst>
        </c:ser>
        <c:ser>
          <c:idx val="1"/>
          <c:order val="1"/>
          <c:tx>
            <c:strRef>
              <c:f>集計用!$A$3</c:f>
              <c:strCache>
                <c:ptCount val="1"/>
                <c:pt idx="0">
                  <c:v>河野　忠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集計用!$V$3:$V$3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集計用!$W$3:$W$3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C-4671-84A8-8A6D73345752}"/>
            </c:ext>
          </c:extLst>
        </c:ser>
        <c:ser>
          <c:idx val="2"/>
          <c:order val="2"/>
          <c:tx>
            <c:strRef>
              <c:f>集計用!$A$4</c:f>
              <c:strCache>
                <c:ptCount val="1"/>
                <c:pt idx="0">
                  <c:v>中納　沙織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集計用!$V$4:$V$4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集計用!$W$4:$W$4</c:f>
              <c:numCache>
                <c:formatCode>General</c:formatCode>
                <c:ptCount val="1"/>
                <c:pt idx="0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6C-4671-84A8-8A6D73345752}"/>
            </c:ext>
          </c:extLst>
        </c:ser>
        <c:ser>
          <c:idx val="3"/>
          <c:order val="3"/>
          <c:tx>
            <c:strRef>
              <c:f>集計用!$A$5</c:f>
              <c:strCache>
                <c:ptCount val="1"/>
                <c:pt idx="0">
                  <c:v>澤田　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集計用!$V$5:$V$5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集計用!$W$5:$W$5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6C-4671-84A8-8A6D73345752}"/>
            </c:ext>
          </c:extLst>
        </c:ser>
        <c:ser>
          <c:idx val="4"/>
          <c:order val="4"/>
          <c:tx>
            <c:strRef>
              <c:f>集計用!$A$6</c:f>
              <c:strCache>
                <c:ptCount val="1"/>
                <c:pt idx="0">
                  <c:v>佐々木　千恵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集計用!$V$6:$V$6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集計用!$W$6:$W$6</c:f>
              <c:numCache>
                <c:formatCode>General</c:formatCode>
                <c:ptCount val="1"/>
                <c:pt idx="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6C-4671-84A8-8A6D73345752}"/>
            </c:ext>
          </c:extLst>
        </c:ser>
        <c:ser>
          <c:idx val="5"/>
          <c:order val="5"/>
          <c:tx>
            <c:strRef>
              <c:f>集計用!$A$7</c:f>
              <c:strCache>
                <c:ptCount val="1"/>
                <c:pt idx="0">
                  <c:v>片岡　達也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集計用!$V$7:$V$7</c:f>
              <c:numCache>
                <c:formatCode>General</c:formatCode>
                <c:ptCount val="1"/>
                <c:pt idx="0">
                  <c:v>3.1</c:v>
                </c:pt>
              </c:numCache>
            </c:numRef>
          </c:xVal>
          <c:yVal>
            <c:numRef>
              <c:f>集計用!$W$7:$W$7</c:f>
              <c:numCache>
                <c:formatCode>General</c:formatCode>
                <c:ptCount val="1"/>
                <c:pt idx="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6C-4671-84A8-8A6D73345752}"/>
            </c:ext>
          </c:extLst>
        </c:ser>
        <c:ser>
          <c:idx val="6"/>
          <c:order val="6"/>
          <c:tx>
            <c:strRef>
              <c:f>集計用!$A$8</c:f>
              <c:strCache>
                <c:ptCount val="1"/>
                <c:pt idx="0">
                  <c:v>後藤　克行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集計用!$V$8:$V$8</c:f>
              <c:numCache>
                <c:formatCode>General</c:formatCode>
                <c:ptCount val="1"/>
                <c:pt idx="0">
                  <c:v>1.5</c:v>
                </c:pt>
              </c:numCache>
            </c:numRef>
          </c:xVal>
          <c:yVal>
            <c:numRef>
              <c:f>集計用!$W$8:$W$8</c:f>
              <c:numCache>
                <c:formatCode>General</c:formatCode>
                <c:ptCount val="1"/>
                <c:pt idx="0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6C-4671-84A8-8A6D73345752}"/>
            </c:ext>
          </c:extLst>
        </c:ser>
        <c:ser>
          <c:idx val="7"/>
          <c:order val="7"/>
          <c:tx>
            <c:strRef>
              <c:f>集計用!$A$9</c:f>
              <c:strCache>
                <c:ptCount val="1"/>
                <c:pt idx="0">
                  <c:v>山本　祥吉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集計用!$V$9:$V$9</c:f>
              <c:numCache>
                <c:formatCode>General</c:formatCode>
                <c:ptCount val="1"/>
                <c:pt idx="0">
                  <c:v>1.4</c:v>
                </c:pt>
              </c:numCache>
            </c:numRef>
          </c:xVal>
          <c:yVal>
            <c:numRef>
              <c:f>集計用!$W$9:$W$9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6C-4671-84A8-8A6D73345752}"/>
            </c:ext>
          </c:extLst>
        </c:ser>
        <c:ser>
          <c:idx val="8"/>
          <c:order val="8"/>
          <c:tx>
            <c:strRef>
              <c:f>集計用!$A$10</c:f>
              <c:strCache>
                <c:ptCount val="1"/>
                <c:pt idx="0">
                  <c:v>本吉　有美子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集計用!$V$10:$V$10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xVal>
          <c:yVal>
            <c:numRef>
              <c:f>集計用!$W$10:$W$10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6C-4671-84A8-8A6D73345752}"/>
            </c:ext>
          </c:extLst>
        </c:ser>
        <c:ser>
          <c:idx val="9"/>
          <c:order val="9"/>
          <c:tx>
            <c:strRef>
              <c:f>集計用!$A$11</c:f>
              <c:strCache>
                <c:ptCount val="1"/>
                <c:pt idx="0">
                  <c:v>屋宮　敬子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集計用!$V$11:$V$11</c:f>
            </c:numRef>
          </c:xVal>
          <c:yVal>
            <c:numRef>
              <c:f>集計用!$W$11:$W$11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6C-4671-84A8-8A6D73345752}"/>
            </c:ext>
          </c:extLst>
        </c:ser>
        <c:ser>
          <c:idx val="10"/>
          <c:order val="10"/>
          <c:tx>
            <c:strRef>
              <c:f>集計用!$A$12</c:f>
              <c:strCache>
                <c:ptCount val="1"/>
                <c:pt idx="0">
                  <c:v>大江　美記子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集計用!$V$12:$V$12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集計用!$W$12:$W$12</c:f>
              <c:numCache>
                <c:formatCode>General</c:formatCode>
                <c:ptCount val="1"/>
                <c:pt idx="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6C-4671-84A8-8A6D73345752}"/>
            </c:ext>
          </c:extLst>
        </c:ser>
        <c:ser>
          <c:idx val="11"/>
          <c:order val="11"/>
          <c:tx>
            <c:strRef>
              <c:f>集計用!$A$13</c:f>
              <c:strCache>
                <c:ptCount val="1"/>
                <c:pt idx="0">
                  <c:v>木村　千鶴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集計用!$V$13:$V$13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集計用!$W$13:$W$13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6C-4671-84A8-8A6D73345752}"/>
            </c:ext>
          </c:extLst>
        </c:ser>
        <c:ser>
          <c:idx val="12"/>
          <c:order val="12"/>
          <c:tx>
            <c:strRef>
              <c:f>集計用!$A$14</c:f>
              <c:strCache>
                <c:ptCount val="1"/>
                <c:pt idx="0">
                  <c:v>晩田　恵美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集計用!$V$14:$V$14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xVal>
          <c:yVal>
            <c:numRef>
              <c:f>集計用!$W$14:$W$14</c:f>
              <c:numCache>
                <c:formatCode>General</c:formatCode>
                <c:ptCount val="1"/>
                <c:pt idx="0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C6C-4671-84A8-8A6D73345752}"/>
            </c:ext>
          </c:extLst>
        </c:ser>
        <c:ser>
          <c:idx val="13"/>
          <c:order val="13"/>
          <c:tx>
            <c:strRef>
              <c:f>集計用!$A$15</c:f>
              <c:strCache>
                <c:ptCount val="1"/>
                <c:pt idx="0">
                  <c:v>森田　美加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集計用!$V$15:$V$15</c:f>
              <c:numCache>
                <c:formatCode>General</c:formatCode>
                <c:ptCount val="1"/>
                <c:pt idx="0">
                  <c:v>1.1000000000000001</c:v>
                </c:pt>
              </c:numCache>
            </c:numRef>
          </c:xVal>
          <c:yVal>
            <c:numRef>
              <c:f>集計用!$W$15:$W$15</c:f>
              <c:numCache>
                <c:formatCode>General</c:formatCode>
                <c:ptCount val="1"/>
                <c:pt idx="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C6C-4671-84A8-8A6D73345752}"/>
            </c:ext>
          </c:extLst>
        </c:ser>
        <c:ser>
          <c:idx val="14"/>
          <c:order val="14"/>
          <c:tx>
            <c:strRef>
              <c:f>集計用!$A$16</c:f>
              <c:strCache>
                <c:ptCount val="1"/>
                <c:pt idx="0">
                  <c:v>飯田　由加里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集計用!$V$16:$V$16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集計用!$W$16:$W$16</c:f>
              <c:numCache>
                <c:formatCode>General</c:formatCode>
                <c:ptCount val="1"/>
                <c:pt idx="0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C6C-4671-84A8-8A6D73345752}"/>
            </c:ext>
          </c:extLst>
        </c:ser>
        <c:ser>
          <c:idx val="15"/>
          <c:order val="15"/>
          <c:tx>
            <c:strRef>
              <c:f>集計用!$A$17</c:f>
              <c:strCache>
                <c:ptCount val="1"/>
                <c:pt idx="0">
                  <c:v>森本　久美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集計用!$V$17:$V$17</c:f>
              <c:numCache>
                <c:formatCode>General</c:formatCode>
                <c:ptCount val="1"/>
                <c:pt idx="0">
                  <c:v>1.4</c:v>
                </c:pt>
              </c:numCache>
            </c:numRef>
          </c:xVal>
          <c:yVal>
            <c:numRef>
              <c:f>集計用!$W$17:$W$17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6C-4671-84A8-8A6D73345752}"/>
            </c:ext>
          </c:extLst>
        </c:ser>
        <c:ser>
          <c:idx val="16"/>
          <c:order val="16"/>
          <c:tx>
            <c:strRef>
              <c:f>集計用!$A$18</c:f>
              <c:strCache>
                <c:ptCount val="1"/>
                <c:pt idx="0">
                  <c:v>高橋　佐織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集計用!$V$18:$V$18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集計用!$W$18:$W$18</c:f>
              <c:numCache>
                <c:formatCode>General</c:formatCode>
                <c:ptCount val="1"/>
                <c:pt idx="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6C-4671-84A8-8A6D73345752}"/>
            </c:ext>
          </c:extLst>
        </c:ser>
        <c:ser>
          <c:idx val="17"/>
          <c:order val="17"/>
          <c:tx>
            <c:strRef>
              <c:f>集計用!$A$19</c:f>
              <c:strCache>
                <c:ptCount val="1"/>
                <c:pt idx="0">
                  <c:v>北田　倫子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集計用!$V$19:$V$19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集計用!$W$19:$W$19</c:f>
              <c:numCache>
                <c:formatCode>General</c:formatCode>
                <c:ptCount val="1"/>
                <c:pt idx="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6C-4671-84A8-8A6D73345752}"/>
            </c:ext>
          </c:extLst>
        </c:ser>
        <c:ser>
          <c:idx val="18"/>
          <c:order val="18"/>
          <c:tx>
            <c:strRef>
              <c:f>集計用!$A$20</c:f>
              <c:strCache>
                <c:ptCount val="1"/>
                <c:pt idx="0">
                  <c:v>鈴木　香織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集計用!$V$20:$V$20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集計用!$W$20:$W$20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C6C-4671-84A8-8A6D73345752}"/>
            </c:ext>
          </c:extLst>
        </c:ser>
        <c:ser>
          <c:idx val="19"/>
          <c:order val="19"/>
          <c:tx>
            <c:strRef>
              <c:f>集計用!$A$21</c:f>
              <c:strCache>
                <c:ptCount val="1"/>
                <c:pt idx="0">
                  <c:v>菊池　敬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集計用!$V$21:$V$21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集計用!$W$21:$W$21</c:f>
              <c:numCache>
                <c:formatCode>General</c:formatCode>
                <c:ptCount val="1"/>
                <c:pt idx="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C6C-4671-84A8-8A6D73345752}"/>
            </c:ext>
          </c:extLst>
        </c:ser>
        <c:ser>
          <c:idx val="20"/>
          <c:order val="20"/>
          <c:tx>
            <c:strRef>
              <c:f>集計用!$A$22</c:f>
              <c:strCache>
                <c:ptCount val="1"/>
                <c:pt idx="0">
                  <c:v>上村　和恵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集計用!$V$22:$V$22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集計用!$W$22:$W$22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C6C-4671-84A8-8A6D73345752}"/>
            </c:ext>
          </c:extLst>
        </c:ser>
        <c:ser>
          <c:idx val="21"/>
          <c:order val="21"/>
          <c:tx>
            <c:strRef>
              <c:f>集計用!$A$23</c:f>
              <c:strCache>
                <c:ptCount val="1"/>
                <c:pt idx="0">
                  <c:v>秋草　文恵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集計用!$V$23:$V$23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集計用!$W$23:$W$23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C6C-4671-84A8-8A6D73345752}"/>
            </c:ext>
          </c:extLst>
        </c:ser>
        <c:ser>
          <c:idx val="22"/>
          <c:order val="22"/>
          <c:tx>
            <c:strRef>
              <c:f>集計用!$A$24</c:f>
              <c:strCache>
                <c:ptCount val="1"/>
                <c:pt idx="0">
                  <c:v>向井　ひかり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集計用!$V$24:$V$24</c:f>
              <c:numCache>
                <c:formatCode>General</c:formatCode>
                <c:ptCount val="1"/>
                <c:pt idx="0">
                  <c:v>1.5</c:v>
                </c:pt>
              </c:numCache>
            </c:numRef>
          </c:xVal>
          <c:yVal>
            <c:numRef>
              <c:f>集計用!$W$24:$W$24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C6C-4671-84A8-8A6D73345752}"/>
            </c:ext>
          </c:extLst>
        </c:ser>
        <c:ser>
          <c:idx val="23"/>
          <c:order val="23"/>
          <c:tx>
            <c:strRef>
              <c:f>集計用!$A$25</c:f>
              <c:strCache>
                <c:ptCount val="1"/>
                <c:pt idx="0">
                  <c:v>高橋　正美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集計用!$V$25:$V$25</c:f>
              <c:numCache>
                <c:formatCode>General</c:formatCode>
                <c:ptCount val="1"/>
                <c:pt idx="0">
                  <c:v>1.9</c:v>
                </c:pt>
              </c:numCache>
            </c:numRef>
          </c:xVal>
          <c:yVal>
            <c:numRef>
              <c:f>集計用!$W$25:$W$25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C6C-4671-84A8-8A6D73345752}"/>
            </c:ext>
          </c:extLst>
        </c:ser>
        <c:ser>
          <c:idx val="24"/>
          <c:order val="24"/>
          <c:tx>
            <c:strRef>
              <c:f>集計用!$A$26</c:f>
              <c:strCache>
                <c:ptCount val="1"/>
                <c:pt idx="0">
                  <c:v>廣瀬　こずえ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集計用!$V$26:$V$26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集計用!$W$26:$W$26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C6C-4671-84A8-8A6D73345752}"/>
            </c:ext>
          </c:extLst>
        </c:ser>
        <c:ser>
          <c:idx val="25"/>
          <c:order val="25"/>
          <c:tx>
            <c:strRef>
              <c:f>集計用!$A$27</c:f>
              <c:strCache>
                <c:ptCount val="1"/>
                <c:pt idx="0">
                  <c:v>石戸谷　亜子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集計用!$V$27:$V$27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集計用!$W$27:$W$27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C6C-4671-84A8-8A6D73345752}"/>
            </c:ext>
          </c:extLst>
        </c:ser>
        <c:ser>
          <c:idx val="26"/>
          <c:order val="26"/>
          <c:tx>
            <c:strRef>
              <c:f>集計用!$A$28</c:f>
              <c:strCache>
                <c:ptCount val="1"/>
                <c:pt idx="0">
                  <c:v>奥野　愛海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集計用!$V$28:$V$28</c:f>
            </c:numRef>
          </c:xVal>
          <c:yVal>
            <c:numRef>
              <c:f>集計用!$W$28:$W$28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C6C-4671-84A8-8A6D73345752}"/>
            </c:ext>
          </c:extLst>
        </c:ser>
        <c:ser>
          <c:idx val="27"/>
          <c:order val="27"/>
          <c:tx>
            <c:strRef>
              <c:f>集計用!$A$29</c:f>
              <c:strCache>
                <c:ptCount val="1"/>
                <c:pt idx="0">
                  <c:v>平田　学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集計用!$V$29:$V$29</c:f>
            </c:numRef>
          </c:xVal>
          <c:yVal>
            <c:numRef>
              <c:f>集計用!$W$29:$W$29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C6C-4671-84A8-8A6D73345752}"/>
            </c:ext>
          </c:extLst>
        </c:ser>
        <c:ser>
          <c:idx val="28"/>
          <c:order val="28"/>
          <c:tx>
            <c:strRef>
              <c:f>集計用!$A$30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集計用!$V$30:$V$30</c:f>
            </c:numRef>
          </c:xVal>
          <c:yVal>
            <c:numRef>
              <c:f>集計用!$W$30:$W$30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C6C-4671-84A8-8A6D73345752}"/>
            </c:ext>
          </c:extLst>
        </c:ser>
        <c:ser>
          <c:idx val="29"/>
          <c:order val="29"/>
          <c:tx>
            <c:strRef>
              <c:f>集計用!$A$31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集計用!$V$31:$V$31</c:f>
            </c:numRef>
          </c:xVal>
          <c:yVal>
            <c:numRef>
              <c:f>集計用!$W$31:$W$31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C6C-4671-84A8-8A6D73345752}"/>
            </c:ext>
          </c:extLst>
        </c:ser>
        <c:ser>
          <c:idx val="30"/>
          <c:order val="30"/>
          <c:tx>
            <c:strRef>
              <c:f>集計用!$A$32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集計用!$V$32:$V$32</c:f>
            </c:numRef>
          </c:xVal>
          <c:yVal>
            <c:numRef>
              <c:f>集計用!$W$32:$W$32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C6C-4671-84A8-8A6D73345752}"/>
            </c:ext>
          </c:extLst>
        </c:ser>
        <c:ser>
          <c:idx val="31"/>
          <c:order val="31"/>
          <c:tx>
            <c:strRef>
              <c:f>集計用!$A$33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集計用!$V$33:$V$33</c:f>
            </c:numRef>
          </c:xVal>
          <c:yVal>
            <c:numRef>
              <c:f>集計用!$W$33:$W$33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C6C-4671-84A8-8A6D73345752}"/>
            </c:ext>
          </c:extLst>
        </c:ser>
        <c:ser>
          <c:idx val="32"/>
          <c:order val="32"/>
          <c:tx>
            <c:strRef>
              <c:f>集計用!$A$34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集計用!$V$34:$V$34</c:f>
            </c:numRef>
          </c:xVal>
          <c:yVal>
            <c:numRef>
              <c:f>集計用!$W$34:$W$34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C6C-4671-84A8-8A6D73345752}"/>
            </c:ext>
          </c:extLst>
        </c:ser>
        <c:ser>
          <c:idx val="33"/>
          <c:order val="33"/>
          <c:tx>
            <c:strRef>
              <c:f>集計用!$A$35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集計用!$V$35:$V$35</c:f>
            </c:numRef>
          </c:xVal>
          <c:yVal>
            <c:numRef>
              <c:f>集計用!$W$35:$W$35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C6C-4671-84A8-8A6D73345752}"/>
            </c:ext>
          </c:extLst>
        </c:ser>
        <c:ser>
          <c:idx val="34"/>
          <c:order val="34"/>
          <c:tx>
            <c:strRef>
              <c:f>集計用!$A$36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集計用!$V$36:$V$36</c:f>
            </c:numRef>
          </c:xVal>
          <c:yVal>
            <c:numRef>
              <c:f>集計用!$W$36:$W$36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C6C-4671-84A8-8A6D73345752}"/>
            </c:ext>
          </c:extLst>
        </c:ser>
        <c:ser>
          <c:idx val="35"/>
          <c:order val="35"/>
          <c:tx>
            <c:strRef>
              <c:f>集計用!$A$37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集計用!$V$37:$V$37</c:f>
            </c:numRef>
          </c:xVal>
          <c:yVal>
            <c:numRef>
              <c:f>集計用!$W$37:$W$37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C6C-4671-84A8-8A6D73345752}"/>
            </c:ext>
          </c:extLst>
        </c:ser>
        <c:ser>
          <c:idx val="36"/>
          <c:order val="36"/>
          <c:tx>
            <c:strRef>
              <c:f>集計用!$A$38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集計用!$V$38:$V$38</c:f>
            </c:numRef>
          </c:xVal>
          <c:yVal>
            <c:numRef>
              <c:f>集計用!$W$38:$W$38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C6C-4671-84A8-8A6D73345752}"/>
            </c:ext>
          </c:extLst>
        </c:ser>
        <c:ser>
          <c:idx val="37"/>
          <c:order val="37"/>
          <c:tx>
            <c:strRef>
              <c:f>集計用!$A$39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集計用!$V$39:$V$39</c:f>
            </c:numRef>
          </c:xVal>
          <c:yVal>
            <c:numRef>
              <c:f>集計用!$W$39:$W$39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C6C-4671-84A8-8A6D73345752}"/>
            </c:ext>
          </c:extLst>
        </c:ser>
        <c:ser>
          <c:idx val="38"/>
          <c:order val="38"/>
          <c:tx>
            <c:strRef>
              <c:f>集計用!$A$40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集計用!$V$40:$V$40</c:f>
            </c:numRef>
          </c:xVal>
          <c:yVal>
            <c:numRef>
              <c:f>集計用!$W$40:$W$40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C6C-4671-84A8-8A6D73345752}"/>
            </c:ext>
          </c:extLst>
        </c:ser>
        <c:ser>
          <c:idx val="39"/>
          <c:order val="39"/>
          <c:tx>
            <c:strRef>
              <c:f>集計用!$A$41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集計用!$V$41:$V$41</c:f>
            </c:numRef>
          </c:xVal>
          <c:yVal>
            <c:numRef>
              <c:f>集計用!$W$41:$W$41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C6C-4671-84A8-8A6D73345752}"/>
            </c:ext>
          </c:extLst>
        </c:ser>
        <c:ser>
          <c:idx val="40"/>
          <c:order val="40"/>
          <c:tx>
            <c:strRef>
              <c:f>集計用!$A$42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集計用!$V$42:$V$42</c:f>
            </c:numRef>
          </c:xVal>
          <c:yVal>
            <c:numRef>
              <c:f>集計用!$W$42:$W$42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C6C-4671-84A8-8A6D73345752}"/>
            </c:ext>
          </c:extLst>
        </c:ser>
        <c:ser>
          <c:idx val="41"/>
          <c:order val="41"/>
          <c:tx>
            <c:strRef>
              <c:f>集計用!$A$43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集計用!$V$43:$V$43</c:f>
            </c:numRef>
          </c:xVal>
          <c:yVal>
            <c:numRef>
              <c:f>集計用!$W$43:$W$43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BC6C-4671-84A8-8A6D73345752}"/>
            </c:ext>
          </c:extLst>
        </c:ser>
        <c:ser>
          <c:idx val="42"/>
          <c:order val="42"/>
          <c:tx>
            <c:strRef>
              <c:f>集計用!$A$44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集計用!$V$44:$V$44</c:f>
            </c:numRef>
          </c:xVal>
          <c:yVal>
            <c:numRef>
              <c:f>集計用!$W$44:$W$44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C6C-4671-84A8-8A6D73345752}"/>
            </c:ext>
          </c:extLst>
        </c:ser>
        <c:ser>
          <c:idx val="43"/>
          <c:order val="43"/>
          <c:tx>
            <c:strRef>
              <c:f>集計用!$A$45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集計用!$V$45:$V$45</c:f>
            </c:numRef>
          </c:xVal>
          <c:yVal>
            <c:numRef>
              <c:f>集計用!$W$45:$W$45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C6C-4671-84A8-8A6D73345752}"/>
            </c:ext>
          </c:extLst>
        </c:ser>
        <c:ser>
          <c:idx val="44"/>
          <c:order val="44"/>
          <c:tx>
            <c:strRef>
              <c:f>集計用!$A$46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集計用!$V$46:$V$46</c:f>
            </c:numRef>
          </c:xVal>
          <c:yVal>
            <c:numRef>
              <c:f>集計用!$W$46:$W$46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C6C-4671-84A8-8A6D73345752}"/>
            </c:ext>
          </c:extLst>
        </c:ser>
        <c:ser>
          <c:idx val="45"/>
          <c:order val="45"/>
          <c:tx>
            <c:strRef>
              <c:f>集計用!$A$47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集計用!$V$47:$V$47</c:f>
            </c:numRef>
          </c:xVal>
          <c:yVal>
            <c:numRef>
              <c:f>集計用!$W$47:$W$47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BC6C-4671-84A8-8A6D73345752}"/>
            </c:ext>
          </c:extLst>
        </c:ser>
        <c:ser>
          <c:idx val="46"/>
          <c:order val="46"/>
          <c:tx>
            <c:strRef>
              <c:f>集計用!$A$48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集計用!$V$48:$V$48</c:f>
            </c:numRef>
          </c:xVal>
          <c:yVal>
            <c:numRef>
              <c:f>集計用!$W$48:$W$48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BC6C-4671-84A8-8A6D73345752}"/>
            </c:ext>
          </c:extLst>
        </c:ser>
        <c:ser>
          <c:idx val="47"/>
          <c:order val="47"/>
          <c:tx>
            <c:strRef>
              <c:f>集計用!$A$49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集計用!$V$49:$V$49</c:f>
            </c:numRef>
          </c:xVal>
          <c:yVal>
            <c:numRef>
              <c:f>集計用!$W$49:$W$49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BC6C-4671-84A8-8A6D73345752}"/>
            </c:ext>
          </c:extLst>
        </c:ser>
        <c:ser>
          <c:idx val="48"/>
          <c:order val="48"/>
          <c:tx>
            <c:strRef>
              <c:f>集計用!$A$50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集計用!$V$50:$V$50</c:f>
            </c:numRef>
          </c:xVal>
          <c:yVal>
            <c:numRef>
              <c:f>集計用!$W$50:$W$50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BC6C-4671-84A8-8A6D73345752}"/>
            </c:ext>
          </c:extLst>
        </c:ser>
        <c:ser>
          <c:idx val="49"/>
          <c:order val="49"/>
          <c:tx>
            <c:strRef>
              <c:f>集計用!$A$51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集計用!$V$51:$V$51</c:f>
            </c:numRef>
          </c:xVal>
          <c:yVal>
            <c:numRef>
              <c:f>集計用!$W$51:$W$51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BC6C-4671-84A8-8A6D73345752}"/>
            </c:ext>
          </c:extLst>
        </c:ser>
        <c:ser>
          <c:idx val="50"/>
          <c:order val="50"/>
          <c:tx>
            <c:v>x基準</c:v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xVal>
            <c:numRef>
              <c:f>集計用!$AE$2:$AE$3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xVal>
          <c:yVal>
            <c:numRef>
              <c:f>集計用!$AF$2:$AF$3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BC6C-4671-84A8-8A6D73345752}"/>
            </c:ext>
          </c:extLst>
        </c:ser>
        <c:ser>
          <c:idx val="51"/>
          <c:order val="51"/>
          <c:tx>
            <c:v>y基準</c:v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xVal>
            <c:numRef>
              <c:f>集計用!$AG$2:$AG$3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xVal>
          <c:yVal>
            <c:numRef>
              <c:f>集計用!$AH$2:$AH$3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BC6C-4671-84A8-8A6D73345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2.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ピッキング時間（分/個）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30002"/>
        <c:crosses val="autoZero"/>
        <c:crossBetween val="midCat"/>
        <c:majorUnit val="0.2"/>
      </c:valAx>
      <c:valAx>
        <c:axId val="50030002"/>
        <c:scaling>
          <c:orientation val="minMax"/>
          <c:max val="2.4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梱包時間（分/個）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30001"/>
        <c:crosses val="autoZero"/>
        <c:crossBetween val="midCat"/>
        <c:majorUnit val="0.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38100</xdr:rowOff>
    </xdr:from>
    <xdr:to>
      <xdr:col>16</xdr:col>
      <xdr:colOff>266700</xdr:colOff>
      <xdr:row>42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52</xdr:row>
      <xdr:rowOff>38100</xdr:rowOff>
    </xdr:from>
    <xdr:to>
      <xdr:col>19</xdr:col>
      <xdr:colOff>28575</xdr:colOff>
      <xdr:row>80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94</xdr:row>
      <xdr:rowOff>38100</xdr:rowOff>
    </xdr:from>
    <xdr:to>
      <xdr:col>19</xdr:col>
      <xdr:colOff>28575</xdr:colOff>
      <xdr:row>129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86</xdr:row>
      <xdr:rowOff>0</xdr:rowOff>
    </xdr:from>
    <xdr:to>
      <xdr:col>6</xdr:col>
      <xdr:colOff>238125</xdr:colOff>
      <xdr:row>87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038475" y="16383000"/>
          <a:ext cx="952500" cy="361950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ピッキング</a:t>
          </a:r>
        </a:p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142875</xdr:colOff>
      <xdr:row>87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181600" y="16383000"/>
          <a:ext cx="857250" cy="361950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梱包</a:t>
          </a:r>
        </a:p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12</xdr:col>
      <xdr:colOff>333375</xdr:colOff>
      <xdr:row>87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858000" y="16383000"/>
          <a:ext cx="1047750" cy="361950"/>
        </a:xfrm>
        <a:prstGeom prst="rect">
          <a:avLst/>
        </a:prstGeom>
        <a:solidFill>
          <a:srgbClr val="F8CBAD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両工程の</a:t>
          </a:r>
        </a:p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改善が必要</a:t>
          </a:r>
        </a:p>
      </xdr:txBody>
    </xdr:sp>
    <xdr:clientData/>
  </xdr:twoCellAnchor>
  <xdr:twoCellAnchor>
    <xdr:from>
      <xdr:col>2</xdr:col>
      <xdr:colOff>217714</xdr:colOff>
      <xdr:row>97</xdr:row>
      <xdr:rowOff>149679</xdr:rowOff>
    </xdr:from>
    <xdr:to>
      <xdr:col>4</xdr:col>
      <xdr:colOff>462643</xdr:colOff>
      <xdr:row>101</xdr:row>
      <xdr:rowOff>40822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38250" y="17920608"/>
          <a:ext cx="1877786" cy="598714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1">
              <a:solidFill>
                <a:srgbClr val="7F3F00"/>
              </a:solidFill>
              <a:latin typeface="Meiryo UI"/>
              <a:cs typeface="Meiryo UI"/>
            </a:rPr>
            <a:t>梱包改善</a:t>
          </a:r>
        </a:p>
      </xdr:txBody>
    </xdr:sp>
    <xdr:clientData/>
  </xdr:twoCellAnchor>
  <xdr:twoCellAnchor>
    <xdr:from>
      <xdr:col>15</xdr:col>
      <xdr:colOff>544286</xdr:colOff>
      <xdr:row>97</xdr:row>
      <xdr:rowOff>27214</xdr:rowOff>
    </xdr:from>
    <xdr:to>
      <xdr:col>18</xdr:col>
      <xdr:colOff>346983</xdr:colOff>
      <xdr:row>100</xdr:row>
      <xdr:rowOff>122465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47715" y="17798143"/>
          <a:ext cx="2251982" cy="625929"/>
        </a:xfrm>
        <a:prstGeom prst="rect">
          <a:avLst/>
        </a:prstGeom>
        <a:solidFill>
          <a:srgbClr val="F4CCCC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/>
          <a:r>
            <a:rPr lang="en-US" sz="1800" b="1">
              <a:solidFill>
                <a:srgbClr val="9C0006"/>
              </a:solidFill>
              <a:latin typeface="Meiryo UI"/>
              <a:cs typeface="Meiryo UI"/>
            </a:rPr>
            <a:t>要改善（両方遅い</a:t>
          </a:r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）</a:t>
          </a:r>
        </a:p>
      </xdr:txBody>
    </xdr:sp>
    <xdr:clientData/>
  </xdr:twoCellAnchor>
  <xdr:twoCellAnchor>
    <xdr:from>
      <xdr:col>2</xdr:col>
      <xdr:colOff>108856</xdr:colOff>
      <xdr:row>122</xdr:row>
      <xdr:rowOff>13607</xdr:rowOff>
    </xdr:from>
    <xdr:to>
      <xdr:col>4</xdr:col>
      <xdr:colOff>231322</xdr:colOff>
      <xdr:row>125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129392" y="22206857"/>
          <a:ext cx="1755323" cy="612321"/>
        </a:xfrm>
        <a:prstGeom prst="rect">
          <a:avLst/>
        </a:prstGeom>
        <a:solidFill>
          <a:srgbClr val="E2F0D9"/>
        </a:solidFill>
        <a:ln w="9525" cmpd="sng">
          <a:solidFill>
            <a:srgbClr val="70AD4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800" b="1">
              <a:solidFill>
                <a:srgbClr val="006100"/>
              </a:solidFill>
              <a:latin typeface="Meiryo UI"/>
              <a:cs typeface="Meiryo UI"/>
            </a:rPr>
            <a:t>良好</a:t>
          </a:r>
        </a:p>
      </xdr:txBody>
    </xdr:sp>
    <xdr:clientData/>
  </xdr:twoCellAnchor>
  <xdr:twoCellAnchor>
    <xdr:from>
      <xdr:col>16</xdr:col>
      <xdr:colOff>27214</xdr:colOff>
      <xdr:row>121</xdr:row>
      <xdr:rowOff>163286</xdr:rowOff>
    </xdr:from>
    <xdr:to>
      <xdr:col>18</xdr:col>
      <xdr:colOff>251732</xdr:colOff>
      <xdr:row>125</xdr:row>
      <xdr:rowOff>149678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1947071" y="22179643"/>
          <a:ext cx="1857375" cy="693964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800" b="1">
              <a:solidFill>
                <a:srgbClr val="1F4E78"/>
              </a:solidFill>
              <a:latin typeface="Meiryo UI"/>
              <a:cs typeface="Meiryo UI"/>
            </a:rPr>
            <a:t>ピッキング改善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07605-F9F4-4B3B-81BF-1E9FA3D146B6}" name="テーブル1" displayName="テーブル1" ref="A8:K58" totalsRowShown="0" headerRowDxfId="29" dataDxfId="27" headerRowBorderDxfId="28" tableBorderDxfId="26" totalsRowBorderDxfId="25">
  <autoFilter ref="A8:K58" xr:uid="{A3607605-F9F4-4B3B-81BF-1E9FA3D146B6}"/>
  <tableColumns count="11">
    <tableColumn id="1" xr3:uid="{271468D3-C87E-4AF5-B10B-7BE7BCC394D0}" name="No" dataDxfId="24"/>
    <tableColumn id="2" xr3:uid="{AED405B5-E940-4D95-9B10-40B13FF1C4BC}" name="担当者" dataDxfId="23"/>
    <tableColumn id="3" xr3:uid="{DE4BDBC0-E6CF-4C9E-A448-300210313092}" name="ピッキング実績_x000a_（分/個）" dataDxfId="22"/>
    <tableColumn id="4" xr3:uid="{BF4DCCA3-7D79-498F-8240-96C3011B0F37}" name="梱包実績_x000a_（分/個）" dataDxfId="21"/>
    <tableColumn id="5" xr3:uid="{DEDEFA75-22B5-4033-B979-B179E6CD36D7}" name="合計実績_x000a_（分/個）" dataDxfId="20">
      <calculatedColumnFormula>IF(OR(B9="",NOT(ISNUMBER(C9)),NOT(ISNUMBER(D9))),"",C9+D9)</calculatedColumnFormula>
    </tableColumn>
    <tableColumn id="6" xr3:uid="{2ECE96C3-B6D9-4E51-9684-2F0A6E500F47}" name="達成率" dataDxfId="19">
      <calculatedColumnFormula>IF(OR(E9="",E9=0),"",$D$5/E9)</calculatedColumnFormula>
    </tableColumn>
    <tableColumn id="7" xr3:uid="{F085B9D6-2F45-4CFA-90BD-CE1E21C9FFF2}" name="ピック差_x000a_（分）" dataDxfId="18">
      <calculatedColumnFormula>IF(OR(B9="",NOT(ISNUMBER(C9))),"",C9-$B$5)</calculatedColumnFormula>
    </tableColumn>
    <tableColumn id="8" xr3:uid="{C73E90AD-7DFD-47CA-B5EC-0687CEDDB5C7}" name="梱包差_x000a_（分）" dataDxfId="17">
      <calculatedColumnFormula>IF(OR(B9="",NOT(ISNUMBER(D9))),"",D9-$C$5)</calculatedColumnFormula>
    </tableColumn>
    <tableColumn id="9" xr3:uid="{7FCC2BCB-7E0F-4B0A-B23E-F2435F387409}" name="目標との差_x000a_（分）" dataDxfId="16">
      <calculatedColumnFormula>IF(OR(E9="",E9=0),"",E9-$D$5)</calculatedColumnFormula>
    </tableColumn>
    <tableColumn id="10" xr3:uid="{79C63236-401B-4596-9ED3-412F15BA5C76}" name="改善分類" dataDxfId="15">
      <calculatedColumnFormula>IF(OR(E9="",E9=0),"",IF(AND(G9&gt;0,H9&gt;0),"要改善（両方遅い）",IF(G9&gt;0,"ピッキング改善",IF(H9&gt;0,"梱包改善","良好"))))</calculatedColumnFormula>
    </tableColumn>
    <tableColumn id="11" xr3:uid="{585C0FCC-2BB3-4CD5-B9A1-44793B886B08}" name="コメント" dataDxfId="14">
      <calculatedColumnFormula>IF(OR(E9="",E9=0),"",IF(AND(G9&gt;0,H9&gt;0),IF(I9&gt;=0.2,"両工程を見直し","両工程を微改善"),IF(AND(I9&gt;0,G9&gt;0),"ピック導線を改善",IF(AND(I9&gt;0,H9&gt;0),"梱包手順を改善",IF(AND(G9&lt;0,H9&lt;0),"良好","目標達成")))))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597A2-BAE5-40F8-8764-5C24B0FCC2B8}" name="テーブル2" displayName="テーブル2" ref="O8:P58" totalsRowShown="0" headerRowDxfId="0" headerRowBorderDxfId="4" tableBorderDxfId="5" totalsRowBorderDxfId="3">
  <autoFilter ref="O8:P58" xr:uid="{06F597A2-BAE5-40F8-8764-5C24B0FCC2B8}"/>
  <tableColumns count="2">
    <tableColumn id="1" xr3:uid="{C09BA62A-C4AB-4072-8CF7-F35F885FC60B}" name="ピッキング件数" dataDxfId="2"/>
    <tableColumn id="2" xr3:uid="{5E18612F-6C33-4412-9938-E3E68E047306}" name="梱包件数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04"/>
  <sheetViews>
    <sheetView showGridLines="0" topLeftCell="B1" zoomScale="70" zoomScaleNormal="70" workbookViewId="0">
      <pane ySplit="6" topLeftCell="A123" activePane="bottomLeft" state="frozen"/>
      <selection pane="bottomLeft" activeCell="T109" sqref="T109"/>
    </sheetView>
  </sheetViews>
  <sheetFormatPr defaultRowHeight="13.5" x14ac:dyDescent="0.15"/>
  <cols>
    <col min="1" max="1" width="2.75" customWidth="1"/>
    <col min="2" max="10" width="10.75" customWidth="1"/>
    <col min="11" max="11" width="3.75" customWidth="1"/>
    <col min="12" max="20" width="10.75" customWidth="1"/>
  </cols>
  <sheetData>
    <row r="1" spans="2:20" ht="30" x14ac:dyDescent="0.15">
      <c r="B1" s="38" t="s">
        <v>39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2:20" ht="16.5" x14ac:dyDescent="0.15">
      <c r="B2" s="39" t="str">
        <f>"目標：ピッキング"&amp;TEXT(入力!$B$5,"0.0")&amp;"分 / 梱包"&amp;TEXT(入力!$C$5,"0.0")&amp;"分 / 合計"&amp;TEXT(入力!$D$5,"0.0")&amp;"分/個"</f>
        <v>目標：ピッキング1.6分 / 梱包1.6分 / 合計3.2分/個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2:20" ht="15.75" x14ac:dyDescent="0.25">
      <c r="B3" s="1" t="s">
        <v>40</v>
      </c>
      <c r="Q3" s="40" t="str">
        <f>"達成率 ＝ "&amp;TEXT(入力!$D$5,"0.0")&amp;" ÷ 実績合計 × 100"&amp;CHAR(10)&amp;"（実績合計＝ピッキング＋梱包）"</f>
        <v>達成率 ＝ 3.2 ÷ 実績合計 × 100
（実績合計＝ピッキング＋梱包）</v>
      </c>
      <c r="R3" s="40"/>
      <c r="S3" s="40"/>
      <c r="T3" s="40"/>
    </row>
    <row r="4" spans="2:20" ht="15" x14ac:dyDescent="0.25">
      <c r="B4" s="2" t="s">
        <v>41</v>
      </c>
      <c r="Q4" s="40"/>
      <c r="R4" s="40"/>
      <c r="S4" s="40"/>
      <c r="T4" s="40"/>
    </row>
    <row r="5" spans="2:20" ht="15.75" x14ac:dyDescent="0.15">
      <c r="B5" s="41" t="s">
        <v>84</v>
      </c>
      <c r="C5" s="41"/>
      <c r="D5" s="41" t="s">
        <v>42</v>
      </c>
      <c r="E5" s="41"/>
      <c r="F5" s="41" t="s">
        <v>43</v>
      </c>
      <c r="G5" s="41"/>
      <c r="H5" s="41" t="s">
        <v>44</v>
      </c>
      <c r="I5" s="41"/>
      <c r="J5" s="41" t="s">
        <v>45</v>
      </c>
      <c r="K5" s="41"/>
      <c r="L5" s="41" t="s">
        <v>46</v>
      </c>
      <c r="M5" s="41"/>
      <c r="Q5" s="40"/>
      <c r="R5" s="40"/>
      <c r="S5" s="40"/>
      <c r="T5" s="40"/>
    </row>
    <row r="6" spans="2:20" ht="15.75" x14ac:dyDescent="0.15">
      <c r="B6" s="42">
        <f>IFERROR(入力!$D$5/AVERAGE(入力!E9:E58),"")</f>
        <v>1.0537261698440208</v>
      </c>
      <c r="C6" s="42"/>
      <c r="D6" s="43">
        <f>COUNTIF(入力!F9:F58,"&gt;=1")</f>
        <v>12</v>
      </c>
      <c r="E6" s="43"/>
      <c r="F6" s="43">
        <f>COUNTIF(入力!I9:I58,"&gt;0")</f>
        <v>7</v>
      </c>
      <c r="G6" s="43"/>
      <c r="H6" s="44">
        <f>IFERROR(AVERAGE(入力!C9:C58),"")</f>
        <v>1.5519999999999998</v>
      </c>
      <c r="I6" s="44"/>
      <c r="J6" s="44">
        <f>IFERROR(AVERAGE(入力!D9:D58),"")</f>
        <v>1.5368421052631578</v>
      </c>
      <c r="K6" s="44"/>
      <c r="L6" s="44">
        <f>IFERROR(AVERAGE(入力!E9:E58),"")</f>
        <v>3.0368421052631582</v>
      </c>
      <c r="M6" s="44"/>
    </row>
    <row r="9" spans="2:20" ht="20.25" x14ac:dyDescent="0.15">
      <c r="B9" s="36" t="s">
        <v>47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</row>
    <row r="10" spans="2:20" ht="15" x14ac:dyDescent="0.25">
      <c r="B10" s="2" t="s">
        <v>48</v>
      </c>
    </row>
    <row r="50" spans="2:20" ht="20.25" x14ac:dyDescent="0.15">
      <c r="B50" s="36" t="s">
        <v>49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</row>
    <row r="51" spans="2:20" ht="15" x14ac:dyDescent="0.25">
      <c r="B51" s="2" t="s">
        <v>50</v>
      </c>
    </row>
    <row r="92" spans="2:20" ht="20.25" x14ac:dyDescent="0.15">
      <c r="B92" s="36" t="s">
        <v>51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</row>
    <row r="93" spans="2:20" ht="15" x14ac:dyDescent="0.25">
      <c r="B93" s="2" t="s">
        <v>52</v>
      </c>
    </row>
    <row r="140" spans="2:20" ht="20.25" x14ac:dyDescent="0.15">
      <c r="B140" s="36" t="s">
        <v>53</v>
      </c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</row>
    <row r="141" spans="2:20" ht="15" x14ac:dyDescent="0.25">
      <c r="B141" s="2" t="s">
        <v>54</v>
      </c>
    </row>
    <row r="143" spans="2:20" x14ac:dyDescent="0.15">
      <c r="B143" s="37" t="s">
        <v>55</v>
      </c>
      <c r="C143" s="37" t="s">
        <v>10</v>
      </c>
      <c r="D143" s="37"/>
      <c r="E143" s="37" t="s">
        <v>13</v>
      </c>
      <c r="F143" s="37"/>
      <c r="G143" s="37" t="s">
        <v>17</v>
      </c>
      <c r="H143" s="37"/>
      <c r="I143" s="37" t="s">
        <v>19</v>
      </c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</row>
    <row r="144" spans="2:20" x14ac:dyDescent="0.15"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</row>
    <row r="145" spans="2:20" ht="15.75" x14ac:dyDescent="0.15">
      <c r="B145" s="11">
        <v>1</v>
      </c>
      <c r="C145" s="32" t="str">
        <f>集計用!I2</f>
        <v>菊池　敬</v>
      </c>
      <c r="D145" s="32"/>
      <c r="E145" s="33">
        <f>集計用!L2</f>
        <v>4.2</v>
      </c>
      <c r="F145" s="33"/>
      <c r="G145" s="34">
        <f>集計用!M2</f>
        <v>1</v>
      </c>
      <c r="H145" s="34"/>
      <c r="I145" s="35" t="str">
        <f>集計用!O2</f>
        <v>両工程を見直し</v>
      </c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</row>
    <row r="146" spans="2:20" ht="15.75" x14ac:dyDescent="0.15">
      <c r="B146" s="11">
        <v>2</v>
      </c>
      <c r="C146" s="32" t="str">
        <f>集計用!I3</f>
        <v>森田　美加</v>
      </c>
      <c r="D146" s="32"/>
      <c r="E146" s="33">
        <f>集計用!L3</f>
        <v>4.2</v>
      </c>
      <c r="F146" s="33"/>
      <c r="G146" s="34">
        <f>集計用!M3</f>
        <v>1</v>
      </c>
      <c r="H146" s="34"/>
      <c r="I146" s="35" t="str">
        <f>集計用!O3</f>
        <v>梱包手順を改善</v>
      </c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</row>
    <row r="147" spans="2:20" ht="15.75" x14ac:dyDescent="0.15">
      <c r="B147" s="11">
        <v>3</v>
      </c>
      <c r="C147" s="32" t="str">
        <f>集計用!I4</f>
        <v>木村　千鶴</v>
      </c>
      <c r="D147" s="32"/>
      <c r="E147" s="33">
        <f>集計用!L4</f>
        <v>3.9000000000000004</v>
      </c>
      <c r="F147" s="33"/>
      <c r="G147" s="34">
        <f>集計用!M4</f>
        <v>0.70000000000000018</v>
      </c>
      <c r="H147" s="34"/>
      <c r="I147" s="35" t="str">
        <f>集計用!O4</f>
        <v>両工程を見直し</v>
      </c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</row>
    <row r="148" spans="2:20" ht="15.75" x14ac:dyDescent="0.15">
      <c r="B148" s="11">
        <v>4</v>
      </c>
      <c r="C148" s="32" t="str">
        <f>集計用!I5</f>
        <v>片岡　達也</v>
      </c>
      <c r="D148" s="32"/>
      <c r="E148" s="33">
        <f>集計用!L5</f>
        <v>3.7</v>
      </c>
      <c r="F148" s="33"/>
      <c r="G148" s="34">
        <f>集計用!M5</f>
        <v>0.5</v>
      </c>
      <c r="H148" s="34"/>
      <c r="I148" s="35" t="str">
        <f>集計用!O5</f>
        <v>ピック導線を改善</v>
      </c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</row>
    <row r="149" spans="2:20" ht="15.75" x14ac:dyDescent="0.15">
      <c r="B149" s="11">
        <v>5</v>
      </c>
      <c r="C149" s="32" t="str">
        <f>集計用!I6</f>
        <v>廣瀬　こずえ</v>
      </c>
      <c r="D149" s="32"/>
      <c r="E149" s="33">
        <f>集計用!L6</f>
        <v>2</v>
      </c>
      <c r="F149" s="33"/>
      <c r="G149" s="34">
        <f>集計用!M6</f>
        <v>0.39999999999999991</v>
      </c>
      <c r="H149" s="34"/>
      <c r="I149" s="35" t="str">
        <f>集計用!O6</f>
        <v>ピッキング改善（梱包未入力）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spans="2:20" ht="15.75" x14ac:dyDescent="0.15">
      <c r="B150" s="11">
        <v>6</v>
      </c>
      <c r="C150" s="32" t="str">
        <f>集計用!I7</f>
        <v>高橋　正美</v>
      </c>
      <c r="D150" s="32"/>
      <c r="E150" s="33">
        <f>集計用!L7</f>
        <v>1.9</v>
      </c>
      <c r="F150" s="33"/>
      <c r="G150" s="34">
        <f>集計用!M7</f>
        <v>0.29999999999999982</v>
      </c>
      <c r="H150" s="34"/>
      <c r="I150" s="35" t="str">
        <f>集計用!O7</f>
        <v>ピッキング改善（梱包未入力）</v>
      </c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</row>
    <row r="151" spans="2:20" ht="15.75" x14ac:dyDescent="0.15">
      <c r="B151" s="11">
        <v>7</v>
      </c>
      <c r="C151" s="32" t="str">
        <f>集計用!I8</f>
        <v>高橋　佐織</v>
      </c>
      <c r="D151" s="32"/>
      <c r="E151" s="33">
        <f>集計用!L8</f>
        <v>3.5</v>
      </c>
      <c r="F151" s="33"/>
      <c r="G151" s="34">
        <f>集計用!M8</f>
        <v>0.29999999999999982</v>
      </c>
      <c r="H151" s="34"/>
      <c r="I151" s="35" t="str">
        <f>集計用!O8</f>
        <v>両工程を見直し</v>
      </c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</row>
    <row r="152" spans="2:20" ht="15.75" x14ac:dyDescent="0.15">
      <c r="B152" s="11">
        <v>8</v>
      </c>
      <c r="C152" s="32" t="str">
        <f>集計用!I9</f>
        <v>秋草　文恵</v>
      </c>
      <c r="D152" s="32"/>
      <c r="E152" s="33">
        <f>集計用!L9</f>
        <v>1.8</v>
      </c>
      <c r="F152" s="33"/>
      <c r="G152" s="34">
        <f>集計用!M9</f>
        <v>0.19999999999999996</v>
      </c>
      <c r="H152" s="34"/>
      <c r="I152" s="35" t="str">
        <f>集計用!O9</f>
        <v>ピッキング改善（梱包未入力）</v>
      </c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</row>
    <row r="153" spans="2:20" ht="15.75" x14ac:dyDescent="0.15">
      <c r="B153" s="11">
        <v>9</v>
      </c>
      <c r="C153" s="32" t="str">
        <f>集計用!I10</f>
        <v>上村　和恵</v>
      </c>
      <c r="D153" s="32"/>
      <c r="E153" s="33">
        <f>集計用!L10</f>
        <v>1.8</v>
      </c>
      <c r="F153" s="33"/>
      <c r="G153" s="34">
        <f>集計用!M10</f>
        <v>0.19999999999999996</v>
      </c>
      <c r="H153" s="34"/>
      <c r="I153" s="35" t="str">
        <f>集計用!O10</f>
        <v>ピッキング改善（梱包未入力）</v>
      </c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</row>
    <row r="154" spans="2:20" ht="15.75" x14ac:dyDescent="0.15">
      <c r="B154" s="11">
        <v>10</v>
      </c>
      <c r="C154" s="32" t="str">
        <f>集計用!I11</f>
        <v>後藤　克行</v>
      </c>
      <c r="D154" s="32"/>
      <c r="E154" s="33">
        <f>集計用!L11</f>
        <v>3.4</v>
      </c>
      <c r="F154" s="33"/>
      <c r="G154" s="34">
        <f>集計用!M11</f>
        <v>0.19999999999999973</v>
      </c>
      <c r="H154" s="34"/>
      <c r="I154" s="35" t="str">
        <f>集計用!O11</f>
        <v>梱包手順を改善</v>
      </c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</row>
    <row r="155" spans="2:20" ht="15.75" x14ac:dyDescent="0.15">
      <c r="B155" s="11">
        <v>11</v>
      </c>
      <c r="C155" s="32" t="str">
        <f>集計用!I12</f>
        <v>中納　沙織</v>
      </c>
      <c r="D155" s="32"/>
      <c r="E155" s="33">
        <f>集計用!L12</f>
        <v>3.4000000000000004</v>
      </c>
      <c r="F155" s="33"/>
      <c r="G155" s="34">
        <f>集計用!M12</f>
        <v>0.20000000000000018</v>
      </c>
      <c r="H155" s="34"/>
      <c r="I155" s="35" t="str">
        <f>集計用!O12</f>
        <v>梱包手順を改善</v>
      </c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</row>
    <row r="156" spans="2:20" ht="15.75" x14ac:dyDescent="0.15">
      <c r="B156" s="11">
        <v>12</v>
      </c>
      <c r="C156" s="32" t="str">
        <f>集計用!I13</f>
        <v>飯田　由加里</v>
      </c>
      <c r="D156" s="32"/>
      <c r="E156" s="33">
        <f>集計用!L13</f>
        <v>3.2</v>
      </c>
      <c r="F156" s="33"/>
      <c r="G156" s="34">
        <f>集計用!M13</f>
        <v>0</v>
      </c>
      <c r="H156" s="34"/>
      <c r="I156" s="35" t="str">
        <f>集計用!O13</f>
        <v>目標達成</v>
      </c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</row>
    <row r="157" spans="2:20" ht="15.75" x14ac:dyDescent="0.15">
      <c r="B157" s="11">
        <v>13</v>
      </c>
      <c r="C157" s="32" t="str">
        <f>集計用!I14</f>
        <v>山本　祥吉</v>
      </c>
      <c r="D157" s="32"/>
      <c r="E157" s="33">
        <f>集計用!L14</f>
        <v>3.2</v>
      </c>
      <c r="F157" s="33"/>
      <c r="G157" s="34">
        <f>集計用!M14</f>
        <v>0</v>
      </c>
      <c r="H157" s="34"/>
      <c r="I157" s="35" t="str">
        <f>集計用!O14</f>
        <v>目標達成</v>
      </c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</row>
    <row r="158" spans="2:20" ht="15.75" x14ac:dyDescent="0.15">
      <c r="B158" s="11">
        <v>14</v>
      </c>
      <c r="C158" s="32" t="str">
        <f>集計用!I15</f>
        <v>澤田　凌</v>
      </c>
      <c r="D158" s="32"/>
      <c r="E158" s="33">
        <f>集計用!L15</f>
        <v>3.2</v>
      </c>
      <c r="F158" s="33"/>
      <c r="G158" s="34">
        <f>集計用!M15</f>
        <v>0</v>
      </c>
      <c r="H158" s="34"/>
      <c r="I158" s="35" t="str">
        <f>集計用!O15</f>
        <v>目標達成</v>
      </c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spans="2:20" ht="15.75" x14ac:dyDescent="0.15">
      <c r="B159" s="11">
        <v>15</v>
      </c>
      <c r="C159" s="32" t="str">
        <f>集計用!I16</f>
        <v>向井　ひかり</v>
      </c>
      <c r="D159" s="32"/>
      <c r="E159" s="33">
        <f>集計用!L16</f>
        <v>1.5</v>
      </c>
      <c r="F159" s="33"/>
      <c r="G159" s="34">
        <f>集計用!M16</f>
        <v>-0.10000000000000009</v>
      </c>
      <c r="H159" s="34"/>
      <c r="I159" s="35" t="str">
        <f>集計用!O16</f>
        <v>良好（梱包未入力）</v>
      </c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</row>
    <row r="160" spans="2:20" ht="15.75" x14ac:dyDescent="0.15">
      <c r="B160" s="11">
        <v>16</v>
      </c>
      <c r="C160" s="32" t="str">
        <f>集計用!I17</f>
        <v>鈴木　香織</v>
      </c>
      <c r="D160" s="32"/>
      <c r="E160" s="33">
        <f>集計用!L17</f>
        <v>3</v>
      </c>
      <c r="F160" s="33"/>
      <c r="G160" s="34">
        <f>集計用!M17</f>
        <v>-0.20000000000000018</v>
      </c>
      <c r="H160" s="34"/>
      <c r="I160" s="35" t="str">
        <f>集計用!O17</f>
        <v>目標達成</v>
      </c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</row>
    <row r="161" spans="2:20" ht="15.75" x14ac:dyDescent="0.15">
      <c r="B161" s="11">
        <v>17</v>
      </c>
      <c r="C161" s="32" t="str">
        <f>集計用!I18</f>
        <v>森本　久美</v>
      </c>
      <c r="D161" s="32"/>
      <c r="E161" s="33">
        <f>集計用!L18</f>
        <v>3</v>
      </c>
      <c r="F161" s="33"/>
      <c r="G161" s="34">
        <f>集計用!M18</f>
        <v>-0.20000000000000018</v>
      </c>
      <c r="H161" s="34"/>
      <c r="I161" s="35" t="str">
        <f>集計用!O18</f>
        <v>目標達成</v>
      </c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</row>
    <row r="162" spans="2:20" ht="15.75" x14ac:dyDescent="0.15">
      <c r="B162" s="11">
        <v>18</v>
      </c>
      <c r="C162" s="32" t="str">
        <f>集計用!I19</f>
        <v>石戸谷　亜子</v>
      </c>
      <c r="D162" s="32"/>
      <c r="E162" s="33">
        <f>集計用!L19</f>
        <v>1.3</v>
      </c>
      <c r="F162" s="33"/>
      <c r="G162" s="34">
        <f>集計用!M19</f>
        <v>-0.30000000000000004</v>
      </c>
      <c r="H162" s="34"/>
      <c r="I162" s="35" t="str">
        <f>集計用!O19</f>
        <v>良好（梱包未入力）</v>
      </c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</row>
    <row r="163" spans="2:20" ht="15.75" x14ac:dyDescent="0.15">
      <c r="B163" s="11">
        <v>19</v>
      </c>
      <c r="C163" s="32" t="str">
        <f>集計用!I20</f>
        <v>北田　倫子</v>
      </c>
      <c r="D163" s="32"/>
      <c r="E163" s="33">
        <f>集計用!L20</f>
        <v>2.8</v>
      </c>
      <c r="F163" s="33"/>
      <c r="G163" s="34">
        <f>集計用!M20</f>
        <v>-0.40000000000000036</v>
      </c>
      <c r="H163" s="34"/>
      <c r="I163" s="35" t="str">
        <f>集計用!O20</f>
        <v>目標達成</v>
      </c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</row>
    <row r="164" spans="2:20" ht="15.75" x14ac:dyDescent="0.15">
      <c r="B164" s="11">
        <v>20</v>
      </c>
      <c r="C164" s="32" t="str">
        <f>集計用!I21</f>
        <v>晩田　恵美</v>
      </c>
      <c r="D164" s="32"/>
      <c r="E164" s="33">
        <f>集計用!L21</f>
        <v>2.5</v>
      </c>
      <c r="F164" s="33"/>
      <c r="G164" s="34">
        <f>集計用!M21</f>
        <v>-0.70000000000000018</v>
      </c>
      <c r="H164" s="34"/>
      <c r="I164" s="35" t="str">
        <f>集計用!O21</f>
        <v>良好</v>
      </c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</row>
    <row r="165" spans="2:20" ht="15.75" x14ac:dyDescent="0.15">
      <c r="B165" s="11">
        <v>21</v>
      </c>
      <c r="C165" s="32" t="str">
        <f>集計用!I22</f>
        <v>大江　美記子</v>
      </c>
      <c r="D165" s="32"/>
      <c r="E165" s="33">
        <f>集計用!L22</f>
        <v>2.4</v>
      </c>
      <c r="F165" s="33"/>
      <c r="G165" s="34">
        <f>集計用!M22</f>
        <v>-0.80000000000000027</v>
      </c>
      <c r="H165" s="34"/>
      <c r="I165" s="35" t="str">
        <f>集計用!O22</f>
        <v>良好</v>
      </c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</row>
    <row r="166" spans="2:20" ht="15.75" x14ac:dyDescent="0.15">
      <c r="B166" s="11">
        <v>22</v>
      </c>
      <c r="C166" s="32" t="str">
        <f>集計用!I23</f>
        <v>佐々木　千恵</v>
      </c>
      <c r="D166" s="32"/>
      <c r="E166" s="33">
        <f>集計用!L23</f>
        <v>2.2999999999999998</v>
      </c>
      <c r="F166" s="33"/>
      <c r="G166" s="34">
        <f>集計用!M23</f>
        <v>-0.90000000000000036</v>
      </c>
      <c r="H166" s="34"/>
      <c r="I166" s="35" t="str">
        <f>集計用!O23</f>
        <v>目標達成</v>
      </c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</row>
    <row r="167" spans="2:20" ht="15.75" x14ac:dyDescent="0.15">
      <c r="B167" s="11">
        <v>23</v>
      </c>
      <c r="C167" s="32" t="str">
        <f>集計用!I24</f>
        <v>河野　忠</v>
      </c>
      <c r="D167" s="32"/>
      <c r="E167" s="33">
        <f>集計用!L24</f>
        <v>2.2000000000000002</v>
      </c>
      <c r="F167" s="33"/>
      <c r="G167" s="34">
        <f>集計用!M24</f>
        <v>-1</v>
      </c>
      <c r="H167" s="34"/>
      <c r="I167" s="35" t="str">
        <f>集計用!O24</f>
        <v>良好</v>
      </c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</row>
    <row r="168" spans="2:20" ht="15.75" x14ac:dyDescent="0.15">
      <c r="B168" s="11">
        <v>24</v>
      </c>
      <c r="C168" s="32" t="str">
        <f>集計用!I25</f>
        <v>本吉　有美子</v>
      </c>
      <c r="D168" s="32"/>
      <c r="E168" s="33">
        <f>集計用!L25</f>
        <v>2.1</v>
      </c>
      <c r="F168" s="33"/>
      <c r="G168" s="34">
        <f>集計用!M25</f>
        <v>-1.1000000000000001</v>
      </c>
      <c r="H168" s="34"/>
      <c r="I168" s="35" t="str">
        <f>集計用!O25</f>
        <v>良好</v>
      </c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</row>
    <row r="169" spans="2:20" ht="15.75" x14ac:dyDescent="0.15">
      <c r="B169" s="11">
        <v>25</v>
      </c>
      <c r="C169" s="32" t="str">
        <f>集計用!I26</f>
        <v>佐藤　辰成</v>
      </c>
      <c r="D169" s="32"/>
      <c r="E169" s="33">
        <f>集計用!L26</f>
        <v>1.5</v>
      </c>
      <c r="F169" s="33"/>
      <c r="G169" s="34">
        <f>集計用!M26</f>
        <v>-1.7000000000000002</v>
      </c>
      <c r="H169" s="34"/>
      <c r="I169" s="35" t="str">
        <f>集計用!O26</f>
        <v>良好</v>
      </c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</row>
    <row r="170" spans="2:20" ht="15.75" x14ac:dyDescent="0.15">
      <c r="B170" s="11">
        <v>26</v>
      </c>
      <c r="C170" s="32" t="str">
        <f>集計用!I27</f>
        <v/>
      </c>
      <c r="D170" s="32"/>
      <c r="E170" s="33" t="str">
        <f>集計用!L27</f>
        <v/>
      </c>
      <c r="F170" s="33"/>
      <c r="G170" s="34" t="str">
        <f>集計用!M27</f>
        <v/>
      </c>
      <c r="H170" s="34"/>
      <c r="I170" s="35" t="str">
        <f>集計用!O27</f>
        <v/>
      </c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</row>
    <row r="171" spans="2:20" ht="15.75" x14ac:dyDescent="0.15">
      <c r="B171" s="11">
        <v>27</v>
      </c>
      <c r="C171" s="32" t="str">
        <f>集計用!I28</f>
        <v/>
      </c>
      <c r="D171" s="32"/>
      <c r="E171" s="33" t="str">
        <f>集計用!L28</f>
        <v/>
      </c>
      <c r="F171" s="33"/>
      <c r="G171" s="34" t="str">
        <f>集計用!M28</f>
        <v/>
      </c>
      <c r="H171" s="34"/>
      <c r="I171" s="35" t="str">
        <f>集計用!O28</f>
        <v/>
      </c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</row>
    <row r="172" spans="2:20" ht="15.75" x14ac:dyDescent="0.15">
      <c r="B172" s="11">
        <v>28</v>
      </c>
      <c r="C172" s="32" t="str">
        <f>集計用!I29</f>
        <v/>
      </c>
      <c r="D172" s="32"/>
      <c r="E172" s="33" t="str">
        <f>集計用!L29</f>
        <v/>
      </c>
      <c r="F172" s="33"/>
      <c r="G172" s="34" t="str">
        <f>集計用!M29</f>
        <v/>
      </c>
      <c r="H172" s="34"/>
      <c r="I172" s="35" t="str">
        <f>集計用!O29</f>
        <v/>
      </c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</row>
    <row r="173" spans="2:20" ht="15.75" x14ac:dyDescent="0.15">
      <c r="B173" s="11">
        <v>29</v>
      </c>
      <c r="C173" s="32" t="str">
        <f>集計用!I30</f>
        <v/>
      </c>
      <c r="D173" s="32"/>
      <c r="E173" s="33" t="str">
        <f>集計用!L30</f>
        <v/>
      </c>
      <c r="F173" s="33"/>
      <c r="G173" s="34" t="str">
        <f>集計用!M30</f>
        <v/>
      </c>
      <c r="H173" s="34"/>
      <c r="I173" s="35" t="str">
        <f>集計用!O30</f>
        <v/>
      </c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</row>
    <row r="174" spans="2:20" ht="15.75" x14ac:dyDescent="0.15">
      <c r="B174" s="11">
        <v>30</v>
      </c>
      <c r="C174" s="32" t="str">
        <f>集計用!I31</f>
        <v/>
      </c>
      <c r="D174" s="32"/>
      <c r="E174" s="33" t="str">
        <f>集計用!L31</f>
        <v/>
      </c>
      <c r="F174" s="33"/>
      <c r="G174" s="34" t="str">
        <f>集計用!M31</f>
        <v/>
      </c>
      <c r="H174" s="34"/>
      <c r="I174" s="35" t="str">
        <f>集計用!O31</f>
        <v/>
      </c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</row>
    <row r="175" spans="2:20" ht="15.75" x14ac:dyDescent="0.15">
      <c r="B175" s="11">
        <v>31</v>
      </c>
      <c r="C175" s="32" t="str">
        <f>集計用!I32</f>
        <v/>
      </c>
      <c r="D175" s="32"/>
      <c r="E175" s="33" t="str">
        <f>集計用!L32</f>
        <v/>
      </c>
      <c r="F175" s="33"/>
      <c r="G175" s="34" t="str">
        <f>集計用!M32</f>
        <v/>
      </c>
      <c r="H175" s="34"/>
      <c r="I175" s="35" t="str">
        <f>集計用!O32</f>
        <v/>
      </c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</row>
    <row r="176" spans="2:20" ht="15.75" x14ac:dyDescent="0.15">
      <c r="B176" s="11">
        <v>32</v>
      </c>
      <c r="C176" s="32" t="str">
        <f>集計用!I33</f>
        <v/>
      </c>
      <c r="D176" s="32"/>
      <c r="E176" s="33" t="str">
        <f>集計用!L33</f>
        <v/>
      </c>
      <c r="F176" s="33"/>
      <c r="G176" s="34" t="str">
        <f>集計用!M33</f>
        <v/>
      </c>
      <c r="H176" s="34"/>
      <c r="I176" s="35" t="str">
        <f>集計用!O33</f>
        <v/>
      </c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</row>
    <row r="177" spans="2:20" ht="15.75" x14ac:dyDescent="0.15">
      <c r="B177" s="11">
        <v>33</v>
      </c>
      <c r="C177" s="32" t="str">
        <f>集計用!I34</f>
        <v/>
      </c>
      <c r="D177" s="32"/>
      <c r="E177" s="33" t="str">
        <f>集計用!L34</f>
        <v/>
      </c>
      <c r="F177" s="33"/>
      <c r="G177" s="34" t="str">
        <f>集計用!M34</f>
        <v/>
      </c>
      <c r="H177" s="34"/>
      <c r="I177" s="35" t="str">
        <f>集計用!O34</f>
        <v/>
      </c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</row>
    <row r="178" spans="2:20" ht="15.75" x14ac:dyDescent="0.15">
      <c r="B178" s="11">
        <v>34</v>
      </c>
      <c r="C178" s="32" t="str">
        <f>集計用!I35</f>
        <v/>
      </c>
      <c r="D178" s="32"/>
      <c r="E178" s="33" t="str">
        <f>集計用!L35</f>
        <v/>
      </c>
      <c r="F178" s="33"/>
      <c r="G178" s="34" t="str">
        <f>集計用!M35</f>
        <v/>
      </c>
      <c r="H178" s="34"/>
      <c r="I178" s="35" t="str">
        <f>集計用!O35</f>
        <v/>
      </c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</row>
    <row r="179" spans="2:20" ht="15.75" x14ac:dyDescent="0.15">
      <c r="B179" s="11">
        <v>35</v>
      </c>
      <c r="C179" s="32" t="str">
        <f>集計用!I36</f>
        <v/>
      </c>
      <c r="D179" s="32"/>
      <c r="E179" s="33" t="str">
        <f>集計用!L36</f>
        <v/>
      </c>
      <c r="F179" s="33"/>
      <c r="G179" s="34" t="str">
        <f>集計用!M36</f>
        <v/>
      </c>
      <c r="H179" s="34"/>
      <c r="I179" s="35" t="str">
        <f>集計用!O36</f>
        <v/>
      </c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</row>
    <row r="180" spans="2:20" ht="15.75" x14ac:dyDescent="0.15">
      <c r="B180" s="11">
        <v>36</v>
      </c>
      <c r="C180" s="32" t="str">
        <f>集計用!I37</f>
        <v/>
      </c>
      <c r="D180" s="32"/>
      <c r="E180" s="33" t="str">
        <f>集計用!L37</f>
        <v/>
      </c>
      <c r="F180" s="33"/>
      <c r="G180" s="34" t="str">
        <f>集計用!M37</f>
        <v/>
      </c>
      <c r="H180" s="34"/>
      <c r="I180" s="35" t="str">
        <f>集計用!O37</f>
        <v/>
      </c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</row>
    <row r="181" spans="2:20" ht="15.75" x14ac:dyDescent="0.15">
      <c r="B181" s="11">
        <v>37</v>
      </c>
      <c r="C181" s="32" t="str">
        <f>集計用!I38</f>
        <v/>
      </c>
      <c r="D181" s="32"/>
      <c r="E181" s="33" t="str">
        <f>集計用!L38</f>
        <v/>
      </c>
      <c r="F181" s="33"/>
      <c r="G181" s="34" t="str">
        <f>集計用!M38</f>
        <v/>
      </c>
      <c r="H181" s="34"/>
      <c r="I181" s="35" t="str">
        <f>集計用!O38</f>
        <v/>
      </c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</row>
    <row r="182" spans="2:20" ht="15.75" x14ac:dyDescent="0.15">
      <c r="B182" s="11">
        <v>38</v>
      </c>
      <c r="C182" s="32" t="str">
        <f>集計用!I39</f>
        <v/>
      </c>
      <c r="D182" s="32"/>
      <c r="E182" s="33" t="str">
        <f>集計用!L39</f>
        <v/>
      </c>
      <c r="F182" s="33"/>
      <c r="G182" s="34" t="str">
        <f>集計用!M39</f>
        <v/>
      </c>
      <c r="H182" s="34"/>
      <c r="I182" s="35" t="str">
        <f>集計用!O39</f>
        <v/>
      </c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</row>
    <row r="183" spans="2:20" ht="15.75" x14ac:dyDescent="0.15">
      <c r="B183" s="11">
        <v>39</v>
      </c>
      <c r="C183" s="32" t="str">
        <f>集計用!I40</f>
        <v/>
      </c>
      <c r="D183" s="32"/>
      <c r="E183" s="33" t="str">
        <f>集計用!L40</f>
        <v/>
      </c>
      <c r="F183" s="33"/>
      <c r="G183" s="34" t="str">
        <f>集計用!M40</f>
        <v/>
      </c>
      <c r="H183" s="34"/>
      <c r="I183" s="35" t="str">
        <f>集計用!O40</f>
        <v/>
      </c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</row>
    <row r="184" spans="2:20" ht="15.75" x14ac:dyDescent="0.15">
      <c r="B184" s="11">
        <v>40</v>
      </c>
      <c r="C184" s="32" t="str">
        <f>集計用!I41</f>
        <v/>
      </c>
      <c r="D184" s="32"/>
      <c r="E184" s="33" t="str">
        <f>集計用!L41</f>
        <v/>
      </c>
      <c r="F184" s="33"/>
      <c r="G184" s="34" t="str">
        <f>集計用!M41</f>
        <v/>
      </c>
      <c r="H184" s="34"/>
      <c r="I184" s="35" t="str">
        <f>集計用!O41</f>
        <v/>
      </c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</row>
    <row r="185" spans="2:20" ht="15.75" x14ac:dyDescent="0.15">
      <c r="B185" s="11">
        <v>41</v>
      </c>
      <c r="C185" s="32" t="str">
        <f>集計用!I42</f>
        <v/>
      </c>
      <c r="D185" s="32"/>
      <c r="E185" s="33" t="str">
        <f>集計用!L42</f>
        <v/>
      </c>
      <c r="F185" s="33"/>
      <c r="G185" s="34" t="str">
        <f>集計用!M42</f>
        <v/>
      </c>
      <c r="H185" s="34"/>
      <c r="I185" s="35" t="str">
        <f>集計用!O42</f>
        <v/>
      </c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</row>
    <row r="186" spans="2:20" ht="15.75" x14ac:dyDescent="0.15">
      <c r="B186" s="11">
        <v>42</v>
      </c>
      <c r="C186" s="32" t="str">
        <f>集計用!I43</f>
        <v/>
      </c>
      <c r="D186" s="32"/>
      <c r="E186" s="33" t="str">
        <f>集計用!L43</f>
        <v/>
      </c>
      <c r="F186" s="33"/>
      <c r="G186" s="34" t="str">
        <f>集計用!M43</f>
        <v/>
      </c>
      <c r="H186" s="34"/>
      <c r="I186" s="35" t="str">
        <f>集計用!O43</f>
        <v/>
      </c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</row>
    <row r="187" spans="2:20" ht="15.75" x14ac:dyDescent="0.15">
      <c r="B187" s="11">
        <v>43</v>
      </c>
      <c r="C187" s="32" t="str">
        <f>集計用!I44</f>
        <v/>
      </c>
      <c r="D187" s="32"/>
      <c r="E187" s="33" t="str">
        <f>集計用!L44</f>
        <v/>
      </c>
      <c r="F187" s="33"/>
      <c r="G187" s="34" t="str">
        <f>集計用!M44</f>
        <v/>
      </c>
      <c r="H187" s="34"/>
      <c r="I187" s="35" t="str">
        <f>集計用!O44</f>
        <v/>
      </c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</row>
    <row r="188" spans="2:20" ht="15.75" x14ac:dyDescent="0.15">
      <c r="B188" s="11">
        <v>44</v>
      </c>
      <c r="C188" s="32" t="str">
        <f>集計用!I45</f>
        <v/>
      </c>
      <c r="D188" s="32"/>
      <c r="E188" s="33" t="str">
        <f>集計用!L45</f>
        <v/>
      </c>
      <c r="F188" s="33"/>
      <c r="G188" s="34" t="str">
        <f>集計用!M45</f>
        <v/>
      </c>
      <c r="H188" s="34"/>
      <c r="I188" s="35" t="str">
        <f>集計用!O45</f>
        <v/>
      </c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</row>
    <row r="189" spans="2:20" ht="15.75" x14ac:dyDescent="0.15">
      <c r="B189" s="11">
        <v>45</v>
      </c>
      <c r="C189" s="32" t="str">
        <f>集計用!I46</f>
        <v/>
      </c>
      <c r="D189" s="32"/>
      <c r="E189" s="33" t="str">
        <f>集計用!L46</f>
        <v/>
      </c>
      <c r="F189" s="33"/>
      <c r="G189" s="34" t="str">
        <f>集計用!M46</f>
        <v/>
      </c>
      <c r="H189" s="34"/>
      <c r="I189" s="35" t="str">
        <f>集計用!O46</f>
        <v/>
      </c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</row>
    <row r="190" spans="2:20" ht="15.75" x14ac:dyDescent="0.15">
      <c r="B190" s="11">
        <v>46</v>
      </c>
      <c r="C190" s="32" t="str">
        <f>集計用!I47</f>
        <v/>
      </c>
      <c r="D190" s="32"/>
      <c r="E190" s="33" t="str">
        <f>集計用!L47</f>
        <v/>
      </c>
      <c r="F190" s="33"/>
      <c r="G190" s="34" t="str">
        <f>集計用!M47</f>
        <v/>
      </c>
      <c r="H190" s="34"/>
      <c r="I190" s="35" t="str">
        <f>集計用!O47</f>
        <v/>
      </c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</row>
    <row r="191" spans="2:20" ht="15.75" x14ac:dyDescent="0.15">
      <c r="B191" s="11">
        <v>47</v>
      </c>
      <c r="C191" s="32" t="str">
        <f>集計用!I48</f>
        <v/>
      </c>
      <c r="D191" s="32"/>
      <c r="E191" s="33" t="str">
        <f>集計用!L48</f>
        <v/>
      </c>
      <c r="F191" s="33"/>
      <c r="G191" s="34" t="str">
        <f>集計用!M48</f>
        <v/>
      </c>
      <c r="H191" s="34"/>
      <c r="I191" s="35" t="str">
        <f>集計用!O48</f>
        <v/>
      </c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</row>
    <row r="192" spans="2:20" ht="15.75" x14ac:dyDescent="0.15">
      <c r="B192" s="11">
        <v>48</v>
      </c>
      <c r="C192" s="32" t="str">
        <f>集計用!I49</f>
        <v/>
      </c>
      <c r="D192" s="32"/>
      <c r="E192" s="33" t="str">
        <f>集計用!L49</f>
        <v/>
      </c>
      <c r="F192" s="33"/>
      <c r="G192" s="34" t="str">
        <f>集計用!M49</f>
        <v/>
      </c>
      <c r="H192" s="34"/>
      <c r="I192" s="35" t="str">
        <f>集計用!O49</f>
        <v/>
      </c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</row>
    <row r="193" spans="2:20" ht="15.75" x14ac:dyDescent="0.15">
      <c r="B193" s="11">
        <v>49</v>
      </c>
      <c r="C193" s="32" t="str">
        <f>集計用!I50</f>
        <v/>
      </c>
      <c r="D193" s="32"/>
      <c r="E193" s="33" t="str">
        <f>集計用!L50</f>
        <v/>
      </c>
      <c r="F193" s="33"/>
      <c r="G193" s="34" t="str">
        <f>集計用!M50</f>
        <v/>
      </c>
      <c r="H193" s="34"/>
      <c r="I193" s="35" t="str">
        <f>集計用!O50</f>
        <v/>
      </c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</row>
    <row r="194" spans="2:20" ht="15.75" x14ac:dyDescent="0.15">
      <c r="B194" s="11">
        <v>50</v>
      </c>
      <c r="C194" s="32" t="str">
        <f>集計用!I51</f>
        <v/>
      </c>
      <c r="D194" s="32"/>
      <c r="E194" s="33" t="str">
        <f>集計用!L51</f>
        <v/>
      </c>
      <c r="F194" s="33"/>
      <c r="G194" s="34" t="str">
        <f>集計用!M51</f>
        <v/>
      </c>
      <c r="H194" s="34"/>
      <c r="I194" s="35" t="str">
        <f>集計用!O51</f>
        <v/>
      </c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</row>
    <row r="198" spans="2:20" ht="15.75" x14ac:dyDescent="0.15">
      <c r="B198" s="30" t="s">
        <v>56</v>
      </c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</row>
    <row r="199" spans="2:20" x14ac:dyDescent="0.15">
      <c r="B199" s="29" t="s">
        <v>57</v>
      </c>
      <c r="C199" s="29"/>
      <c r="D199" s="29"/>
      <c r="E199" s="29"/>
      <c r="F199" s="29" t="s">
        <v>58</v>
      </c>
      <c r="G199" s="29"/>
      <c r="H199" s="29"/>
      <c r="I199" s="29"/>
      <c r="J199" s="29" t="s">
        <v>59</v>
      </c>
      <c r="K199" s="29"/>
      <c r="L199" s="29"/>
      <c r="M199" s="29"/>
      <c r="N199" s="29" t="s">
        <v>60</v>
      </c>
      <c r="O199" s="29"/>
      <c r="P199" s="29"/>
      <c r="Q199" s="29"/>
      <c r="R199" s="29"/>
      <c r="S199" s="29"/>
      <c r="T199" s="29"/>
    </row>
    <row r="200" spans="2:20" x14ac:dyDescent="0.15"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spans="2:20" x14ac:dyDescent="0.15"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4" spans="2:20" ht="14.25" x14ac:dyDescent="0.2">
      <c r="B204" s="31" t="str">
        <f>"※目標値：ピッキング"&amp;TEXT(入力!$B$5,"0.0")&amp;"分/個、梱包"&amp;TEXT(入力!$C$5,"0.0")&amp;"分/個、合計"&amp;TEXT(入力!$D$5,"0.0")&amp;"分/個 ／ 達成率＝"&amp;TEXT(入力!$D$5,"0.0")&amp;" ÷ 実績合計 × 100"</f>
        <v>※目標値：ピッキング1.6分/個、梱包1.6分/個、合計3.2分/個 ／ 達成率＝3.2 ÷ 実績合計 × 100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</row>
  </sheetData>
  <mergeCells count="233">
    <mergeCell ref="B1:T1"/>
    <mergeCell ref="B2:T2"/>
    <mergeCell ref="Q3:T5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  <mergeCell ref="B9:T9"/>
    <mergeCell ref="B50:T50"/>
    <mergeCell ref="B92:T92"/>
    <mergeCell ref="B140:T140"/>
    <mergeCell ref="B143:B144"/>
    <mergeCell ref="C143:D144"/>
    <mergeCell ref="E143:F144"/>
    <mergeCell ref="G143:H144"/>
    <mergeCell ref="I143:T144"/>
    <mergeCell ref="C145:D145"/>
    <mergeCell ref="E145:F145"/>
    <mergeCell ref="G145:H145"/>
    <mergeCell ref="I145:T145"/>
    <mergeCell ref="C146:D146"/>
    <mergeCell ref="E146:F146"/>
    <mergeCell ref="G146:H146"/>
    <mergeCell ref="I146:T146"/>
    <mergeCell ref="C147:D147"/>
    <mergeCell ref="E147:F147"/>
    <mergeCell ref="G147:H147"/>
    <mergeCell ref="I147:T147"/>
    <mergeCell ref="C148:D148"/>
    <mergeCell ref="E148:F148"/>
    <mergeCell ref="G148:H148"/>
    <mergeCell ref="I148:T148"/>
    <mergeCell ref="C149:D149"/>
    <mergeCell ref="E149:F149"/>
    <mergeCell ref="G149:H149"/>
    <mergeCell ref="I149:T149"/>
    <mergeCell ref="C150:D150"/>
    <mergeCell ref="E150:F150"/>
    <mergeCell ref="G150:H150"/>
    <mergeCell ref="I150:T150"/>
    <mergeCell ref="C151:D151"/>
    <mergeCell ref="E151:F151"/>
    <mergeCell ref="G151:H151"/>
    <mergeCell ref="I151:T151"/>
    <mergeCell ref="C152:D152"/>
    <mergeCell ref="E152:F152"/>
    <mergeCell ref="G152:H152"/>
    <mergeCell ref="I152:T152"/>
    <mergeCell ref="C153:D153"/>
    <mergeCell ref="E153:F153"/>
    <mergeCell ref="G153:H153"/>
    <mergeCell ref="I153:T153"/>
    <mergeCell ref="C154:D154"/>
    <mergeCell ref="E154:F154"/>
    <mergeCell ref="G154:H154"/>
    <mergeCell ref="I154:T154"/>
    <mergeCell ref="C155:D155"/>
    <mergeCell ref="E155:F155"/>
    <mergeCell ref="G155:H155"/>
    <mergeCell ref="I155:T155"/>
    <mergeCell ref="C156:D156"/>
    <mergeCell ref="E156:F156"/>
    <mergeCell ref="G156:H156"/>
    <mergeCell ref="I156:T156"/>
    <mergeCell ref="C157:D157"/>
    <mergeCell ref="E157:F157"/>
    <mergeCell ref="G157:H157"/>
    <mergeCell ref="I157:T157"/>
    <mergeCell ref="C158:D158"/>
    <mergeCell ref="E158:F158"/>
    <mergeCell ref="G158:H158"/>
    <mergeCell ref="I158:T158"/>
    <mergeCell ref="C159:D159"/>
    <mergeCell ref="E159:F159"/>
    <mergeCell ref="G159:H159"/>
    <mergeCell ref="I159:T159"/>
    <mergeCell ref="C160:D160"/>
    <mergeCell ref="E160:F160"/>
    <mergeCell ref="G160:H160"/>
    <mergeCell ref="I160:T160"/>
    <mergeCell ref="C161:D161"/>
    <mergeCell ref="E161:F161"/>
    <mergeCell ref="G161:H161"/>
    <mergeCell ref="I161:T161"/>
    <mergeCell ref="C162:D162"/>
    <mergeCell ref="E162:F162"/>
    <mergeCell ref="G162:H162"/>
    <mergeCell ref="I162:T162"/>
    <mergeCell ref="C163:D163"/>
    <mergeCell ref="E163:F163"/>
    <mergeCell ref="G163:H163"/>
    <mergeCell ref="I163:T163"/>
    <mergeCell ref="C164:D164"/>
    <mergeCell ref="E164:F164"/>
    <mergeCell ref="G164:H164"/>
    <mergeCell ref="I164:T164"/>
    <mergeCell ref="C165:D165"/>
    <mergeCell ref="E165:F165"/>
    <mergeCell ref="G165:H165"/>
    <mergeCell ref="I165:T165"/>
    <mergeCell ref="C166:D166"/>
    <mergeCell ref="E166:F166"/>
    <mergeCell ref="G166:H166"/>
    <mergeCell ref="I166:T166"/>
    <mergeCell ref="C167:D167"/>
    <mergeCell ref="E167:F167"/>
    <mergeCell ref="G167:H167"/>
    <mergeCell ref="I167:T167"/>
    <mergeCell ref="C168:D168"/>
    <mergeCell ref="E168:F168"/>
    <mergeCell ref="G168:H168"/>
    <mergeCell ref="I168:T168"/>
    <mergeCell ref="C169:D169"/>
    <mergeCell ref="E169:F169"/>
    <mergeCell ref="G169:H169"/>
    <mergeCell ref="I169:T169"/>
    <mergeCell ref="C170:D170"/>
    <mergeCell ref="E170:F170"/>
    <mergeCell ref="G170:H170"/>
    <mergeCell ref="I170:T170"/>
    <mergeCell ref="C171:D171"/>
    <mergeCell ref="E171:F171"/>
    <mergeCell ref="G171:H171"/>
    <mergeCell ref="I171:T171"/>
    <mergeCell ref="C172:D172"/>
    <mergeCell ref="E172:F172"/>
    <mergeCell ref="G172:H172"/>
    <mergeCell ref="I172:T172"/>
    <mergeCell ref="C173:D173"/>
    <mergeCell ref="E173:F173"/>
    <mergeCell ref="G173:H173"/>
    <mergeCell ref="I173:T173"/>
    <mergeCell ref="C174:D174"/>
    <mergeCell ref="E174:F174"/>
    <mergeCell ref="G174:H174"/>
    <mergeCell ref="I174:T174"/>
    <mergeCell ref="C175:D175"/>
    <mergeCell ref="E175:F175"/>
    <mergeCell ref="G175:H175"/>
    <mergeCell ref="I175:T175"/>
    <mergeCell ref="C176:D176"/>
    <mergeCell ref="E176:F176"/>
    <mergeCell ref="G176:H176"/>
    <mergeCell ref="I176:T176"/>
    <mergeCell ref="C177:D177"/>
    <mergeCell ref="E177:F177"/>
    <mergeCell ref="G177:H177"/>
    <mergeCell ref="I177:T177"/>
    <mergeCell ref="C178:D178"/>
    <mergeCell ref="E178:F178"/>
    <mergeCell ref="G178:H178"/>
    <mergeCell ref="I178:T178"/>
    <mergeCell ref="C179:D179"/>
    <mergeCell ref="E179:F179"/>
    <mergeCell ref="G179:H179"/>
    <mergeCell ref="I179:T179"/>
    <mergeCell ref="C180:D180"/>
    <mergeCell ref="E180:F180"/>
    <mergeCell ref="G180:H180"/>
    <mergeCell ref="I180:T180"/>
    <mergeCell ref="C181:D181"/>
    <mergeCell ref="E181:F181"/>
    <mergeCell ref="G181:H181"/>
    <mergeCell ref="I181:T181"/>
    <mergeCell ref="C182:D182"/>
    <mergeCell ref="E182:F182"/>
    <mergeCell ref="G182:H182"/>
    <mergeCell ref="I182:T182"/>
    <mergeCell ref="C183:D183"/>
    <mergeCell ref="E183:F183"/>
    <mergeCell ref="G183:H183"/>
    <mergeCell ref="I183:T183"/>
    <mergeCell ref="C184:D184"/>
    <mergeCell ref="E184:F184"/>
    <mergeCell ref="G184:H184"/>
    <mergeCell ref="I184:T184"/>
    <mergeCell ref="C185:D185"/>
    <mergeCell ref="E185:F185"/>
    <mergeCell ref="G185:H185"/>
    <mergeCell ref="I185:T185"/>
    <mergeCell ref="C186:D186"/>
    <mergeCell ref="E186:F186"/>
    <mergeCell ref="G186:H186"/>
    <mergeCell ref="I186:T186"/>
    <mergeCell ref="C187:D187"/>
    <mergeCell ref="E187:F187"/>
    <mergeCell ref="G187:H187"/>
    <mergeCell ref="I187:T187"/>
    <mergeCell ref="C188:D188"/>
    <mergeCell ref="E188:F188"/>
    <mergeCell ref="G188:H188"/>
    <mergeCell ref="I188:T188"/>
    <mergeCell ref="C189:D189"/>
    <mergeCell ref="E189:F189"/>
    <mergeCell ref="G189:H189"/>
    <mergeCell ref="I189:T189"/>
    <mergeCell ref="C190:D190"/>
    <mergeCell ref="E190:F190"/>
    <mergeCell ref="G190:H190"/>
    <mergeCell ref="I190:T190"/>
    <mergeCell ref="C191:D191"/>
    <mergeCell ref="E191:F191"/>
    <mergeCell ref="G191:H191"/>
    <mergeCell ref="I191:T191"/>
    <mergeCell ref="C192:D192"/>
    <mergeCell ref="E192:F192"/>
    <mergeCell ref="G192:H192"/>
    <mergeCell ref="I192:T192"/>
    <mergeCell ref="B199:E201"/>
    <mergeCell ref="F198:I198"/>
    <mergeCell ref="F199:I201"/>
    <mergeCell ref="J198:M198"/>
    <mergeCell ref="J199:M201"/>
    <mergeCell ref="N198:T198"/>
    <mergeCell ref="N199:T201"/>
    <mergeCell ref="B204:T204"/>
    <mergeCell ref="C193:D193"/>
    <mergeCell ref="E193:F193"/>
    <mergeCell ref="G193:H193"/>
    <mergeCell ref="I193:T193"/>
    <mergeCell ref="C194:D194"/>
    <mergeCell ref="E194:F194"/>
    <mergeCell ref="G194:H194"/>
    <mergeCell ref="I194:T194"/>
    <mergeCell ref="B198:E198"/>
  </mergeCells>
  <phoneticPr fontId="11"/>
  <conditionalFormatting sqref="B145:B194">
    <cfRule type="expression" dxfId="13" priority="1" stopIfTrue="1">
      <formula>AND($C145&lt;&gt;"",$G145&lt;=0)</formula>
    </cfRule>
    <cfRule type="expression" dxfId="12" priority="2">
      <formula>$C145&lt;&gt;""</formula>
    </cfRule>
  </conditionalFormatting>
  <conditionalFormatting sqref="C145:T194">
    <cfRule type="expression" dxfId="11" priority="4">
      <formula>$C145&lt;&gt;""</formula>
    </cfRule>
  </conditionalFormatting>
  <conditionalFormatting sqref="G145:H194">
    <cfRule type="cellIs" dxfId="10" priority="3" operator="lessThanOrEqual">
      <formula>0</formula>
    </cfRule>
  </conditionalFormatting>
  <hyperlinks>
    <hyperlink ref="B3" location="'入力'!B9" display="入力シートへ移動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"/>
  <sheetViews>
    <sheetView tabSelected="1" zoomScale="90" zoomScaleNormal="90" workbookViewId="0">
      <selection activeCell="C61" sqref="C61:G63"/>
    </sheetView>
  </sheetViews>
  <sheetFormatPr defaultRowHeight="13.5" x14ac:dyDescent="0.15"/>
  <cols>
    <col min="1" max="1" width="8.5" customWidth="1"/>
    <col min="2" max="2" width="19.25" customWidth="1"/>
    <col min="3" max="3" width="21" customWidth="1"/>
    <col min="4" max="4" width="16.75" customWidth="1"/>
    <col min="5" max="5" width="15.625" customWidth="1"/>
    <col min="6" max="8" width="12.75" customWidth="1"/>
    <col min="9" max="9" width="17.625" customWidth="1"/>
    <col min="10" max="10" width="18.75" customWidth="1"/>
    <col min="11" max="11" width="20.75" customWidth="1"/>
    <col min="12" max="14" width="0" hidden="1" customWidth="1"/>
    <col min="15" max="15" width="18.875" customWidth="1"/>
    <col min="16" max="16" width="12" customWidth="1"/>
  </cols>
  <sheetData>
    <row r="1" spans="1:16" ht="30" x14ac:dyDescent="0.1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3" spans="1:16" ht="15.75" x14ac:dyDescent="0.15">
      <c r="A3" s="37" t="s">
        <v>1</v>
      </c>
      <c r="B3" s="37"/>
      <c r="C3" s="37"/>
      <c r="D3" s="37"/>
      <c r="F3" s="45" t="s">
        <v>7</v>
      </c>
      <c r="G3" s="45"/>
      <c r="H3" s="45"/>
      <c r="I3" s="45"/>
      <c r="J3" s="45"/>
      <c r="K3" s="45"/>
      <c r="L3" s="45"/>
      <c r="M3" s="45"/>
    </row>
    <row r="4" spans="1:16" ht="15.75" x14ac:dyDescent="0.15">
      <c r="A4" s="6" t="s">
        <v>2</v>
      </c>
      <c r="B4" s="6" t="s">
        <v>3</v>
      </c>
      <c r="C4" s="6" t="s">
        <v>4</v>
      </c>
      <c r="D4" s="6" t="s">
        <v>5</v>
      </c>
      <c r="F4" s="45"/>
      <c r="G4" s="45"/>
      <c r="H4" s="45"/>
      <c r="I4" s="45"/>
      <c r="J4" s="45"/>
      <c r="K4" s="45"/>
      <c r="L4" s="45"/>
      <c r="M4" s="45"/>
    </row>
    <row r="5" spans="1:16" ht="15.75" x14ac:dyDescent="0.15">
      <c r="A5" s="4" t="s">
        <v>6</v>
      </c>
      <c r="B5" s="8">
        <v>1.6</v>
      </c>
      <c r="C5" s="8">
        <v>1.6</v>
      </c>
      <c r="D5" s="5">
        <f>B5+C5</f>
        <v>3.2</v>
      </c>
      <c r="F5" s="45"/>
      <c r="G5" s="45"/>
      <c r="H5" s="45"/>
      <c r="I5" s="45"/>
      <c r="J5" s="45"/>
      <c r="K5" s="45"/>
      <c r="L5" s="45"/>
      <c r="M5" s="45"/>
    </row>
    <row r="6" spans="1:16" ht="15.75" x14ac:dyDescent="0.25">
      <c r="F6" s="1" t="s">
        <v>8</v>
      </c>
    </row>
    <row r="8" spans="1:16" ht="33.950000000000003" customHeight="1" x14ac:dyDescent="0.1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6" t="s">
        <v>19</v>
      </c>
      <c r="L8" s="6" t="s">
        <v>20</v>
      </c>
      <c r="M8" s="6" t="s">
        <v>21</v>
      </c>
      <c r="N8" s="49" t="s">
        <v>83</v>
      </c>
      <c r="O8" s="16" t="s">
        <v>128</v>
      </c>
      <c r="P8" s="16" t="s">
        <v>129</v>
      </c>
    </row>
    <row r="9" spans="1:16" ht="15.75" x14ac:dyDescent="0.15">
      <c r="A9" s="12">
        <v>1</v>
      </c>
      <c r="B9" s="9" t="s">
        <v>85</v>
      </c>
      <c r="C9" s="8">
        <v>1</v>
      </c>
      <c r="D9" s="8">
        <v>0.5</v>
      </c>
      <c r="E9" s="5">
        <f t="shared" ref="E9:E40" si="0">IF(OR(B9="",NOT(ISNUMBER(C9)),NOT(ISNUMBER(D9))),"",C9+D9)</f>
        <v>1.5</v>
      </c>
      <c r="F9" s="3">
        <f t="shared" ref="F9:F40" si="1">IF(OR(E9="",E9=0),"",$D$5/E9)</f>
        <v>2.1333333333333333</v>
      </c>
      <c r="G9" s="5">
        <f t="shared" ref="G9:G40" si="2">IF(OR(B9="",NOT(ISNUMBER(C9))),"",C9-$B$5)</f>
        <v>-0.60000000000000009</v>
      </c>
      <c r="H9" s="5">
        <f t="shared" ref="H9:H40" si="3">IF(OR(B9="",NOT(ISNUMBER(D9))),"",D9-$C$5)</f>
        <v>-1.1000000000000001</v>
      </c>
      <c r="I9" s="5">
        <f t="shared" ref="I9:I40" si="4">IF(OR(E9="",E9=0),"",E9-$D$5)</f>
        <v>-1.7000000000000002</v>
      </c>
      <c r="J9" s="7" t="str">
        <f t="shared" ref="J9:J40" si="5">IF(OR(E9="",E9=0),"",IF(AND(G9&gt;0,H9&gt;0),"要改善（両方遅い）",IF(G9&gt;0,"ピッキング改善",IF(H9&gt;0,"梱包改善","良好"))))</f>
        <v>良好</v>
      </c>
      <c r="K9" s="13" t="str">
        <f t="shared" ref="K9:K40" si="6">IF(OR(E9="",E9=0),"",IF(AND(G9&gt;0,H9&gt;0),IF(I9&gt;=0.2,"両工程を見直し","両工程を微改善"),IF(AND(I9&gt;0,G9&gt;0),"ピック導線を改善",IF(AND(I9&gt;0,H9&gt;0),"梱包手順を改善",IF(AND(G9&lt;0,H9&lt;0),"良好","目標達成")))))</f>
        <v>良好</v>
      </c>
      <c r="L9" s="5">
        <f t="shared" ref="L9:L40" si="7">IF(AND(ISNUMBER(C9),ISNUMBER(D9)),IF(OR(E9="",E9=0),-1E+99,I9+ROW()/100000),IF(B9="",-1E+99,IF(ISNUMBER(C9),G9+ROW()/100000,IF(ISNUMBER(D9),H9+ROW()/100000,-1E+99))))</f>
        <v>-1.6999100000000003</v>
      </c>
      <c r="M9" s="5">
        <f t="shared" ref="M9:M40" si="8">IF(OR(E9="",E9=0),-1E+99,F9-ROW()/100000)</f>
        <v>2.1332433333333332</v>
      </c>
      <c r="N9" s="50">
        <f>IF(B9="","",COUNTA($B$9:B9))</f>
        <v>1</v>
      </c>
      <c r="O9" s="51">
        <v>732</v>
      </c>
      <c r="P9" s="52">
        <v>505</v>
      </c>
    </row>
    <row r="10" spans="1:16" ht="15.75" x14ac:dyDescent="0.15">
      <c r="A10" s="12">
        <v>2</v>
      </c>
      <c r="B10" s="9" t="s">
        <v>86</v>
      </c>
      <c r="C10" s="8">
        <v>1.2</v>
      </c>
      <c r="D10" s="8">
        <v>1</v>
      </c>
      <c r="E10" s="5">
        <f t="shared" si="0"/>
        <v>2.2000000000000002</v>
      </c>
      <c r="F10" s="3">
        <f t="shared" si="1"/>
        <v>1.4545454545454546</v>
      </c>
      <c r="G10" s="5">
        <f t="shared" si="2"/>
        <v>-0.40000000000000013</v>
      </c>
      <c r="H10" s="5">
        <f t="shared" si="3"/>
        <v>-0.60000000000000009</v>
      </c>
      <c r="I10" s="5">
        <f t="shared" si="4"/>
        <v>-1</v>
      </c>
      <c r="J10" s="7" t="str">
        <f t="shared" si="5"/>
        <v>良好</v>
      </c>
      <c r="K10" s="13" t="str">
        <f t="shared" si="6"/>
        <v>良好</v>
      </c>
      <c r="L10" s="5">
        <f t="shared" si="7"/>
        <v>-0.99990000000000001</v>
      </c>
      <c r="M10" s="5">
        <f t="shared" si="8"/>
        <v>1.4544454545454546</v>
      </c>
      <c r="N10" s="5">
        <f>IF(B10="","",COUNTA($B$9:B10))</f>
        <v>2</v>
      </c>
      <c r="O10" s="51">
        <v>365</v>
      </c>
      <c r="P10" s="52">
        <v>656</v>
      </c>
    </row>
    <row r="11" spans="1:16" ht="15.75" x14ac:dyDescent="0.15">
      <c r="A11" s="12">
        <v>3</v>
      </c>
      <c r="B11" s="9" t="s">
        <v>87</v>
      </c>
      <c r="C11" s="8">
        <v>1.3</v>
      </c>
      <c r="D11" s="8">
        <v>2.1</v>
      </c>
      <c r="E11" s="5">
        <f t="shared" si="0"/>
        <v>3.4000000000000004</v>
      </c>
      <c r="F11" s="3">
        <f t="shared" si="1"/>
        <v>0.94117647058823528</v>
      </c>
      <c r="G11" s="5">
        <f t="shared" si="2"/>
        <v>-0.30000000000000004</v>
      </c>
      <c r="H11" s="5">
        <f t="shared" si="3"/>
        <v>0.5</v>
      </c>
      <c r="I11" s="5">
        <f t="shared" si="4"/>
        <v>0.20000000000000018</v>
      </c>
      <c r="J11" s="7" t="str">
        <f t="shared" si="5"/>
        <v>梱包改善</v>
      </c>
      <c r="K11" s="13" t="str">
        <f t="shared" si="6"/>
        <v>梱包手順を改善</v>
      </c>
      <c r="L11" s="5">
        <f t="shared" si="7"/>
        <v>0.20011000000000018</v>
      </c>
      <c r="M11" s="5">
        <f t="shared" si="8"/>
        <v>0.94106647058823523</v>
      </c>
      <c r="N11" s="5">
        <f>IF(B11="","",COUNTA($B$9:B11))</f>
        <v>3</v>
      </c>
      <c r="O11" s="51">
        <v>1143</v>
      </c>
      <c r="P11" s="52">
        <v>224</v>
      </c>
    </row>
    <row r="12" spans="1:16" ht="15.75" x14ac:dyDescent="0.15">
      <c r="A12" s="12">
        <v>4</v>
      </c>
      <c r="B12" s="9" t="s">
        <v>88</v>
      </c>
      <c r="C12" s="8">
        <v>1.6</v>
      </c>
      <c r="D12" s="8">
        <v>1.6</v>
      </c>
      <c r="E12" s="5">
        <f t="shared" si="0"/>
        <v>3.2</v>
      </c>
      <c r="F12" s="3">
        <f t="shared" si="1"/>
        <v>1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7" t="str">
        <f t="shared" si="5"/>
        <v>良好</v>
      </c>
      <c r="K12" s="13" t="str">
        <f t="shared" si="6"/>
        <v>目標達成</v>
      </c>
      <c r="L12" s="5">
        <f t="shared" si="7"/>
        <v>1.2E-4</v>
      </c>
      <c r="M12" s="5">
        <f t="shared" si="8"/>
        <v>0.99987999999999999</v>
      </c>
      <c r="N12" s="5">
        <f>IF(B12="","",COUNTA($B$9:B12))</f>
        <v>4</v>
      </c>
      <c r="O12" s="51">
        <v>847</v>
      </c>
      <c r="P12" s="52">
        <v>939</v>
      </c>
    </row>
    <row r="13" spans="1:16" ht="15.75" x14ac:dyDescent="0.15">
      <c r="A13" s="12">
        <v>5</v>
      </c>
      <c r="B13" s="9" t="s">
        <v>89</v>
      </c>
      <c r="C13" s="8">
        <v>1.7</v>
      </c>
      <c r="D13" s="8">
        <v>0.6</v>
      </c>
      <c r="E13" s="5">
        <f t="shared" si="0"/>
        <v>2.2999999999999998</v>
      </c>
      <c r="F13" s="3">
        <f t="shared" si="1"/>
        <v>1.3913043478260871</v>
      </c>
      <c r="G13" s="5">
        <f t="shared" si="2"/>
        <v>9.9999999999999867E-2</v>
      </c>
      <c r="H13" s="5">
        <f t="shared" si="3"/>
        <v>-1</v>
      </c>
      <c r="I13" s="5">
        <f t="shared" si="4"/>
        <v>-0.90000000000000036</v>
      </c>
      <c r="J13" s="7" t="str">
        <f t="shared" si="5"/>
        <v>ピッキング改善</v>
      </c>
      <c r="K13" s="13" t="str">
        <f t="shared" si="6"/>
        <v>目標達成</v>
      </c>
      <c r="L13" s="5">
        <f t="shared" si="7"/>
        <v>-0.89987000000000039</v>
      </c>
      <c r="M13" s="5">
        <f t="shared" si="8"/>
        <v>1.3911743478260872</v>
      </c>
      <c r="N13" s="5">
        <f>IF(B13="","",COUNTA($B$9:B13))</f>
        <v>5</v>
      </c>
      <c r="O13" s="51">
        <v>681</v>
      </c>
      <c r="P13" s="52">
        <v>1223</v>
      </c>
    </row>
    <row r="14" spans="1:16" ht="15.75" x14ac:dyDescent="0.15">
      <c r="A14" s="12">
        <v>6</v>
      </c>
      <c r="B14" s="9" t="s">
        <v>90</v>
      </c>
      <c r="C14" s="8">
        <v>3.1</v>
      </c>
      <c r="D14" s="8">
        <v>0.6</v>
      </c>
      <c r="E14" s="5">
        <f t="shared" si="0"/>
        <v>3.7</v>
      </c>
      <c r="F14" s="3">
        <f t="shared" si="1"/>
        <v>0.86486486486486491</v>
      </c>
      <c r="G14" s="5">
        <f t="shared" si="2"/>
        <v>1.5</v>
      </c>
      <c r="H14" s="5">
        <f t="shared" si="3"/>
        <v>-1</v>
      </c>
      <c r="I14" s="5">
        <f t="shared" si="4"/>
        <v>0.5</v>
      </c>
      <c r="J14" s="7" t="str">
        <f t="shared" si="5"/>
        <v>ピッキング改善</v>
      </c>
      <c r="K14" s="13" t="str">
        <f t="shared" si="6"/>
        <v>ピック導線を改善</v>
      </c>
      <c r="L14" s="5">
        <f t="shared" si="7"/>
        <v>0.50014000000000003</v>
      </c>
      <c r="M14" s="5">
        <f t="shared" si="8"/>
        <v>0.86472486486486488</v>
      </c>
      <c r="N14" s="5">
        <f>IF(B14="","",COUNTA($B$9:B14))</f>
        <v>6</v>
      </c>
      <c r="O14" s="51">
        <v>66</v>
      </c>
      <c r="P14" s="52">
        <v>16</v>
      </c>
    </row>
    <row r="15" spans="1:16" ht="15.75" x14ac:dyDescent="0.15">
      <c r="A15" s="12">
        <v>7</v>
      </c>
      <c r="B15" s="9" t="s">
        <v>91</v>
      </c>
      <c r="C15" s="8">
        <v>1.5</v>
      </c>
      <c r="D15" s="8">
        <v>1.9</v>
      </c>
      <c r="E15" s="5">
        <f t="shared" si="0"/>
        <v>3.4</v>
      </c>
      <c r="F15" s="3">
        <f t="shared" si="1"/>
        <v>0.94117647058823539</v>
      </c>
      <c r="G15" s="5">
        <f t="shared" si="2"/>
        <v>-0.10000000000000009</v>
      </c>
      <c r="H15" s="5">
        <f t="shared" si="3"/>
        <v>0.29999999999999982</v>
      </c>
      <c r="I15" s="5">
        <f t="shared" si="4"/>
        <v>0.19999999999999973</v>
      </c>
      <c r="J15" s="7" t="str">
        <f t="shared" si="5"/>
        <v>梱包改善</v>
      </c>
      <c r="K15" s="13" t="str">
        <f t="shared" si="6"/>
        <v>梱包手順を改善</v>
      </c>
      <c r="L15" s="5">
        <f t="shared" si="7"/>
        <v>0.20014999999999974</v>
      </c>
      <c r="M15" s="5">
        <f t="shared" si="8"/>
        <v>0.94102647058823541</v>
      </c>
      <c r="N15" s="5">
        <f>IF(B15="","",COUNTA($B$9:B15))</f>
        <v>7</v>
      </c>
      <c r="O15" s="51">
        <v>2007</v>
      </c>
      <c r="P15" s="52">
        <v>1421</v>
      </c>
    </row>
    <row r="16" spans="1:16" ht="15.75" x14ac:dyDescent="0.15">
      <c r="A16" s="12">
        <v>8</v>
      </c>
      <c r="B16" s="9" t="s">
        <v>92</v>
      </c>
      <c r="C16" s="8">
        <v>1.4</v>
      </c>
      <c r="D16" s="8">
        <v>1.8</v>
      </c>
      <c r="E16" s="5">
        <f t="shared" si="0"/>
        <v>3.2</v>
      </c>
      <c r="F16" s="3">
        <f t="shared" si="1"/>
        <v>1</v>
      </c>
      <c r="G16" s="5">
        <f t="shared" si="2"/>
        <v>-0.20000000000000018</v>
      </c>
      <c r="H16" s="5">
        <f t="shared" si="3"/>
        <v>0.19999999999999996</v>
      </c>
      <c r="I16" s="5">
        <f t="shared" si="4"/>
        <v>0</v>
      </c>
      <c r="J16" s="7" t="str">
        <f t="shared" si="5"/>
        <v>梱包改善</v>
      </c>
      <c r="K16" s="13" t="str">
        <f t="shared" si="6"/>
        <v>目標達成</v>
      </c>
      <c r="L16" s="5">
        <f t="shared" si="7"/>
        <v>1.6000000000000001E-4</v>
      </c>
      <c r="M16" s="5">
        <f t="shared" si="8"/>
        <v>0.99983999999999995</v>
      </c>
      <c r="N16" s="5">
        <f>IF(B16="","",COUNTA($B$9:B16))</f>
        <v>8</v>
      </c>
      <c r="O16" s="51">
        <v>2129</v>
      </c>
      <c r="P16" s="52">
        <v>1548</v>
      </c>
    </row>
    <row r="17" spans="1:16" ht="15.75" x14ac:dyDescent="0.15">
      <c r="A17" s="12">
        <v>9</v>
      </c>
      <c r="B17" s="9" t="s">
        <v>93</v>
      </c>
      <c r="C17" s="8">
        <v>1.1000000000000001</v>
      </c>
      <c r="D17" s="8">
        <v>1</v>
      </c>
      <c r="E17" s="5">
        <f t="shared" si="0"/>
        <v>2.1</v>
      </c>
      <c r="F17" s="3">
        <f t="shared" si="1"/>
        <v>1.5238095238095237</v>
      </c>
      <c r="G17" s="5">
        <f t="shared" si="2"/>
        <v>-0.5</v>
      </c>
      <c r="H17" s="5">
        <f t="shared" si="3"/>
        <v>-0.60000000000000009</v>
      </c>
      <c r="I17" s="5">
        <f t="shared" si="4"/>
        <v>-1.1000000000000001</v>
      </c>
      <c r="J17" s="7" t="str">
        <f t="shared" si="5"/>
        <v>良好</v>
      </c>
      <c r="K17" s="13" t="str">
        <f t="shared" si="6"/>
        <v>良好</v>
      </c>
      <c r="L17" s="5">
        <f t="shared" si="7"/>
        <v>-1.0998300000000001</v>
      </c>
      <c r="M17" s="5">
        <f t="shared" si="8"/>
        <v>1.5236395238095237</v>
      </c>
      <c r="N17" s="5">
        <f>IF(B17="","",COUNTA($B$9:B17))</f>
        <v>9</v>
      </c>
      <c r="O17" s="51">
        <v>1454</v>
      </c>
      <c r="P17" s="52">
        <v>2493</v>
      </c>
    </row>
    <row r="18" spans="1:16" ht="15.75" x14ac:dyDescent="0.15">
      <c r="A18" s="12">
        <v>10</v>
      </c>
      <c r="B18" s="9" t="s">
        <v>94</v>
      </c>
      <c r="C18" s="8"/>
      <c r="D18" s="8"/>
      <c r="E18" s="5" t="str">
        <f t="shared" si="0"/>
        <v/>
      </c>
      <c r="F18" s="3" t="str">
        <f t="shared" si="1"/>
        <v/>
      </c>
      <c r="G18" s="5" t="str">
        <f t="shared" si="2"/>
        <v/>
      </c>
      <c r="H18" s="5" t="str">
        <f t="shared" si="3"/>
        <v/>
      </c>
      <c r="I18" s="5" t="str">
        <f t="shared" si="4"/>
        <v/>
      </c>
      <c r="J18" s="7" t="str">
        <f t="shared" si="5"/>
        <v/>
      </c>
      <c r="K18" s="13" t="str">
        <f t="shared" si="6"/>
        <v/>
      </c>
      <c r="L18" s="5">
        <f t="shared" si="7"/>
        <v>-9.9999999999999997E+98</v>
      </c>
      <c r="M18" s="5">
        <f t="shared" si="8"/>
        <v>-9.9999999999999997E+98</v>
      </c>
      <c r="N18" s="5">
        <f>IF(B18="","",COUNTA($B$9:B18))</f>
        <v>10</v>
      </c>
      <c r="O18" s="51"/>
      <c r="P18" s="52"/>
    </row>
    <row r="19" spans="1:16" ht="15.75" x14ac:dyDescent="0.15">
      <c r="A19" s="12">
        <v>11</v>
      </c>
      <c r="B19" s="9" t="s">
        <v>95</v>
      </c>
      <c r="C19" s="8">
        <v>1.2</v>
      </c>
      <c r="D19" s="8">
        <v>1.2</v>
      </c>
      <c r="E19" s="5">
        <f t="shared" si="0"/>
        <v>2.4</v>
      </c>
      <c r="F19" s="3">
        <f t="shared" si="1"/>
        <v>1.3333333333333335</v>
      </c>
      <c r="G19" s="5">
        <f t="shared" si="2"/>
        <v>-0.40000000000000013</v>
      </c>
      <c r="H19" s="5">
        <f t="shared" si="3"/>
        <v>-0.40000000000000013</v>
      </c>
      <c r="I19" s="5">
        <f t="shared" si="4"/>
        <v>-0.80000000000000027</v>
      </c>
      <c r="J19" s="7" t="str">
        <f t="shared" si="5"/>
        <v>良好</v>
      </c>
      <c r="K19" s="13" t="str">
        <f t="shared" si="6"/>
        <v>良好</v>
      </c>
      <c r="L19" s="5">
        <f t="shared" si="7"/>
        <v>-0.79981000000000024</v>
      </c>
      <c r="M19" s="5">
        <f t="shared" si="8"/>
        <v>1.3331433333333336</v>
      </c>
      <c r="N19" s="5">
        <f>IF(B19="","",COUNTA($B$9:B19))</f>
        <v>11</v>
      </c>
      <c r="O19" s="51">
        <v>1053</v>
      </c>
      <c r="P19" s="52">
        <v>2616</v>
      </c>
    </row>
    <row r="20" spans="1:16" ht="15.75" x14ac:dyDescent="0.15">
      <c r="A20" s="12">
        <v>12</v>
      </c>
      <c r="B20" s="9" t="s">
        <v>96</v>
      </c>
      <c r="C20" s="8">
        <v>1.7</v>
      </c>
      <c r="D20" s="8">
        <v>2.2000000000000002</v>
      </c>
      <c r="E20" s="5">
        <f t="shared" si="0"/>
        <v>3.9000000000000004</v>
      </c>
      <c r="F20" s="3">
        <f t="shared" si="1"/>
        <v>0.82051282051282048</v>
      </c>
      <c r="G20" s="5">
        <f t="shared" si="2"/>
        <v>9.9999999999999867E-2</v>
      </c>
      <c r="H20" s="5">
        <f t="shared" si="3"/>
        <v>0.60000000000000009</v>
      </c>
      <c r="I20" s="5">
        <f t="shared" si="4"/>
        <v>0.70000000000000018</v>
      </c>
      <c r="J20" s="7" t="str">
        <f t="shared" si="5"/>
        <v>要改善（両方遅い）</v>
      </c>
      <c r="K20" s="13" t="str">
        <f t="shared" si="6"/>
        <v>両工程を見直し</v>
      </c>
      <c r="L20" s="5">
        <f t="shared" si="7"/>
        <v>0.70020000000000016</v>
      </c>
      <c r="M20" s="5">
        <f t="shared" si="8"/>
        <v>0.82031282051282051</v>
      </c>
      <c r="N20" s="5">
        <f>IF(B20="","",COUNTA($B$9:B20))</f>
        <v>12</v>
      </c>
      <c r="O20" s="51">
        <v>691</v>
      </c>
      <c r="P20" s="52">
        <v>1750</v>
      </c>
    </row>
    <row r="21" spans="1:16" ht="15.75" x14ac:dyDescent="0.15">
      <c r="A21" s="12">
        <v>13</v>
      </c>
      <c r="B21" s="9" t="s">
        <v>97</v>
      </c>
      <c r="C21" s="8">
        <v>1.1000000000000001</v>
      </c>
      <c r="D21" s="8">
        <v>1.4</v>
      </c>
      <c r="E21" s="5">
        <f t="shared" si="0"/>
        <v>2.5</v>
      </c>
      <c r="F21" s="3">
        <f t="shared" si="1"/>
        <v>1.28</v>
      </c>
      <c r="G21" s="5">
        <f t="shared" si="2"/>
        <v>-0.5</v>
      </c>
      <c r="H21" s="5">
        <f t="shared" si="3"/>
        <v>-0.20000000000000018</v>
      </c>
      <c r="I21" s="5">
        <f t="shared" si="4"/>
        <v>-0.70000000000000018</v>
      </c>
      <c r="J21" s="7" t="str">
        <f t="shared" si="5"/>
        <v>良好</v>
      </c>
      <c r="K21" s="13" t="str">
        <f t="shared" si="6"/>
        <v>良好</v>
      </c>
      <c r="L21" s="5">
        <f t="shared" si="7"/>
        <v>-0.69979000000000013</v>
      </c>
      <c r="M21" s="5">
        <f t="shared" si="8"/>
        <v>1.27979</v>
      </c>
      <c r="N21" s="5">
        <f>IF(B21="","",COUNTA($B$9:B21))</f>
        <v>13</v>
      </c>
      <c r="O21" s="51">
        <v>877</v>
      </c>
      <c r="P21" s="52">
        <v>2881</v>
      </c>
    </row>
    <row r="22" spans="1:16" ht="15.75" x14ac:dyDescent="0.15">
      <c r="A22" s="12">
        <v>14</v>
      </c>
      <c r="B22" s="9" t="s">
        <v>98</v>
      </c>
      <c r="C22" s="8">
        <v>1.1000000000000001</v>
      </c>
      <c r="D22" s="8">
        <v>3.1</v>
      </c>
      <c r="E22" s="5">
        <f t="shared" si="0"/>
        <v>4.2</v>
      </c>
      <c r="F22" s="3">
        <f t="shared" si="1"/>
        <v>0.76190476190476186</v>
      </c>
      <c r="G22" s="5">
        <f t="shared" si="2"/>
        <v>-0.5</v>
      </c>
      <c r="H22" s="5">
        <f t="shared" si="3"/>
        <v>1.5</v>
      </c>
      <c r="I22" s="5">
        <f t="shared" si="4"/>
        <v>1</v>
      </c>
      <c r="J22" s="7" t="str">
        <f t="shared" si="5"/>
        <v>梱包改善</v>
      </c>
      <c r="K22" s="13" t="str">
        <f t="shared" si="6"/>
        <v>梱包手順を改善</v>
      </c>
      <c r="L22" s="5">
        <f t="shared" si="7"/>
        <v>1.0002200000000001</v>
      </c>
      <c r="M22" s="5">
        <f t="shared" si="8"/>
        <v>0.76168476190476186</v>
      </c>
      <c r="N22" s="5">
        <f>IF(B22="","",COUNTA($B$9:B22))</f>
        <v>14</v>
      </c>
      <c r="O22" s="51">
        <v>233</v>
      </c>
      <c r="P22" s="52">
        <v>630</v>
      </c>
    </row>
    <row r="23" spans="1:16" ht="15.75" x14ac:dyDescent="0.15">
      <c r="A23" s="12">
        <v>15</v>
      </c>
      <c r="B23" s="9" t="s">
        <v>99</v>
      </c>
      <c r="C23" s="8">
        <v>1.8</v>
      </c>
      <c r="D23" s="8">
        <v>1.4</v>
      </c>
      <c r="E23" s="5">
        <f t="shared" si="0"/>
        <v>3.2</v>
      </c>
      <c r="F23" s="3">
        <f t="shared" si="1"/>
        <v>1</v>
      </c>
      <c r="G23" s="5">
        <f t="shared" si="2"/>
        <v>0.19999999999999996</v>
      </c>
      <c r="H23" s="5">
        <f t="shared" si="3"/>
        <v>-0.20000000000000018</v>
      </c>
      <c r="I23" s="5">
        <f t="shared" si="4"/>
        <v>0</v>
      </c>
      <c r="J23" s="7" t="str">
        <f t="shared" si="5"/>
        <v>ピッキング改善</v>
      </c>
      <c r="K23" s="13" t="str">
        <f t="shared" si="6"/>
        <v>目標達成</v>
      </c>
      <c r="L23" s="5">
        <f t="shared" si="7"/>
        <v>2.3000000000000001E-4</v>
      </c>
      <c r="M23" s="5">
        <f t="shared" si="8"/>
        <v>0.99977000000000005</v>
      </c>
      <c r="N23" s="5">
        <f>IF(B23="","",COUNTA($B$9:B23))</f>
        <v>15</v>
      </c>
      <c r="O23" s="51">
        <v>271</v>
      </c>
      <c r="P23" s="52">
        <v>1061</v>
      </c>
    </row>
    <row r="24" spans="1:16" ht="15.75" x14ac:dyDescent="0.15">
      <c r="A24" s="12">
        <v>16</v>
      </c>
      <c r="B24" s="9" t="s">
        <v>100</v>
      </c>
      <c r="C24" s="8">
        <v>1.4</v>
      </c>
      <c r="D24" s="8">
        <v>1.6</v>
      </c>
      <c r="E24" s="5">
        <f t="shared" si="0"/>
        <v>3</v>
      </c>
      <c r="F24" s="3">
        <f t="shared" si="1"/>
        <v>1.0666666666666667</v>
      </c>
      <c r="G24" s="5">
        <f t="shared" si="2"/>
        <v>-0.20000000000000018</v>
      </c>
      <c r="H24" s="5">
        <f t="shared" si="3"/>
        <v>0</v>
      </c>
      <c r="I24" s="5">
        <f t="shared" si="4"/>
        <v>-0.20000000000000018</v>
      </c>
      <c r="J24" s="7" t="str">
        <f t="shared" si="5"/>
        <v>良好</v>
      </c>
      <c r="K24" s="13" t="str">
        <f t="shared" si="6"/>
        <v>目標達成</v>
      </c>
      <c r="L24" s="5">
        <f t="shared" si="7"/>
        <v>-0.19976000000000019</v>
      </c>
      <c r="M24" s="5">
        <f t="shared" si="8"/>
        <v>1.0664266666666666</v>
      </c>
      <c r="N24" s="5">
        <f>IF(B24="","",COUNTA($B$9:B24))</f>
        <v>16</v>
      </c>
      <c r="O24" s="51">
        <v>335</v>
      </c>
      <c r="P24" s="52">
        <v>970</v>
      </c>
    </row>
    <row r="25" spans="1:16" ht="15.75" x14ac:dyDescent="0.15">
      <c r="A25" s="12">
        <v>17</v>
      </c>
      <c r="B25" s="9" t="s">
        <v>101</v>
      </c>
      <c r="C25" s="8">
        <v>1.8</v>
      </c>
      <c r="D25" s="8">
        <v>1.7</v>
      </c>
      <c r="E25" s="5">
        <f t="shared" si="0"/>
        <v>3.5</v>
      </c>
      <c r="F25" s="3">
        <f t="shared" si="1"/>
        <v>0.91428571428571437</v>
      </c>
      <c r="G25" s="5">
        <f t="shared" si="2"/>
        <v>0.19999999999999996</v>
      </c>
      <c r="H25" s="5">
        <f t="shared" si="3"/>
        <v>9.9999999999999867E-2</v>
      </c>
      <c r="I25" s="5">
        <f t="shared" si="4"/>
        <v>0.29999999999999982</v>
      </c>
      <c r="J25" s="7" t="str">
        <f t="shared" si="5"/>
        <v>要改善（両方遅い）</v>
      </c>
      <c r="K25" s="13" t="str">
        <f t="shared" si="6"/>
        <v>両工程を見直し</v>
      </c>
      <c r="L25" s="5">
        <f t="shared" si="7"/>
        <v>0.30024999999999979</v>
      </c>
      <c r="M25" s="5">
        <f t="shared" si="8"/>
        <v>0.9140357142857144</v>
      </c>
      <c r="N25" s="5">
        <f>IF(B25="","",COUNTA($B$9:B25))</f>
        <v>17</v>
      </c>
      <c r="O25" s="51">
        <v>941</v>
      </c>
      <c r="P25" s="52">
        <v>1183</v>
      </c>
    </row>
    <row r="26" spans="1:16" ht="15.75" x14ac:dyDescent="0.15">
      <c r="A26" s="12">
        <v>18</v>
      </c>
      <c r="B26" s="9" t="s">
        <v>102</v>
      </c>
      <c r="C26" s="8">
        <v>1.6</v>
      </c>
      <c r="D26" s="8">
        <v>1.2</v>
      </c>
      <c r="E26" s="5">
        <f t="shared" si="0"/>
        <v>2.8</v>
      </c>
      <c r="F26" s="3">
        <f t="shared" si="1"/>
        <v>1.142857142857143</v>
      </c>
      <c r="G26" s="5">
        <f t="shared" si="2"/>
        <v>0</v>
      </c>
      <c r="H26" s="5">
        <f t="shared" si="3"/>
        <v>-0.40000000000000013</v>
      </c>
      <c r="I26" s="5">
        <f t="shared" si="4"/>
        <v>-0.40000000000000036</v>
      </c>
      <c r="J26" s="7" t="str">
        <f t="shared" si="5"/>
        <v>良好</v>
      </c>
      <c r="K26" s="13" t="str">
        <f t="shared" si="6"/>
        <v>目標達成</v>
      </c>
      <c r="L26" s="5">
        <f t="shared" si="7"/>
        <v>-0.39974000000000037</v>
      </c>
      <c r="M26" s="5">
        <f t="shared" si="8"/>
        <v>1.1425971428571431</v>
      </c>
      <c r="N26" s="5">
        <f>IF(B26="","",COUNTA($B$9:B26))</f>
        <v>18</v>
      </c>
      <c r="O26" s="51">
        <v>468</v>
      </c>
      <c r="P26" s="52"/>
    </row>
    <row r="27" spans="1:16" ht="15.75" x14ac:dyDescent="0.15">
      <c r="A27" s="12">
        <v>19</v>
      </c>
      <c r="B27" s="9" t="s">
        <v>103</v>
      </c>
      <c r="C27" s="8">
        <v>1.2</v>
      </c>
      <c r="D27" s="8">
        <v>1.8</v>
      </c>
      <c r="E27" s="5">
        <f t="shared" si="0"/>
        <v>3</v>
      </c>
      <c r="F27" s="3">
        <f t="shared" si="1"/>
        <v>1.0666666666666667</v>
      </c>
      <c r="G27" s="5">
        <f t="shared" si="2"/>
        <v>-0.40000000000000013</v>
      </c>
      <c r="H27" s="5">
        <f t="shared" si="3"/>
        <v>0.19999999999999996</v>
      </c>
      <c r="I27" s="5">
        <f t="shared" si="4"/>
        <v>-0.20000000000000018</v>
      </c>
      <c r="J27" s="7" t="str">
        <f t="shared" si="5"/>
        <v>梱包改善</v>
      </c>
      <c r="K27" s="13" t="str">
        <f t="shared" si="6"/>
        <v>目標達成</v>
      </c>
      <c r="L27" s="5">
        <f t="shared" si="7"/>
        <v>-0.19973000000000019</v>
      </c>
      <c r="M27" s="5">
        <f t="shared" si="8"/>
        <v>1.0663966666666667</v>
      </c>
      <c r="N27" s="5">
        <f>IF(B27="","",COUNTA($B$9:B27))</f>
        <v>19</v>
      </c>
      <c r="O27" s="51">
        <v>260</v>
      </c>
      <c r="P27" s="52"/>
    </row>
    <row r="28" spans="1:16" ht="15.75" x14ac:dyDescent="0.15">
      <c r="A28" s="12">
        <v>20</v>
      </c>
      <c r="B28" s="9" t="s">
        <v>104</v>
      </c>
      <c r="C28" s="8">
        <v>1.7</v>
      </c>
      <c r="D28" s="8">
        <v>2.5</v>
      </c>
      <c r="E28" s="5">
        <f t="shared" si="0"/>
        <v>4.2</v>
      </c>
      <c r="F28" s="3">
        <f t="shared" si="1"/>
        <v>0.76190476190476186</v>
      </c>
      <c r="G28" s="5">
        <f t="shared" si="2"/>
        <v>9.9999999999999867E-2</v>
      </c>
      <c r="H28" s="5">
        <f t="shared" si="3"/>
        <v>0.89999999999999991</v>
      </c>
      <c r="I28" s="5">
        <f t="shared" si="4"/>
        <v>1</v>
      </c>
      <c r="J28" s="7" t="str">
        <f t="shared" si="5"/>
        <v>要改善（両方遅い）</v>
      </c>
      <c r="K28" s="13" t="str">
        <f t="shared" si="6"/>
        <v>両工程を見直し</v>
      </c>
      <c r="L28" s="5">
        <f t="shared" si="7"/>
        <v>1.0002800000000001</v>
      </c>
      <c r="M28" s="5">
        <f t="shared" si="8"/>
        <v>0.76162476190476192</v>
      </c>
      <c r="N28" s="5">
        <f>IF(B28="","",COUNTA($B$9:B28))</f>
        <v>20</v>
      </c>
      <c r="O28" s="51">
        <v>422</v>
      </c>
      <c r="P28" s="52"/>
    </row>
    <row r="29" spans="1:16" ht="15.75" x14ac:dyDescent="0.15">
      <c r="A29" s="12">
        <v>21</v>
      </c>
      <c r="B29" s="9" t="s">
        <v>105</v>
      </c>
      <c r="C29" s="8">
        <v>1.8</v>
      </c>
      <c r="D29" s="8"/>
      <c r="E29" s="5" t="str">
        <f t="shared" si="0"/>
        <v/>
      </c>
      <c r="F29" s="3" t="str">
        <f t="shared" si="1"/>
        <v/>
      </c>
      <c r="G29" s="5">
        <f t="shared" si="2"/>
        <v>0.19999999999999996</v>
      </c>
      <c r="H29" s="5" t="str">
        <f t="shared" si="3"/>
        <v/>
      </c>
      <c r="I29" s="5" t="str">
        <f t="shared" si="4"/>
        <v/>
      </c>
      <c r="J29" s="7" t="str">
        <f t="shared" si="5"/>
        <v/>
      </c>
      <c r="K29" s="13" t="str">
        <f t="shared" si="6"/>
        <v/>
      </c>
      <c r="L29" s="5">
        <f t="shared" si="7"/>
        <v>0.20028999999999997</v>
      </c>
      <c r="M29" s="5">
        <f t="shared" si="8"/>
        <v>-9.9999999999999997E+98</v>
      </c>
      <c r="N29" s="5">
        <f>IF(B29="","",COUNTA($B$9:B29))</f>
        <v>21</v>
      </c>
      <c r="O29" s="51">
        <v>1112</v>
      </c>
      <c r="P29" s="52"/>
    </row>
    <row r="30" spans="1:16" ht="15.75" x14ac:dyDescent="0.15">
      <c r="A30" s="12">
        <v>22</v>
      </c>
      <c r="B30" s="9" t="s">
        <v>106</v>
      </c>
      <c r="C30" s="8">
        <v>1.8</v>
      </c>
      <c r="D30" s="8"/>
      <c r="E30" s="5" t="str">
        <f t="shared" si="0"/>
        <v/>
      </c>
      <c r="F30" s="3" t="str">
        <f t="shared" si="1"/>
        <v/>
      </c>
      <c r="G30" s="5">
        <f t="shared" si="2"/>
        <v>0.19999999999999996</v>
      </c>
      <c r="H30" s="5" t="str">
        <f t="shared" si="3"/>
        <v/>
      </c>
      <c r="I30" s="5" t="str">
        <f t="shared" si="4"/>
        <v/>
      </c>
      <c r="J30" s="7" t="str">
        <f t="shared" si="5"/>
        <v/>
      </c>
      <c r="K30" s="13" t="str">
        <f t="shared" si="6"/>
        <v/>
      </c>
      <c r="L30" s="5">
        <f t="shared" si="7"/>
        <v>0.20029999999999995</v>
      </c>
      <c r="M30" s="5">
        <f t="shared" si="8"/>
        <v>-9.9999999999999997E+98</v>
      </c>
      <c r="N30" s="5">
        <f>IF(B30="","",COUNTA($B$9:B30))</f>
        <v>22</v>
      </c>
      <c r="O30" s="51">
        <v>858</v>
      </c>
      <c r="P30" s="52"/>
    </row>
    <row r="31" spans="1:16" ht="15.75" x14ac:dyDescent="0.15">
      <c r="A31" s="12">
        <v>23</v>
      </c>
      <c r="B31" s="9" t="s">
        <v>107</v>
      </c>
      <c r="C31" s="8">
        <v>1.5</v>
      </c>
      <c r="D31" s="8"/>
      <c r="E31" s="5" t="str">
        <f t="shared" si="0"/>
        <v/>
      </c>
      <c r="F31" s="3" t="str">
        <f t="shared" si="1"/>
        <v/>
      </c>
      <c r="G31" s="5">
        <f t="shared" si="2"/>
        <v>-0.10000000000000009</v>
      </c>
      <c r="H31" s="5" t="str">
        <f t="shared" si="3"/>
        <v/>
      </c>
      <c r="I31" s="5" t="str">
        <f t="shared" si="4"/>
        <v/>
      </c>
      <c r="J31" s="7" t="str">
        <f t="shared" si="5"/>
        <v/>
      </c>
      <c r="K31" s="13" t="str">
        <f t="shared" si="6"/>
        <v/>
      </c>
      <c r="L31" s="5">
        <f t="shared" si="7"/>
        <v>-9.9690000000000084E-2</v>
      </c>
      <c r="M31" s="5">
        <f t="shared" si="8"/>
        <v>-9.9999999999999997E+98</v>
      </c>
      <c r="N31" s="5">
        <f>IF(B31="","",COUNTA($B$9:B31))</f>
        <v>23</v>
      </c>
      <c r="O31" s="51">
        <v>866</v>
      </c>
      <c r="P31" s="52"/>
    </row>
    <row r="32" spans="1:16" ht="15.75" x14ac:dyDescent="0.15">
      <c r="A32" s="12">
        <v>24</v>
      </c>
      <c r="B32" s="9" t="s">
        <v>108</v>
      </c>
      <c r="C32" s="8">
        <v>1.9</v>
      </c>
      <c r="D32" s="8"/>
      <c r="E32" s="5" t="str">
        <f t="shared" si="0"/>
        <v/>
      </c>
      <c r="F32" s="3" t="str">
        <f t="shared" si="1"/>
        <v/>
      </c>
      <c r="G32" s="5">
        <f t="shared" si="2"/>
        <v>0.29999999999999982</v>
      </c>
      <c r="H32" s="5" t="str">
        <f t="shared" si="3"/>
        <v/>
      </c>
      <c r="I32" s="5" t="str">
        <f t="shared" si="4"/>
        <v/>
      </c>
      <c r="J32" s="7" t="str">
        <f t="shared" si="5"/>
        <v/>
      </c>
      <c r="K32" s="13" t="str">
        <f t="shared" si="6"/>
        <v/>
      </c>
      <c r="L32" s="5">
        <f t="shared" si="7"/>
        <v>0.30031999999999981</v>
      </c>
      <c r="M32" s="5">
        <f t="shared" si="8"/>
        <v>-9.9999999999999997E+98</v>
      </c>
      <c r="N32" s="5">
        <f>IF(B32="","",COUNTA($B$9:B32))</f>
        <v>24</v>
      </c>
      <c r="O32" s="51">
        <v>1090</v>
      </c>
      <c r="P32" s="52"/>
    </row>
    <row r="33" spans="1:16" ht="15.75" x14ac:dyDescent="0.15">
      <c r="A33" s="12">
        <v>25</v>
      </c>
      <c r="B33" s="9" t="s">
        <v>109</v>
      </c>
      <c r="C33" s="8">
        <v>2</v>
      </c>
      <c r="D33" s="8"/>
      <c r="E33" s="5" t="str">
        <f t="shared" si="0"/>
        <v/>
      </c>
      <c r="F33" s="3" t="str">
        <f t="shared" si="1"/>
        <v/>
      </c>
      <c r="G33" s="5">
        <f t="shared" si="2"/>
        <v>0.39999999999999991</v>
      </c>
      <c r="H33" s="5" t="str">
        <f t="shared" si="3"/>
        <v/>
      </c>
      <c r="I33" s="5" t="str">
        <f t="shared" si="4"/>
        <v/>
      </c>
      <c r="J33" s="7" t="str">
        <f t="shared" si="5"/>
        <v/>
      </c>
      <c r="K33" s="13" t="str">
        <f t="shared" si="6"/>
        <v/>
      </c>
      <c r="L33" s="5">
        <f t="shared" si="7"/>
        <v>0.40032999999999991</v>
      </c>
      <c r="M33" s="5">
        <f t="shared" si="8"/>
        <v>-9.9999999999999997E+98</v>
      </c>
      <c r="N33" s="5">
        <f>IF(B33="","",COUNTA($B$9:B33))</f>
        <v>25</v>
      </c>
      <c r="O33" s="51">
        <v>838</v>
      </c>
      <c r="P33" s="52"/>
    </row>
    <row r="34" spans="1:16" ht="15.75" x14ac:dyDescent="0.15">
      <c r="A34" s="12">
        <v>26</v>
      </c>
      <c r="B34" s="9" t="s">
        <v>110</v>
      </c>
      <c r="C34" s="8">
        <v>1.3</v>
      </c>
      <c r="D34" s="8"/>
      <c r="E34" s="5" t="str">
        <f t="shared" si="0"/>
        <v/>
      </c>
      <c r="F34" s="3" t="str">
        <f t="shared" si="1"/>
        <v/>
      </c>
      <c r="G34" s="5">
        <f t="shared" si="2"/>
        <v>-0.30000000000000004</v>
      </c>
      <c r="H34" s="5" t="str">
        <f t="shared" si="3"/>
        <v/>
      </c>
      <c r="I34" s="5" t="str">
        <f t="shared" si="4"/>
        <v/>
      </c>
      <c r="J34" s="7" t="str">
        <f t="shared" si="5"/>
        <v/>
      </c>
      <c r="K34" s="13" t="str">
        <f t="shared" si="6"/>
        <v/>
      </c>
      <c r="L34" s="5">
        <f t="shared" si="7"/>
        <v>-0.29966000000000004</v>
      </c>
      <c r="M34" s="5">
        <f t="shared" si="8"/>
        <v>-9.9999999999999997E+98</v>
      </c>
      <c r="N34" s="5">
        <f>IF(B34="","",COUNTA($B$9:B34))</f>
        <v>26</v>
      </c>
      <c r="O34" s="51"/>
      <c r="P34" s="52"/>
    </row>
    <row r="35" spans="1:16" ht="15.75" x14ac:dyDescent="0.15">
      <c r="A35" s="12">
        <v>27</v>
      </c>
      <c r="B35" s="9" t="s">
        <v>111</v>
      </c>
      <c r="C35" s="8"/>
      <c r="D35" s="8"/>
      <c r="E35" s="5" t="str">
        <f t="shared" si="0"/>
        <v/>
      </c>
      <c r="F35" s="3" t="str">
        <f t="shared" si="1"/>
        <v/>
      </c>
      <c r="G35" s="5" t="str">
        <f t="shared" si="2"/>
        <v/>
      </c>
      <c r="H35" s="5" t="str">
        <f t="shared" si="3"/>
        <v/>
      </c>
      <c r="I35" s="5" t="str">
        <f t="shared" si="4"/>
        <v/>
      </c>
      <c r="J35" s="7" t="str">
        <f t="shared" si="5"/>
        <v/>
      </c>
      <c r="K35" s="13" t="str">
        <f t="shared" si="6"/>
        <v/>
      </c>
      <c r="L35" s="5">
        <f t="shared" si="7"/>
        <v>-9.9999999999999997E+98</v>
      </c>
      <c r="M35" s="5">
        <f t="shared" si="8"/>
        <v>-9.9999999999999997E+98</v>
      </c>
      <c r="N35" s="5">
        <f>IF(B35="","",COUNTA($B$9:B35))</f>
        <v>27</v>
      </c>
      <c r="O35" s="51"/>
      <c r="P35" s="52"/>
    </row>
    <row r="36" spans="1:16" ht="15.75" x14ac:dyDescent="0.15">
      <c r="A36" s="12">
        <v>28</v>
      </c>
      <c r="B36" s="9" t="s">
        <v>112</v>
      </c>
      <c r="C36" s="8"/>
      <c r="D36" s="8"/>
      <c r="E36" s="5" t="str">
        <f t="shared" si="0"/>
        <v/>
      </c>
      <c r="F36" s="3" t="str">
        <f t="shared" si="1"/>
        <v/>
      </c>
      <c r="G36" s="5" t="str">
        <f t="shared" si="2"/>
        <v/>
      </c>
      <c r="H36" s="5" t="str">
        <f t="shared" si="3"/>
        <v/>
      </c>
      <c r="I36" s="5" t="str">
        <f t="shared" si="4"/>
        <v/>
      </c>
      <c r="J36" s="7" t="str">
        <f t="shared" si="5"/>
        <v/>
      </c>
      <c r="K36" s="13" t="str">
        <f t="shared" si="6"/>
        <v/>
      </c>
      <c r="L36" s="5">
        <f t="shared" si="7"/>
        <v>-9.9999999999999997E+98</v>
      </c>
      <c r="M36" s="5">
        <f t="shared" si="8"/>
        <v>-9.9999999999999997E+98</v>
      </c>
      <c r="N36" s="5">
        <f>IF(B36="","",COUNTA($B$9:B36))</f>
        <v>28</v>
      </c>
      <c r="O36" s="51"/>
      <c r="P36" s="52"/>
    </row>
    <row r="37" spans="1:16" ht="15.75" x14ac:dyDescent="0.15">
      <c r="A37" s="12">
        <v>29</v>
      </c>
      <c r="B37" s="9"/>
      <c r="C37" s="8"/>
      <c r="D37" s="8"/>
      <c r="E37" s="5" t="str">
        <f t="shared" si="0"/>
        <v/>
      </c>
      <c r="F37" s="3" t="str">
        <f t="shared" si="1"/>
        <v/>
      </c>
      <c r="G37" s="5" t="str">
        <f t="shared" si="2"/>
        <v/>
      </c>
      <c r="H37" s="5" t="str">
        <f t="shared" si="3"/>
        <v/>
      </c>
      <c r="I37" s="5" t="str">
        <f t="shared" si="4"/>
        <v/>
      </c>
      <c r="J37" s="7" t="str">
        <f t="shared" si="5"/>
        <v/>
      </c>
      <c r="K37" s="13" t="str">
        <f t="shared" si="6"/>
        <v/>
      </c>
      <c r="L37" s="5">
        <f t="shared" si="7"/>
        <v>-9.9999999999999997E+98</v>
      </c>
      <c r="M37" s="5">
        <f t="shared" si="8"/>
        <v>-9.9999999999999997E+98</v>
      </c>
      <c r="N37" s="5" t="str">
        <f>IF(B37="","",COUNTA($B$9:B37))</f>
        <v/>
      </c>
      <c r="O37" s="51"/>
      <c r="P37" s="52"/>
    </row>
    <row r="38" spans="1:16" ht="15.75" x14ac:dyDescent="0.15">
      <c r="A38" s="12">
        <v>30</v>
      </c>
      <c r="B38" s="9"/>
      <c r="C38" s="8"/>
      <c r="D38" s="8"/>
      <c r="E38" s="5" t="str">
        <f t="shared" si="0"/>
        <v/>
      </c>
      <c r="F38" s="3" t="str">
        <f t="shared" si="1"/>
        <v/>
      </c>
      <c r="G38" s="5" t="str">
        <f t="shared" si="2"/>
        <v/>
      </c>
      <c r="H38" s="5" t="str">
        <f t="shared" si="3"/>
        <v/>
      </c>
      <c r="I38" s="5" t="str">
        <f t="shared" si="4"/>
        <v/>
      </c>
      <c r="J38" s="7" t="str">
        <f t="shared" si="5"/>
        <v/>
      </c>
      <c r="K38" s="13" t="str">
        <f t="shared" si="6"/>
        <v/>
      </c>
      <c r="L38" s="5">
        <f t="shared" si="7"/>
        <v>-9.9999999999999997E+98</v>
      </c>
      <c r="M38" s="5">
        <f t="shared" si="8"/>
        <v>-9.9999999999999997E+98</v>
      </c>
      <c r="N38" s="5" t="str">
        <f>IF(B38="","",COUNTA($B$9:B38))</f>
        <v/>
      </c>
      <c r="O38" s="51"/>
      <c r="P38" s="52"/>
    </row>
    <row r="39" spans="1:16" ht="15.75" x14ac:dyDescent="0.15">
      <c r="A39" s="12">
        <v>31</v>
      </c>
      <c r="B39" s="9"/>
      <c r="C39" s="8"/>
      <c r="D39" s="8"/>
      <c r="E39" s="5" t="str">
        <f t="shared" si="0"/>
        <v/>
      </c>
      <c r="F39" s="3" t="str">
        <f t="shared" si="1"/>
        <v/>
      </c>
      <c r="G39" s="5" t="str">
        <f t="shared" si="2"/>
        <v/>
      </c>
      <c r="H39" s="5" t="str">
        <f t="shared" si="3"/>
        <v/>
      </c>
      <c r="I39" s="5" t="str">
        <f t="shared" si="4"/>
        <v/>
      </c>
      <c r="J39" s="7" t="str">
        <f t="shared" si="5"/>
        <v/>
      </c>
      <c r="K39" s="13" t="str">
        <f t="shared" si="6"/>
        <v/>
      </c>
      <c r="L39" s="5">
        <f t="shared" si="7"/>
        <v>-9.9999999999999997E+98</v>
      </c>
      <c r="M39" s="5">
        <f t="shared" si="8"/>
        <v>-9.9999999999999997E+98</v>
      </c>
      <c r="N39" s="5" t="str">
        <f>IF(B39="","",COUNTA($B$9:B39))</f>
        <v/>
      </c>
      <c r="O39" s="51"/>
      <c r="P39" s="52"/>
    </row>
    <row r="40" spans="1:16" ht="15.75" x14ac:dyDescent="0.15">
      <c r="A40" s="12">
        <v>32</v>
      </c>
      <c r="B40" s="9"/>
      <c r="C40" s="8"/>
      <c r="D40" s="8"/>
      <c r="E40" s="5" t="str">
        <f t="shared" si="0"/>
        <v/>
      </c>
      <c r="F40" s="3" t="str">
        <f t="shared" si="1"/>
        <v/>
      </c>
      <c r="G40" s="5" t="str">
        <f t="shared" si="2"/>
        <v/>
      </c>
      <c r="H40" s="5" t="str">
        <f t="shared" si="3"/>
        <v/>
      </c>
      <c r="I40" s="5" t="str">
        <f t="shared" si="4"/>
        <v/>
      </c>
      <c r="J40" s="7" t="str">
        <f t="shared" si="5"/>
        <v/>
      </c>
      <c r="K40" s="13" t="str">
        <f t="shared" si="6"/>
        <v/>
      </c>
      <c r="L40" s="5">
        <f t="shared" si="7"/>
        <v>-9.9999999999999997E+98</v>
      </c>
      <c r="M40" s="5">
        <f t="shared" si="8"/>
        <v>-9.9999999999999997E+98</v>
      </c>
      <c r="N40" s="5" t="str">
        <f>IF(B40="","",COUNTA($B$9:B40))</f>
        <v/>
      </c>
      <c r="O40" s="51"/>
      <c r="P40" s="52"/>
    </row>
    <row r="41" spans="1:16" ht="15.75" x14ac:dyDescent="0.15">
      <c r="A41" s="12">
        <v>33</v>
      </c>
      <c r="B41" s="9"/>
      <c r="C41" s="8"/>
      <c r="D41" s="8"/>
      <c r="E41" s="5" t="str">
        <f t="shared" ref="E41:E58" si="9">IF(OR(B41="",NOT(ISNUMBER(C41)),NOT(ISNUMBER(D41))),"",C41+D41)</f>
        <v/>
      </c>
      <c r="F41" s="3" t="str">
        <f t="shared" ref="F41:F58" si="10">IF(OR(E41="",E41=0),"",$D$5/E41)</f>
        <v/>
      </c>
      <c r="G41" s="5" t="str">
        <f t="shared" ref="G41:G58" si="11">IF(OR(B41="",NOT(ISNUMBER(C41))),"",C41-$B$5)</f>
        <v/>
      </c>
      <c r="H41" s="5" t="str">
        <f t="shared" ref="H41:H58" si="12">IF(OR(B41="",NOT(ISNUMBER(D41))),"",D41-$C$5)</f>
        <v/>
      </c>
      <c r="I41" s="5" t="str">
        <f t="shared" ref="I41:I58" si="13">IF(OR(E41="",E41=0),"",E41-$D$5)</f>
        <v/>
      </c>
      <c r="J41" s="7" t="str">
        <f t="shared" ref="J41:J58" si="14">IF(OR(E41="",E41=0),"",IF(AND(G41&gt;0,H41&gt;0),"要改善（両方遅い）",IF(G41&gt;0,"ピッキング改善",IF(H41&gt;0,"梱包改善","良好"))))</f>
        <v/>
      </c>
      <c r="K41" s="13" t="str">
        <f t="shared" ref="K41:K58" si="15">IF(OR(E41="",E41=0),"",IF(AND(G41&gt;0,H41&gt;0),IF(I41&gt;=0.2,"両工程を見直し","両工程を微改善"),IF(AND(I41&gt;0,G41&gt;0),"ピック導線を改善",IF(AND(I41&gt;0,H41&gt;0),"梱包手順を改善",IF(AND(G41&lt;0,H41&lt;0),"良好","目標達成")))))</f>
        <v/>
      </c>
      <c r="L41" s="5">
        <f t="shared" ref="L41:L58" si="16">IF(AND(ISNUMBER(C41),ISNUMBER(D41)),IF(OR(E41="",E41=0),-1E+99,I41+ROW()/100000),IF(B41="",-1E+99,IF(ISNUMBER(C41),G41+ROW()/100000,IF(ISNUMBER(D41),H41+ROW()/100000,-1E+99))))</f>
        <v>-9.9999999999999997E+98</v>
      </c>
      <c r="M41" s="5">
        <f t="shared" ref="M41:M58" si="17">IF(OR(E41="",E41=0),-1E+99,F41-ROW()/100000)</f>
        <v>-9.9999999999999997E+98</v>
      </c>
      <c r="N41" s="5" t="str">
        <f>IF(B41="","",COUNTA($B$9:B41))</f>
        <v/>
      </c>
      <c r="O41" s="51"/>
      <c r="P41" s="52"/>
    </row>
    <row r="42" spans="1:16" ht="15.75" x14ac:dyDescent="0.15">
      <c r="A42" s="12">
        <v>34</v>
      </c>
      <c r="B42" s="9"/>
      <c r="C42" s="8"/>
      <c r="D42" s="8"/>
      <c r="E42" s="5" t="str">
        <f t="shared" si="9"/>
        <v/>
      </c>
      <c r="F42" s="3" t="str">
        <f t="shared" si="10"/>
        <v/>
      </c>
      <c r="G42" s="5" t="str">
        <f t="shared" si="11"/>
        <v/>
      </c>
      <c r="H42" s="5" t="str">
        <f t="shared" si="12"/>
        <v/>
      </c>
      <c r="I42" s="5" t="str">
        <f t="shared" si="13"/>
        <v/>
      </c>
      <c r="J42" s="7" t="str">
        <f t="shared" si="14"/>
        <v/>
      </c>
      <c r="K42" s="13" t="str">
        <f t="shared" si="15"/>
        <v/>
      </c>
      <c r="L42" s="5">
        <f t="shared" si="16"/>
        <v>-9.9999999999999997E+98</v>
      </c>
      <c r="M42" s="5">
        <f t="shared" si="17"/>
        <v>-9.9999999999999997E+98</v>
      </c>
      <c r="N42" s="5" t="str">
        <f>IF(B42="","",COUNTA($B$9:B42))</f>
        <v/>
      </c>
      <c r="O42" s="51"/>
      <c r="P42" s="52"/>
    </row>
    <row r="43" spans="1:16" ht="15.75" x14ac:dyDescent="0.15">
      <c r="A43" s="12">
        <v>35</v>
      </c>
      <c r="B43" s="9"/>
      <c r="C43" s="8"/>
      <c r="D43" s="8"/>
      <c r="E43" s="5" t="str">
        <f t="shared" si="9"/>
        <v/>
      </c>
      <c r="F43" s="3" t="str">
        <f t="shared" si="10"/>
        <v/>
      </c>
      <c r="G43" s="5" t="str">
        <f t="shared" si="11"/>
        <v/>
      </c>
      <c r="H43" s="5" t="str">
        <f t="shared" si="12"/>
        <v/>
      </c>
      <c r="I43" s="5" t="str">
        <f t="shared" si="13"/>
        <v/>
      </c>
      <c r="J43" s="7" t="str">
        <f t="shared" si="14"/>
        <v/>
      </c>
      <c r="K43" s="13" t="str">
        <f t="shared" si="15"/>
        <v/>
      </c>
      <c r="L43" s="5">
        <f t="shared" si="16"/>
        <v>-9.9999999999999997E+98</v>
      </c>
      <c r="M43" s="5">
        <f t="shared" si="17"/>
        <v>-9.9999999999999997E+98</v>
      </c>
      <c r="N43" s="5" t="str">
        <f>IF(B43="","",COUNTA($B$9:B43))</f>
        <v/>
      </c>
      <c r="O43" s="51"/>
      <c r="P43" s="52"/>
    </row>
    <row r="44" spans="1:16" ht="15.75" x14ac:dyDescent="0.15">
      <c r="A44" s="12">
        <v>36</v>
      </c>
      <c r="B44" s="9"/>
      <c r="C44" s="8"/>
      <c r="D44" s="8"/>
      <c r="E44" s="5" t="str">
        <f t="shared" si="9"/>
        <v/>
      </c>
      <c r="F44" s="3" t="str">
        <f t="shared" si="10"/>
        <v/>
      </c>
      <c r="G44" s="5" t="str">
        <f t="shared" si="11"/>
        <v/>
      </c>
      <c r="H44" s="5" t="str">
        <f t="shared" si="12"/>
        <v/>
      </c>
      <c r="I44" s="5" t="str">
        <f t="shared" si="13"/>
        <v/>
      </c>
      <c r="J44" s="7" t="str">
        <f t="shared" si="14"/>
        <v/>
      </c>
      <c r="K44" s="13" t="str">
        <f t="shared" si="15"/>
        <v/>
      </c>
      <c r="L44" s="5">
        <f t="shared" si="16"/>
        <v>-9.9999999999999997E+98</v>
      </c>
      <c r="M44" s="5">
        <f t="shared" si="17"/>
        <v>-9.9999999999999997E+98</v>
      </c>
      <c r="N44" s="5" t="str">
        <f>IF(B44="","",COUNTA($B$9:B44))</f>
        <v/>
      </c>
      <c r="O44" s="51"/>
      <c r="P44" s="52"/>
    </row>
    <row r="45" spans="1:16" ht="15.75" x14ac:dyDescent="0.15">
      <c r="A45" s="12">
        <v>37</v>
      </c>
      <c r="B45" s="9"/>
      <c r="C45" s="8"/>
      <c r="D45" s="8"/>
      <c r="E45" s="5" t="str">
        <f t="shared" si="9"/>
        <v/>
      </c>
      <c r="F45" s="3" t="str">
        <f t="shared" si="10"/>
        <v/>
      </c>
      <c r="G45" s="5" t="str">
        <f t="shared" si="11"/>
        <v/>
      </c>
      <c r="H45" s="5" t="str">
        <f t="shared" si="12"/>
        <v/>
      </c>
      <c r="I45" s="5" t="str">
        <f t="shared" si="13"/>
        <v/>
      </c>
      <c r="J45" s="7" t="str">
        <f t="shared" si="14"/>
        <v/>
      </c>
      <c r="K45" s="13" t="str">
        <f t="shared" si="15"/>
        <v/>
      </c>
      <c r="L45" s="5">
        <f t="shared" si="16"/>
        <v>-9.9999999999999997E+98</v>
      </c>
      <c r="M45" s="5">
        <f t="shared" si="17"/>
        <v>-9.9999999999999997E+98</v>
      </c>
      <c r="N45" s="5" t="str">
        <f>IF(B45="","",COUNTA($B$9:B45))</f>
        <v/>
      </c>
      <c r="O45" s="51"/>
      <c r="P45" s="52"/>
    </row>
    <row r="46" spans="1:16" ht="15.75" x14ac:dyDescent="0.15">
      <c r="A46" s="12">
        <v>38</v>
      </c>
      <c r="B46" s="9"/>
      <c r="C46" s="8"/>
      <c r="D46" s="8"/>
      <c r="E46" s="5" t="str">
        <f t="shared" si="9"/>
        <v/>
      </c>
      <c r="F46" s="3" t="str">
        <f t="shared" si="10"/>
        <v/>
      </c>
      <c r="G46" s="5" t="str">
        <f t="shared" si="11"/>
        <v/>
      </c>
      <c r="H46" s="5" t="str">
        <f t="shared" si="12"/>
        <v/>
      </c>
      <c r="I46" s="5" t="str">
        <f t="shared" si="13"/>
        <v/>
      </c>
      <c r="J46" s="7" t="str">
        <f t="shared" si="14"/>
        <v/>
      </c>
      <c r="K46" s="13" t="str">
        <f t="shared" si="15"/>
        <v/>
      </c>
      <c r="L46" s="5">
        <f t="shared" si="16"/>
        <v>-9.9999999999999997E+98</v>
      </c>
      <c r="M46" s="5">
        <f t="shared" si="17"/>
        <v>-9.9999999999999997E+98</v>
      </c>
      <c r="N46" s="5" t="str">
        <f>IF(B46="","",COUNTA($B$9:B46))</f>
        <v/>
      </c>
      <c r="O46" s="51"/>
      <c r="P46" s="52"/>
    </row>
    <row r="47" spans="1:16" ht="15.75" x14ac:dyDescent="0.15">
      <c r="A47" s="12">
        <v>39</v>
      </c>
      <c r="B47" s="9"/>
      <c r="C47" s="8"/>
      <c r="D47" s="8"/>
      <c r="E47" s="5" t="str">
        <f t="shared" si="9"/>
        <v/>
      </c>
      <c r="F47" s="3" t="str">
        <f t="shared" si="10"/>
        <v/>
      </c>
      <c r="G47" s="5" t="str">
        <f t="shared" si="11"/>
        <v/>
      </c>
      <c r="H47" s="5" t="str">
        <f t="shared" si="12"/>
        <v/>
      </c>
      <c r="I47" s="5" t="str">
        <f t="shared" si="13"/>
        <v/>
      </c>
      <c r="J47" s="7" t="str">
        <f t="shared" si="14"/>
        <v/>
      </c>
      <c r="K47" s="13" t="str">
        <f t="shared" si="15"/>
        <v/>
      </c>
      <c r="L47" s="5">
        <f t="shared" si="16"/>
        <v>-9.9999999999999997E+98</v>
      </c>
      <c r="M47" s="5">
        <f t="shared" si="17"/>
        <v>-9.9999999999999997E+98</v>
      </c>
      <c r="N47" s="5" t="str">
        <f>IF(B47="","",COUNTA($B$9:B47))</f>
        <v/>
      </c>
      <c r="O47" s="51"/>
      <c r="P47" s="52"/>
    </row>
    <row r="48" spans="1:16" ht="15.75" x14ac:dyDescent="0.15">
      <c r="A48" s="12">
        <v>40</v>
      </c>
      <c r="B48" s="9"/>
      <c r="C48" s="8"/>
      <c r="D48" s="8"/>
      <c r="E48" s="5" t="str">
        <f t="shared" si="9"/>
        <v/>
      </c>
      <c r="F48" s="3" t="str">
        <f t="shared" si="10"/>
        <v/>
      </c>
      <c r="G48" s="5" t="str">
        <f t="shared" si="11"/>
        <v/>
      </c>
      <c r="H48" s="5" t="str">
        <f t="shared" si="12"/>
        <v/>
      </c>
      <c r="I48" s="5" t="str">
        <f t="shared" si="13"/>
        <v/>
      </c>
      <c r="J48" s="7" t="str">
        <f t="shared" si="14"/>
        <v/>
      </c>
      <c r="K48" s="13" t="str">
        <f t="shared" si="15"/>
        <v/>
      </c>
      <c r="L48" s="5">
        <f t="shared" si="16"/>
        <v>-9.9999999999999997E+98</v>
      </c>
      <c r="M48" s="5">
        <f t="shared" si="17"/>
        <v>-9.9999999999999997E+98</v>
      </c>
      <c r="N48" s="5" t="str">
        <f>IF(B48="","",COUNTA($B$9:B48))</f>
        <v/>
      </c>
      <c r="O48" s="51"/>
      <c r="P48" s="52"/>
    </row>
    <row r="49" spans="1:16" ht="15.75" x14ac:dyDescent="0.15">
      <c r="A49" s="12">
        <v>41</v>
      </c>
      <c r="B49" s="9"/>
      <c r="C49" s="8"/>
      <c r="D49" s="8"/>
      <c r="E49" s="5" t="str">
        <f t="shared" si="9"/>
        <v/>
      </c>
      <c r="F49" s="3" t="str">
        <f t="shared" si="10"/>
        <v/>
      </c>
      <c r="G49" s="5" t="str">
        <f t="shared" si="11"/>
        <v/>
      </c>
      <c r="H49" s="5" t="str">
        <f t="shared" si="12"/>
        <v/>
      </c>
      <c r="I49" s="5" t="str">
        <f t="shared" si="13"/>
        <v/>
      </c>
      <c r="J49" s="7" t="str">
        <f t="shared" si="14"/>
        <v/>
      </c>
      <c r="K49" s="13" t="str">
        <f t="shared" si="15"/>
        <v/>
      </c>
      <c r="L49" s="5">
        <f t="shared" si="16"/>
        <v>-9.9999999999999997E+98</v>
      </c>
      <c r="M49" s="5">
        <f t="shared" si="17"/>
        <v>-9.9999999999999997E+98</v>
      </c>
      <c r="N49" s="5" t="str">
        <f>IF(B49="","",COUNTA($B$9:B49))</f>
        <v/>
      </c>
      <c r="O49" s="51"/>
      <c r="P49" s="52"/>
    </row>
    <row r="50" spans="1:16" ht="15.75" x14ac:dyDescent="0.15">
      <c r="A50" s="12">
        <v>42</v>
      </c>
      <c r="B50" s="9"/>
      <c r="C50" s="8"/>
      <c r="D50" s="8"/>
      <c r="E50" s="5" t="str">
        <f t="shared" si="9"/>
        <v/>
      </c>
      <c r="F50" s="3" t="str">
        <f t="shared" si="10"/>
        <v/>
      </c>
      <c r="G50" s="5" t="str">
        <f t="shared" si="11"/>
        <v/>
      </c>
      <c r="H50" s="5" t="str">
        <f t="shared" si="12"/>
        <v/>
      </c>
      <c r="I50" s="5" t="str">
        <f t="shared" si="13"/>
        <v/>
      </c>
      <c r="J50" s="7" t="str">
        <f t="shared" si="14"/>
        <v/>
      </c>
      <c r="K50" s="13" t="str">
        <f t="shared" si="15"/>
        <v/>
      </c>
      <c r="L50" s="5">
        <f t="shared" si="16"/>
        <v>-9.9999999999999997E+98</v>
      </c>
      <c r="M50" s="5">
        <f t="shared" si="17"/>
        <v>-9.9999999999999997E+98</v>
      </c>
      <c r="N50" s="5" t="str">
        <f>IF(B50="","",COUNTA($B$9:B50))</f>
        <v/>
      </c>
      <c r="O50" s="51"/>
      <c r="P50" s="52"/>
    </row>
    <row r="51" spans="1:16" ht="15.75" x14ac:dyDescent="0.15">
      <c r="A51" s="12">
        <v>43</v>
      </c>
      <c r="B51" s="9"/>
      <c r="C51" s="8"/>
      <c r="D51" s="8"/>
      <c r="E51" s="5" t="str">
        <f t="shared" si="9"/>
        <v/>
      </c>
      <c r="F51" s="3" t="str">
        <f t="shared" si="10"/>
        <v/>
      </c>
      <c r="G51" s="5" t="str">
        <f t="shared" si="11"/>
        <v/>
      </c>
      <c r="H51" s="5" t="str">
        <f t="shared" si="12"/>
        <v/>
      </c>
      <c r="I51" s="5" t="str">
        <f t="shared" si="13"/>
        <v/>
      </c>
      <c r="J51" s="7" t="str">
        <f t="shared" si="14"/>
        <v/>
      </c>
      <c r="K51" s="13" t="str">
        <f t="shared" si="15"/>
        <v/>
      </c>
      <c r="L51" s="5">
        <f t="shared" si="16"/>
        <v>-9.9999999999999997E+98</v>
      </c>
      <c r="M51" s="5">
        <f t="shared" si="17"/>
        <v>-9.9999999999999997E+98</v>
      </c>
      <c r="N51" s="5" t="str">
        <f>IF(B51="","",COUNTA($B$9:B51))</f>
        <v/>
      </c>
      <c r="O51" s="51"/>
      <c r="P51" s="52"/>
    </row>
    <row r="52" spans="1:16" ht="15.75" x14ac:dyDescent="0.15">
      <c r="A52" s="12">
        <v>44</v>
      </c>
      <c r="B52" s="9"/>
      <c r="C52" s="8"/>
      <c r="D52" s="8"/>
      <c r="E52" s="5" t="str">
        <f t="shared" si="9"/>
        <v/>
      </c>
      <c r="F52" s="3" t="str">
        <f t="shared" si="10"/>
        <v/>
      </c>
      <c r="G52" s="5" t="str">
        <f t="shared" si="11"/>
        <v/>
      </c>
      <c r="H52" s="5" t="str">
        <f t="shared" si="12"/>
        <v/>
      </c>
      <c r="I52" s="5" t="str">
        <f t="shared" si="13"/>
        <v/>
      </c>
      <c r="J52" s="7" t="str">
        <f t="shared" si="14"/>
        <v/>
      </c>
      <c r="K52" s="13" t="str">
        <f t="shared" si="15"/>
        <v/>
      </c>
      <c r="L52" s="5">
        <f t="shared" si="16"/>
        <v>-9.9999999999999997E+98</v>
      </c>
      <c r="M52" s="5">
        <f t="shared" si="17"/>
        <v>-9.9999999999999997E+98</v>
      </c>
      <c r="N52" s="5" t="str">
        <f>IF(B52="","",COUNTA($B$9:B52))</f>
        <v/>
      </c>
      <c r="O52" s="51"/>
      <c r="P52" s="52"/>
    </row>
    <row r="53" spans="1:16" ht="15.75" x14ac:dyDescent="0.15">
      <c r="A53" s="12">
        <v>45</v>
      </c>
      <c r="B53" s="9"/>
      <c r="C53" s="8"/>
      <c r="D53" s="8"/>
      <c r="E53" s="5" t="str">
        <f t="shared" si="9"/>
        <v/>
      </c>
      <c r="F53" s="3" t="str">
        <f t="shared" si="10"/>
        <v/>
      </c>
      <c r="G53" s="5" t="str">
        <f t="shared" si="11"/>
        <v/>
      </c>
      <c r="H53" s="5" t="str">
        <f t="shared" si="12"/>
        <v/>
      </c>
      <c r="I53" s="5" t="str">
        <f t="shared" si="13"/>
        <v/>
      </c>
      <c r="J53" s="7" t="str">
        <f t="shared" si="14"/>
        <v/>
      </c>
      <c r="K53" s="13" t="str">
        <f t="shared" si="15"/>
        <v/>
      </c>
      <c r="L53" s="5">
        <f t="shared" si="16"/>
        <v>-9.9999999999999997E+98</v>
      </c>
      <c r="M53" s="5">
        <f t="shared" si="17"/>
        <v>-9.9999999999999997E+98</v>
      </c>
      <c r="N53" s="5" t="str">
        <f>IF(B53="","",COUNTA($B$9:B53))</f>
        <v/>
      </c>
      <c r="O53" s="51"/>
      <c r="P53" s="52"/>
    </row>
    <row r="54" spans="1:16" ht="15.75" x14ac:dyDescent="0.15">
      <c r="A54" s="12">
        <v>46</v>
      </c>
      <c r="B54" s="9"/>
      <c r="C54" s="8"/>
      <c r="D54" s="8"/>
      <c r="E54" s="5" t="str">
        <f t="shared" si="9"/>
        <v/>
      </c>
      <c r="F54" s="3" t="str">
        <f t="shared" si="10"/>
        <v/>
      </c>
      <c r="G54" s="5" t="str">
        <f t="shared" si="11"/>
        <v/>
      </c>
      <c r="H54" s="5" t="str">
        <f t="shared" si="12"/>
        <v/>
      </c>
      <c r="I54" s="5" t="str">
        <f t="shared" si="13"/>
        <v/>
      </c>
      <c r="J54" s="7" t="str">
        <f t="shared" si="14"/>
        <v/>
      </c>
      <c r="K54" s="13" t="str">
        <f t="shared" si="15"/>
        <v/>
      </c>
      <c r="L54" s="5">
        <f t="shared" si="16"/>
        <v>-9.9999999999999997E+98</v>
      </c>
      <c r="M54" s="5">
        <f t="shared" si="17"/>
        <v>-9.9999999999999997E+98</v>
      </c>
      <c r="N54" s="5" t="str">
        <f>IF(B54="","",COUNTA($B$9:B54))</f>
        <v/>
      </c>
      <c r="O54" s="51"/>
      <c r="P54" s="52"/>
    </row>
    <row r="55" spans="1:16" ht="15.75" x14ac:dyDescent="0.15">
      <c r="A55" s="12">
        <v>47</v>
      </c>
      <c r="B55" s="9"/>
      <c r="C55" s="8"/>
      <c r="D55" s="8"/>
      <c r="E55" s="5" t="str">
        <f t="shared" si="9"/>
        <v/>
      </c>
      <c r="F55" s="3" t="str">
        <f t="shared" si="10"/>
        <v/>
      </c>
      <c r="G55" s="5" t="str">
        <f t="shared" si="11"/>
        <v/>
      </c>
      <c r="H55" s="5" t="str">
        <f t="shared" si="12"/>
        <v/>
      </c>
      <c r="I55" s="5" t="str">
        <f t="shared" si="13"/>
        <v/>
      </c>
      <c r="J55" s="7" t="str">
        <f t="shared" si="14"/>
        <v/>
      </c>
      <c r="K55" s="13" t="str">
        <f t="shared" si="15"/>
        <v/>
      </c>
      <c r="L55" s="5">
        <f t="shared" si="16"/>
        <v>-9.9999999999999997E+98</v>
      </c>
      <c r="M55" s="5">
        <f t="shared" si="17"/>
        <v>-9.9999999999999997E+98</v>
      </c>
      <c r="N55" s="5" t="str">
        <f>IF(B55="","",COUNTA($B$9:B55))</f>
        <v/>
      </c>
      <c r="O55" s="51"/>
      <c r="P55" s="52"/>
    </row>
    <row r="56" spans="1:16" ht="15.75" x14ac:dyDescent="0.15">
      <c r="A56" s="12">
        <v>48</v>
      </c>
      <c r="B56" s="9"/>
      <c r="C56" s="8"/>
      <c r="D56" s="8"/>
      <c r="E56" s="5" t="str">
        <f t="shared" si="9"/>
        <v/>
      </c>
      <c r="F56" s="3" t="str">
        <f t="shared" si="10"/>
        <v/>
      </c>
      <c r="G56" s="5" t="str">
        <f t="shared" si="11"/>
        <v/>
      </c>
      <c r="H56" s="5" t="str">
        <f t="shared" si="12"/>
        <v/>
      </c>
      <c r="I56" s="5" t="str">
        <f t="shared" si="13"/>
        <v/>
      </c>
      <c r="J56" s="7" t="str">
        <f t="shared" si="14"/>
        <v/>
      </c>
      <c r="K56" s="13" t="str">
        <f t="shared" si="15"/>
        <v/>
      </c>
      <c r="L56" s="5">
        <f t="shared" si="16"/>
        <v>-9.9999999999999997E+98</v>
      </c>
      <c r="M56" s="5">
        <f t="shared" si="17"/>
        <v>-9.9999999999999997E+98</v>
      </c>
      <c r="N56" s="5" t="str">
        <f>IF(B56="","",COUNTA($B$9:B56))</f>
        <v/>
      </c>
      <c r="O56" s="51"/>
      <c r="P56" s="52"/>
    </row>
    <row r="57" spans="1:16" ht="15.75" x14ac:dyDescent="0.15">
      <c r="A57" s="12">
        <v>49</v>
      </c>
      <c r="B57" s="9"/>
      <c r="C57" s="8"/>
      <c r="D57" s="8"/>
      <c r="E57" s="5" t="str">
        <f t="shared" si="9"/>
        <v/>
      </c>
      <c r="F57" s="3" t="str">
        <f t="shared" si="10"/>
        <v/>
      </c>
      <c r="G57" s="5" t="str">
        <f t="shared" si="11"/>
        <v/>
      </c>
      <c r="H57" s="5" t="str">
        <f t="shared" si="12"/>
        <v/>
      </c>
      <c r="I57" s="5" t="str">
        <f t="shared" si="13"/>
        <v/>
      </c>
      <c r="J57" s="7" t="str">
        <f t="shared" si="14"/>
        <v/>
      </c>
      <c r="K57" s="13" t="str">
        <f t="shared" si="15"/>
        <v/>
      </c>
      <c r="L57" s="5">
        <f t="shared" si="16"/>
        <v>-9.9999999999999997E+98</v>
      </c>
      <c r="M57" s="5">
        <f t="shared" si="17"/>
        <v>-9.9999999999999997E+98</v>
      </c>
      <c r="N57" s="5" t="str">
        <f>IF(B57="","",COUNTA($B$9:B57))</f>
        <v/>
      </c>
      <c r="O57" s="51"/>
      <c r="P57" s="52"/>
    </row>
    <row r="58" spans="1:16" ht="15.75" x14ac:dyDescent="0.15">
      <c r="A58" s="17">
        <v>50</v>
      </c>
      <c r="B58" s="18"/>
      <c r="C58" s="19"/>
      <c r="D58" s="19"/>
      <c r="E58" s="20" t="str">
        <f t="shared" si="9"/>
        <v/>
      </c>
      <c r="F58" s="21" t="str">
        <f t="shared" si="10"/>
        <v/>
      </c>
      <c r="G58" s="20" t="str">
        <f t="shared" si="11"/>
        <v/>
      </c>
      <c r="H58" s="20" t="str">
        <f t="shared" si="12"/>
        <v/>
      </c>
      <c r="I58" s="20" t="str">
        <f t="shared" si="13"/>
        <v/>
      </c>
      <c r="J58" s="22" t="str">
        <f t="shared" si="14"/>
        <v/>
      </c>
      <c r="K58" s="23" t="str">
        <f t="shared" si="15"/>
        <v/>
      </c>
      <c r="L58" s="5">
        <f t="shared" si="16"/>
        <v>-9.9999999999999997E+98</v>
      </c>
      <c r="M58" s="5">
        <f t="shared" si="17"/>
        <v>-9.9999999999999997E+98</v>
      </c>
      <c r="N58" s="5" t="str">
        <f>IF(B58="","",COUNTA($B$9:B58))</f>
        <v/>
      </c>
      <c r="O58" s="48"/>
      <c r="P58" s="47"/>
    </row>
  </sheetData>
  <mergeCells count="3">
    <mergeCell ref="A1:M1"/>
    <mergeCell ref="A3:D3"/>
    <mergeCell ref="F3:M5"/>
  </mergeCells>
  <phoneticPr fontId="11"/>
  <conditionalFormatting sqref="J9:J58">
    <cfRule type="containsText" dxfId="9" priority="1" operator="containsText" text="良好">
      <formula>NOT(ISERROR(SEARCH("良好",J9)))</formula>
    </cfRule>
    <cfRule type="containsText" dxfId="8" priority="2" operator="containsText" text="ピッキング改善">
      <formula>NOT(ISERROR(SEARCH("ピッキング改善",J9)))</formula>
    </cfRule>
    <cfRule type="containsText" dxfId="7" priority="3" operator="containsText" text="梱包改善">
      <formula>NOT(ISERROR(SEARCH("梱包改善",J9)))</formula>
    </cfRule>
    <cfRule type="containsText" dxfId="6" priority="4" operator="containsText" text="要改善">
      <formula>NOT(ISERROR(SEARCH("要改善",J9)))</formula>
    </cfRule>
  </conditionalFormatting>
  <hyperlinks>
    <hyperlink ref="F6" location="'ダッシュボード'!B1" display="ダッシュボードへ戻る" xr:uid="{00000000-0004-0000-0100-000000000000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4"/>
  <sheetViews>
    <sheetView workbookViewId="0"/>
  </sheetViews>
  <sheetFormatPr defaultRowHeight="13.5" x14ac:dyDescent="0.15"/>
  <cols>
    <col min="1" max="34" width="12.75" customWidth="1"/>
  </cols>
  <sheetData>
    <row r="1" spans="1:34" ht="15.75" x14ac:dyDescent="0.15">
      <c r="A1" s="6" t="s">
        <v>22</v>
      </c>
      <c r="B1" s="6" t="s">
        <v>23</v>
      </c>
      <c r="C1" s="6" t="s">
        <v>24</v>
      </c>
      <c r="D1" s="6" t="s">
        <v>25</v>
      </c>
      <c r="E1" s="6" t="s">
        <v>14</v>
      </c>
      <c r="F1" s="6" t="s">
        <v>26</v>
      </c>
      <c r="G1" s="6" t="s">
        <v>19</v>
      </c>
      <c r="I1" s="6" t="s">
        <v>27</v>
      </c>
      <c r="J1" s="6" t="s">
        <v>23</v>
      </c>
      <c r="K1" s="6" t="s">
        <v>24</v>
      </c>
      <c r="L1" s="6" t="s">
        <v>25</v>
      </c>
      <c r="M1" s="6" t="s">
        <v>28</v>
      </c>
      <c r="N1" s="6" t="s">
        <v>26</v>
      </c>
      <c r="O1" s="6" t="s">
        <v>19</v>
      </c>
      <c r="Q1" s="6" t="s">
        <v>29</v>
      </c>
      <c r="R1" s="6" t="s">
        <v>14</v>
      </c>
      <c r="S1" s="6" t="s">
        <v>23</v>
      </c>
      <c r="T1" s="6" t="s">
        <v>24</v>
      </c>
      <c r="U1" s="6" t="s">
        <v>25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6" t="s">
        <v>37</v>
      </c>
      <c r="AH1" s="6" t="s">
        <v>38</v>
      </c>
    </row>
    <row r="2" spans="1:34" x14ac:dyDescent="0.15">
      <c r="A2" t="str">
        <f>IF($Z2="","",INDEX(入力!$B$9:$B$58,$Z2))</f>
        <v>佐藤　辰成</v>
      </c>
      <c r="B2">
        <f>IF($Z2="","",IF(INDEX(入力!$C$9:$C$58,$Z2)="","",INDEX(入力!$C$9:$C$58,$Z2)))</f>
        <v>1</v>
      </c>
      <c r="C2">
        <f>IF($Z2="","",IF(INDEX(入力!$D$9:$D$58,$Z2)="","",INDEX(入力!$D$9:$D$58,$Z2)))</f>
        <v>0.5</v>
      </c>
      <c r="D2">
        <f>IF($Z2="","",INDEX(入力!$E$9:$E$58,$Z2))</f>
        <v>1.5</v>
      </c>
      <c r="E2">
        <f>IF($Z2="","",INDEX(入力!$F$9:$F$58,$Z2))</f>
        <v>2.1333333333333333</v>
      </c>
      <c r="F2" t="str">
        <f>IF($Z2="","",INDEX(入力!$J$9:$J$58,$Z2))</f>
        <v>良好</v>
      </c>
      <c r="G2" t="str">
        <f>IF($Z2="","",INDEX(入力!$K$9:$K$58,$Z2))</f>
        <v>良好</v>
      </c>
      <c r="I2" t="str">
        <f>IF($AA2="","",INDEX(入力!$B$9:$B$58,$AA2))</f>
        <v>菊池　敬</v>
      </c>
      <c r="J2">
        <f>IF($AA2="","",INDEX(入力!$C$9:$C$58,$AA2))</f>
        <v>1.7</v>
      </c>
      <c r="K2">
        <f>IF($AA2="","",INDEX(入力!$D$9:$D$58,$AA2))</f>
        <v>2.5</v>
      </c>
      <c r="L2">
        <f>IF($AA2="","",IF(INDEX(入力!$E$9:$E$58,$AA2)&lt;&gt;"",INDEX(入力!$E$9:$E$58,$AA2),IF(ISNUMBER(INDEX(入力!$C$9:$C$58,$AA2)),INDEX(入力!$C$9:$C$58,$AA2),INDEX(入力!$D$9:$D$58,$AA2))))</f>
        <v>4.2</v>
      </c>
      <c r="M2">
        <f>IF($AA2="","",IF(INDEX(入力!$I$9:$I$58,$AA2)&lt;&gt;"",INDEX(入力!$I$9:$I$58,$AA2),IF(ISNUMBER(INDEX(入力!$C$9:$C$58,$AA2)),INDEX(入力!$C$9:$C$58,$AA2)-入力!$B$5,INDEX(入力!$D$9:$D$58,$AA2)-入力!$C$5)))</f>
        <v>1</v>
      </c>
      <c r="N2" t="str">
        <f>IF($AA2="","",INDEX(入力!$J$9:$J$58,$AA2))</f>
        <v>要改善（両方遅い）</v>
      </c>
      <c r="O2" t="str">
        <f>IF($AA2="","",IF(INDEX(入力!$K$9:$K$58,$AA2)&lt;&gt;"",INDEX(入力!$K$9:$K$58,$AA2),IF(ISNUMBER(INDEX(入力!$C$9:$C$58,$AA2)),IF(INDEX(入力!$C$9:$C$58,$AA2)-入力!$B$5&gt;0,"ピッキング改善（梱包未入力）","良好（梱包未入力）"),IF(INDEX(入力!$D$9:$D$58,$AA2)-入力!$C$5&gt;0,"梱包改善（ピッキング未入力）","良好（ピッキング未入力）"))))</f>
        <v>両工程を見直し</v>
      </c>
      <c r="Q2" t="str">
        <f>IF($AB2="","",INDEX(入力!$B$9:$B$58,$AB2))</f>
        <v>佐藤　辰成</v>
      </c>
      <c r="R2">
        <f>IF($AB2="","",INDEX(入力!$F$9:$F$58,$AB2))</f>
        <v>2.1333333333333333</v>
      </c>
      <c r="S2">
        <f>IF($AB2="","",INDEX(入力!$C$9:$C$58,$AB2))</f>
        <v>1</v>
      </c>
      <c r="T2">
        <f>IF($AB2="","",INDEX(入力!$D$9:$D$58,$AB2))</f>
        <v>0.5</v>
      </c>
      <c r="U2">
        <f>IF($AB2="","",INDEX(入力!$E$9:$E$58,$AB2))</f>
        <v>1.5</v>
      </c>
      <c r="V2">
        <f>IF($Z2="","",IF($B2&lt;&gt;"",$B2,IF($C2&lt;&gt;"",入力!$B$5,"")))</f>
        <v>1</v>
      </c>
      <c r="W2">
        <f>IF($Z2="","",IF($C2&lt;&gt;"",$C2,IF($B2&lt;&gt;"",入力!$C$5,"")))</f>
        <v>0.5</v>
      </c>
      <c r="Z2">
        <f>IFERROR(MATCH(ROW()-1,入力!$N$9:$N$58,0),"")</f>
        <v>1</v>
      </c>
      <c r="AA2">
        <f>IF(ROW()-1&gt;COUNTIF(入力!$L$9:$L$58,"&gt;-9.9E+98"),"",IFERROR(MATCH(LARGE(入力!$L$9:$L$58,ROW()-1),入力!$L$9:$L$58,0),""))</f>
        <v>20</v>
      </c>
      <c r="AB2">
        <f>IF(ROW()-1&gt;COUNTIF(入力!$M$9:$M$58,"&gt;-9.9E+98"),"",IFERROR(MATCH(LARGE(入力!$M$9:$M$58,ROW()-1),入力!$M$9:$M$58,0),""))</f>
        <v>1</v>
      </c>
      <c r="AC2">
        <f>入力!$B$5</f>
        <v>1.6</v>
      </c>
      <c r="AD2">
        <f>入力!$C$5</f>
        <v>1.6</v>
      </c>
      <c r="AE2">
        <f>入力!$B$5</f>
        <v>1.6</v>
      </c>
      <c r="AF2">
        <v>1</v>
      </c>
      <c r="AG2">
        <v>1</v>
      </c>
      <c r="AH2">
        <f>入力!$C$5</f>
        <v>1.6</v>
      </c>
    </row>
    <row r="3" spans="1:34" x14ac:dyDescent="0.15">
      <c r="A3" t="str">
        <f>IF($Z3="","",INDEX(入力!$B$9:$B$58,$Z3))</f>
        <v>河野　忠</v>
      </c>
      <c r="B3">
        <f>IF($Z3="","",IF(INDEX(入力!$C$9:$C$58,$Z3)="","",INDEX(入力!$C$9:$C$58,$Z3)))</f>
        <v>1.2</v>
      </c>
      <c r="C3">
        <f>IF($Z3="","",IF(INDEX(入力!$D$9:$D$58,$Z3)="","",INDEX(入力!$D$9:$D$58,$Z3)))</f>
        <v>1</v>
      </c>
      <c r="D3">
        <f>IF($Z3="","",INDEX(入力!$E$9:$E$58,$Z3))</f>
        <v>2.2000000000000002</v>
      </c>
      <c r="E3">
        <f>IF($Z3="","",INDEX(入力!$F$9:$F$58,$Z3))</f>
        <v>1.4545454545454546</v>
      </c>
      <c r="F3" t="str">
        <f>IF($Z3="","",INDEX(入力!$J$9:$J$58,$Z3))</f>
        <v>良好</v>
      </c>
      <c r="G3" t="str">
        <f>IF($Z3="","",INDEX(入力!$K$9:$K$58,$Z3))</f>
        <v>良好</v>
      </c>
      <c r="I3" t="str">
        <f>IF($AA3="","",INDEX(入力!$B$9:$B$58,$AA3))</f>
        <v>森田　美加</v>
      </c>
      <c r="J3">
        <f>IF($AA3="","",INDEX(入力!$C$9:$C$58,$AA3))</f>
        <v>1.1000000000000001</v>
      </c>
      <c r="K3">
        <f>IF($AA3="","",INDEX(入力!$D$9:$D$58,$AA3))</f>
        <v>3.1</v>
      </c>
      <c r="L3">
        <f>IF($AA3="","",IF(INDEX(入力!$E$9:$E$58,$AA3)&lt;&gt;"",INDEX(入力!$E$9:$E$58,$AA3),IF(ISNUMBER(INDEX(入力!$C$9:$C$58,$AA3)),INDEX(入力!$C$9:$C$58,$AA3),INDEX(入力!$D$9:$D$58,$AA3))))</f>
        <v>4.2</v>
      </c>
      <c r="M3">
        <f>IF($AA3="","",IF(INDEX(入力!$I$9:$I$58,$AA3)&lt;&gt;"",INDEX(入力!$I$9:$I$58,$AA3),IF(ISNUMBER(INDEX(入力!$C$9:$C$58,$AA3)),INDEX(入力!$C$9:$C$58,$AA3)-入力!$B$5,INDEX(入力!$D$9:$D$58,$AA3)-入力!$C$5)))</f>
        <v>1</v>
      </c>
      <c r="N3" t="str">
        <f>IF($AA3="","",INDEX(入力!$J$9:$J$58,$AA3))</f>
        <v>梱包改善</v>
      </c>
      <c r="O3" t="str">
        <f>IF($AA3="","",IF(INDEX(入力!$K$9:$K$58,$AA3)&lt;&gt;"",INDEX(入力!$K$9:$K$58,$AA3),IF(ISNUMBER(INDEX(入力!$C$9:$C$58,$AA3)),IF(INDEX(入力!$C$9:$C$58,$AA3)-入力!$B$5&gt;0,"ピッキング改善（梱包未入力）","良好（梱包未入力）"),IF(INDEX(入力!$D$9:$D$58,$AA3)-入力!$C$5&gt;0,"梱包改善（ピッキング未入力）","良好（ピッキング未入力）"))))</f>
        <v>梱包手順を改善</v>
      </c>
      <c r="Q3" t="str">
        <f>IF($AB3="","",INDEX(入力!$B$9:$B$58,$AB3))</f>
        <v>本吉　有美子</v>
      </c>
      <c r="R3">
        <f>IF($AB3="","",INDEX(入力!$F$9:$F$58,$AB3))</f>
        <v>1.5238095238095237</v>
      </c>
      <c r="S3">
        <f>IF($AB3="","",INDEX(入力!$C$9:$C$58,$AB3))</f>
        <v>1.1000000000000001</v>
      </c>
      <c r="T3">
        <f>IF($AB3="","",INDEX(入力!$D$9:$D$58,$AB3))</f>
        <v>1</v>
      </c>
      <c r="U3">
        <f>IF($AB3="","",INDEX(入力!$E$9:$E$58,$AB3))</f>
        <v>2.1</v>
      </c>
      <c r="V3">
        <f>IF($Z3="","",IF($B3&lt;&gt;"",$B3,IF($C3&lt;&gt;"",入力!$B$5,"")))</f>
        <v>1.2</v>
      </c>
      <c r="W3">
        <f>IF($Z3="","",IF($C3&lt;&gt;"",$C3,IF($B3&lt;&gt;"",入力!$C$5,"")))</f>
        <v>1</v>
      </c>
      <c r="Z3">
        <f>IFERROR(MATCH(ROW()-1,入力!$N$9:$N$58,0),"")</f>
        <v>2</v>
      </c>
      <c r="AA3">
        <f>IF(ROW()-1&gt;COUNTIF(入力!$L$9:$L$58,"&gt;-9.9E+98"),"",IFERROR(MATCH(LARGE(入力!$L$9:$L$58,ROW()-1),入力!$L$9:$L$58,0),""))</f>
        <v>14</v>
      </c>
      <c r="AB3">
        <f>IF(ROW()-1&gt;COUNTIF(入力!$M$9:$M$58,"&gt;-9.9E+98"),"",IFERROR(MATCH(LARGE(入力!$M$9:$M$58,ROW()-1),入力!$M$9:$M$58,0),""))</f>
        <v>9</v>
      </c>
      <c r="AC3">
        <f>入力!$B$5</f>
        <v>1.6</v>
      </c>
      <c r="AD3">
        <f>入力!$C$5</f>
        <v>1.6</v>
      </c>
      <c r="AE3">
        <f>入力!$B$5</f>
        <v>1.6</v>
      </c>
      <c r="AF3">
        <v>2.4</v>
      </c>
      <c r="AG3">
        <v>2.4</v>
      </c>
      <c r="AH3">
        <f>入力!$C$5</f>
        <v>1.6</v>
      </c>
    </row>
    <row r="4" spans="1:34" x14ac:dyDescent="0.15">
      <c r="A4" t="str">
        <f>IF($Z4="","",INDEX(入力!$B$9:$B$58,$Z4))</f>
        <v>中納　沙織</v>
      </c>
      <c r="B4">
        <f>IF($Z4="","",IF(INDEX(入力!$C$9:$C$58,$Z4)="","",INDEX(入力!$C$9:$C$58,$Z4)))</f>
        <v>1.3</v>
      </c>
      <c r="C4">
        <f>IF($Z4="","",IF(INDEX(入力!$D$9:$D$58,$Z4)="","",INDEX(入力!$D$9:$D$58,$Z4)))</f>
        <v>2.1</v>
      </c>
      <c r="D4">
        <f>IF($Z4="","",INDEX(入力!$E$9:$E$58,$Z4))</f>
        <v>3.4000000000000004</v>
      </c>
      <c r="E4">
        <f>IF($Z4="","",INDEX(入力!$F$9:$F$58,$Z4))</f>
        <v>0.94117647058823528</v>
      </c>
      <c r="F4" t="str">
        <f>IF($Z4="","",INDEX(入力!$J$9:$J$58,$Z4))</f>
        <v>梱包改善</v>
      </c>
      <c r="G4" t="str">
        <f>IF($Z4="","",INDEX(入力!$K$9:$K$58,$Z4))</f>
        <v>梱包手順を改善</v>
      </c>
      <c r="I4" t="str">
        <f>IF($AA4="","",INDEX(入力!$B$9:$B$58,$AA4))</f>
        <v>木村　千鶴</v>
      </c>
      <c r="J4">
        <f>IF($AA4="","",INDEX(入力!$C$9:$C$58,$AA4))</f>
        <v>1.7</v>
      </c>
      <c r="K4">
        <f>IF($AA4="","",INDEX(入力!$D$9:$D$58,$AA4))</f>
        <v>2.2000000000000002</v>
      </c>
      <c r="L4">
        <f>IF($AA4="","",IF(INDEX(入力!$E$9:$E$58,$AA4)&lt;&gt;"",INDEX(入力!$E$9:$E$58,$AA4),IF(ISNUMBER(INDEX(入力!$C$9:$C$58,$AA4)),INDEX(入力!$C$9:$C$58,$AA4),INDEX(入力!$D$9:$D$58,$AA4))))</f>
        <v>3.9000000000000004</v>
      </c>
      <c r="M4">
        <f>IF($AA4="","",IF(INDEX(入力!$I$9:$I$58,$AA4)&lt;&gt;"",INDEX(入力!$I$9:$I$58,$AA4),IF(ISNUMBER(INDEX(入力!$C$9:$C$58,$AA4)),INDEX(入力!$C$9:$C$58,$AA4)-入力!$B$5,INDEX(入力!$D$9:$D$58,$AA4)-入力!$C$5)))</f>
        <v>0.70000000000000018</v>
      </c>
      <c r="N4" t="str">
        <f>IF($AA4="","",INDEX(入力!$J$9:$J$58,$AA4))</f>
        <v>要改善（両方遅い）</v>
      </c>
      <c r="O4" t="str">
        <f>IF($AA4="","",IF(INDEX(入力!$K$9:$K$58,$AA4)&lt;&gt;"",INDEX(入力!$K$9:$K$58,$AA4),IF(ISNUMBER(INDEX(入力!$C$9:$C$58,$AA4)),IF(INDEX(入力!$C$9:$C$58,$AA4)-入力!$B$5&gt;0,"ピッキング改善（梱包未入力）","良好（梱包未入力）"),IF(INDEX(入力!$D$9:$D$58,$AA4)-入力!$C$5&gt;0,"梱包改善（ピッキング未入力）","良好（ピッキング未入力）"))))</f>
        <v>両工程を見直し</v>
      </c>
      <c r="Q4" t="str">
        <f>IF($AB4="","",INDEX(入力!$B$9:$B$58,$AB4))</f>
        <v>河野　忠</v>
      </c>
      <c r="R4">
        <f>IF($AB4="","",INDEX(入力!$F$9:$F$58,$AB4))</f>
        <v>1.4545454545454546</v>
      </c>
      <c r="S4">
        <f>IF($AB4="","",INDEX(入力!$C$9:$C$58,$AB4))</f>
        <v>1.2</v>
      </c>
      <c r="T4">
        <f>IF($AB4="","",INDEX(入力!$D$9:$D$58,$AB4))</f>
        <v>1</v>
      </c>
      <c r="U4">
        <f>IF($AB4="","",INDEX(入力!$E$9:$E$58,$AB4))</f>
        <v>2.2000000000000002</v>
      </c>
      <c r="V4">
        <f>IF($Z4="","",IF($B4&lt;&gt;"",$B4,IF($C4&lt;&gt;"",入力!$B$5,"")))</f>
        <v>1.3</v>
      </c>
      <c r="W4">
        <f>IF($Z4="","",IF($C4&lt;&gt;"",$C4,IF($B4&lt;&gt;"",入力!$C$5,"")))</f>
        <v>2.1</v>
      </c>
      <c r="Z4">
        <f>IFERROR(MATCH(ROW()-1,入力!$N$9:$N$58,0),"")</f>
        <v>3</v>
      </c>
      <c r="AA4">
        <f>IF(ROW()-1&gt;COUNTIF(入力!$L$9:$L$58,"&gt;-9.9E+98"),"",IFERROR(MATCH(LARGE(入力!$L$9:$L$58,ROW()-1),入力!$L$9:$L$58,0),""))</f>
        <v>12</v>
      </c>
      <c r="AB4">
        <f>IF(ROW()-1&gt;COUNTIF(入力!$M$9:$M$58,"&gt;-9.9E+98"),"",IFERROR(MATCH(LARGE(入力!$M$9:$M$58,ROW()-1),入力!$M$9:$M$58,0),""))</f>
        <v>2</v>
      </c>
      <c r="AC4">
        <f>入力!$B$5</f>
        <v>1.6</v>
      </c>
      <c r="AD4">
        <f>入力!$C$5</f>
        <v>1.6</v>
      </c>
    </row>
    <row r="5" spans="1:34" x14ac:dyDescent="0.15">
      <c r="A5" t="str">
        <f>IF($Z5="","",INDEX(入力!$B$9:$B$58,$Z5))</f>
        <v>澤田　凌</v>
      </c>
      <c r="B5">
        <f>IF($Z5="","",IF(INDEX(入力!$C$9:$C$58,$Z5)="","",INDEX(入力!$C$9:$C$58,$Z5)))</f>
        <v>1.6</v>
      </c>
      <c r="C5">
        <f>IF($Z5="","",IF(INDEX(入力!$D$9:$D$58,$Z5)="","",INDEX(入力!$D$9:$D$58,$Z5)))</f>
        <v>1.6</v>
      </c>
      <c r="D5">
        <f>IF($Z5="","",INDEX(入力!$E$9:$E$58,$Z5))</f>
        <v>3.2</v>
      </c>
      <c r="E5">
        <f>IF($Z5="","",INDEX(入力!$F$9:$F$58,$Z5))</f>
        <v>1</v>
      </c>
      <c r="F5" t="str">
        <f>IF($Z5="","",INDEX(入力!$J$9:$J$58,$Z5))</f>
        <v>良好</v>
      </c>
      <c r="G5" t="str">
        <f>IF($Z5="","",INDEX(入力!$K$9:$K$58,$Z5))</f>
        <v>目標達成</v>
      </c>
      <c r="I5" t="str">
        <f>IF($AA5="","",INDEX(入力!$B$9:$B$58,$AA5))</f>
        <v>片岡　達也</v>
      </c>
      <c r="J5">
        <f>IF($AA5="","",INDEX(入力!$C$9:$C$58,$AA5))</f>
        <v>3.1</v>
      </c>
      <c r="K5">
        <f>IF($AA5="","",INDEX(入力!$D$9:$D$58,$AA5))</f>
        <v>0.6</v>
      </c>
      <c r="L5">
        <f>IF($AA5="","",IF(INDEX(入力!$E$9:$E$58,$AA5)&lt;&gt;"",INDEX(入力!$E$9:$E$58,$AA5),IF(ISNUMBER(INDEX(入力!$C$9:$C$58,$AA5)),INDEX(入力!$C$9:$C$58,$AA5),INDEX(入力!$D$9:$D$58,$AA5))))</f>
        <v>3.7</v>
      </c>
      <c r="M5">
        <f>IF($AA5="","",IF(INDEX(入力!$I$9:$I$58,$AA5)&lt;&gt;"",INDEX(入力!$I$9:$I$58,$AA5),IF(ISNUMBER(INDEX(入力!$C$9:$C$58,$AA5)),INDEX(入力!$C$9:$C$58,$AA5)-入力!$B$5,INDEX(入力!$D$9:$D$58,$AA5)-入力!$C$5)))</f>
        <v>0.5</v>
      </c>
      <c r="N5" t="str">
        <f>IF($AA5="","",INDEX(入力!$J$9:$J$58,$AA5))</f>
        <v>ピッキング改善</v>
      </c>
      <c r="O5" t="str">
        <f>IF($AA5="","",IF(INDEX(入力!$K$9:$K$58,$AA5)&lt;&gt;"",INDEX(入力!$K$9:$K$58,$AA5),IF(ISNUMBER(INDEX(入力!$C$9:$C$58,$AA5)),IF(INDEX(入力!$C$9:$C$58,$AA5)-入力!$B$5&gt;0,"ピッキング改善（梱包未入力）","良好（梱包未入力）"),IF(INDEX(入力!$D$9:$D$58,$AA5)-入力!$C$5&gt;0,"梱包改善（ピッキング未入力）","良好（ピッキング未入力）"))))</f>
        <v>ピック導線を改善</v>
      </c>
      <c r="Q5" t="str">
        <f>IF($AB5="","",INDEX(入力!$B$9:$B$58,$AB5))</f>
        <v>佐々木　千恵</v>
      </c>
      <c r="R5">
        <f>IF($AB5="","",INDEX(入力!$F$9:$F$58,$AB5))</f>
        <v>1.3913043478260871</v>
      </c>
      <c r="S5">
        <f>IF($AB5="","",INDEX(入力!$C$9:$C$58,$AB5))</f>
        <v>1.7</v>
      </c>
      <c r="T5">
        <f>IF($AB5="","",INDEX(入力!$D$9:$D$58,$AB5))</f>
        <v>0.6</v>
      </c>
      <c r="U5">
        <f>IF($AB5="","",INDEX(入力!$E$9:$E$58,$AB5))</f>
        <v>2.2999999999999998</v>
      </c>
      <c r="V5">
        <f>IF($Z5="","",IF($B5&lt;&gt;"",$B5,IF($C5&lt;&gt;"",入力!$B$5,"")))</f>
        <v>1.6</v>
      </c>
      <c r="W5">
        <f>IF($Z5="","",IF($C5&lt;&gt;"",$C5,IF($B5&lt;&gt;"",入力!$C$5,"")))</f>
        <v>1.6</v>
      </c>
      <c r="Z5">
        <f>IFERROR(MATCH(ROW()-1,入力!$N$9:$N$58,0),"")</f>
        <v>4</v>
      </c>
      <c r="AA5">
        <f>IF(ROW()-1&gt;COUNTIF(入力!$L$9:$L$58,"&gt;-9.9E+98"),"",IFERROR(MATCH(LARGE(入力!$L$9:$L$58,ROW()-1),入力!$L$9:$L$58,0),""))</f>
        <v>6</v>
      </c>
      <c r="AB5">
        <f>IF(ROW()-1&gt;COUNTIF(入力!$M$9:$M$58,"&gt;-9.9E+98"),"",IFERROR(MATCH(LARGE(入力!$M$9:$M$58,ROW()-1),入力!$M$9:$M$58,0),""))</f>
        <v>5</v>
      </c>
      <c r="AC5">
        <f>入力!$B$5</f>
        <v>1.6</v>
      </c>
      <c r="AD5">
        <f>入力!$C$5</f>
        <v>1.6</v>
      </c>
    </row>
    <row r="6" spans="1:34" x14ac:dyDescent="0.15">
      <c r="A6" t="str">
        <f>IF($Z6="","",INDEX(入力!$B$9:$B$58,$Z6))</f>
        <v>佐々木　千恵</v>
      </c>
      <c r="B6">
        <f>IF($Z6="","",IF(INDEX(入力!$C$9:$C$58,$Z6)="","",INDEX(入力!$C$9:$C$58,$Z6)))</f>
        <v>1.7</v>
      </c>
      <c r="C6">
        <f>IF($Z6="","",IF(INDEX(入力!$D$9:$D$58,$Z6)="","",INDEX(入力!$D$9:$D$58,$Z6)))</f>
        <v>0.6</v>
      </c>
      <c r="D6">
        <f>IF($Z6="","",INDEX(入力!$E$9:$E$58,$Z6))</f>
        <v>2.2999999999999998</v>
      </c>
      <c r="E6">
        <f>IF($Z6="","",INDEX(入力!$F$9:$F$58,$Z6))</f>
        <v>1.3913043478260871</v>
      </c>
      <c r="F6" t="str">
        <f>IF($Z6="","",INDEX(入力!$J$9:$J$58,$Z6))</f>
        <v>ピッキング改善</v>
      </c>
      <c r="G6" t="str">
        <f>IF($Z6="","",INDEX(入力!$K$9:$K$58,$Z6))</f>
        <v>目標達成</v>
      </c>
      <c r="I6" t="str">
        <f>IF($AA6="","",INDEX(入力!$B$9:$B$58,$AA6))</f>
        <v>廣瀬　こずえ</v>
      </c>
      <c r="J6">
        <f>IF($AA6="","",INDEX(入力!$C$9:$C$58,$AA6))</f>
        <v>2</v>
      </c>
      <c r="K6">
        <f>IF($AA6="","",INDEX(入力!$D$9:$D$58,$AA6))</f>
        <v>0</v>
      </c>
      <c r="L6">
        <f>IF($AA6="","",IF(INDEX(入力!$E$9:$E$58,$AA6)&lt;&gt;"",INDEX(入力!$E$9:$E$58,$AA6),IF(ISNUMBER(INDEX(入力!$C$9:$C$58,$AA6)),INDEX(入力!$C$9:$C$58,$AA6),INDEX(入力!$D$9:$D$58,$AA6))))</f>
        <v>2</v>
      </c>
      <c r="M6">
        <f>IF($AA6="","",IF(INDEX(入力!$I$9:$I$58,$AA6)&lt;&gt;"",INDEX(入力!$I$9:$I$58,$AA6),IF(ISNUMBER(INDEX(入力!$C$9:$C$58,$AA6)),INDEX(入力!$C$9:$C$58,$AA6)-入力!$B$5,INDEX(入力!$D$9:$D$58,$AA6)-入力!$C$5)))</f>
        <v>0.39999999999999991</v>
      </c>
      <c r="N6" t="str">
        <f>IF($AA6="","",INDEX(入力!$J$9:$J$58,$AA6))</f>
        <v/>
      </c>
      <c r="O6" t="str">
        <f>IF($AA6="","",IF(INDEX(入力!$K$9:$K$58,$AA6)&lt;&gt;"",INDEX(入力!$K$9:$K$58,$AA6),IF(ISNUMBER(INDEX(入力!$C$9:$C$58,$AA6)),IF(INDEX(入力!$C$9:$C$58,$AA6)-入力!$B$5&gt;0,"ピッキング改善（梱包未入力）","良好（梱包未入力）"),IF(INDEX(入力!$D$9:$D$58,$AA6)-入力!$C$5&gt;0,"梱包改善（ピッキング未入力）","良好（ピッキング未入力）"))))</f>
        <v>ピッキング改善（梱包未入力）</v>
      </c>
      <c r="Q6" t="str">
        <f>IF($AB6="","",INDEX(入力!$B$9:$B$58,$AB6))</f>
        <v>大江　美記子</v>
      </c>
      <c r="R6">
        <f>IF($AB6="","",INDEX(入力!$F$9:$F$58,$AB6))</f>
        <v>1.3333333333333335</v>
      </c>
      <c r="S6">
        <f>IF($AB6="","",INDEX(入力!$C$9:$C$58,$AB6))</f>
        <v>1.2</v>
      </c>
      <c r="T6">
        <f>IF($AB6="","",INDEX(入力!$D$9:$D$58,$AB6))</f>
        <v>1.2</v>
      </c>
      <c r="U6">
        <f>IF($AB6="","",INDEX(入力!$E$9:$E$58,$AB6))</f>
        <v>2.4</v>
      </c>
      <c r="V6">
        <f>IF($Z6="","",IF($B6&lt;&gt;"",$B6,IF($C6&lt;&gt;"",入力!$B$5,"")))</f>
        <v>1.7</v>
      </c>
      <c r="W6">
        <f>IF($Z6="","",IF($C6&lt;&gt;"",$C6,IF($B6&lt;&gt;"",入力!$C$5,"")))</f>
        <v>0.6</v>
      </c>
      <c r="Z6">
        <f>IFERROR(MATCH(ROW()-1,入力!$N$9:$N$58,0),"")</f>
        <v>5</v>
      </c>
      <c r="AA6">
        <f>IF(ROW()-1&gt;COUNTIF(入力!$L$9:$L$58,"&gt;-9.9E+98"),"",IFERROR(MATCH(LARGE(入力!$L$9:$L$58,ROW()-1),入力!$L$9:$L$58,0),""))</f>
        <v>25</v>
      </c>
      <c r="AB6">
        <f>IF(ROW()-1&gt;COUNTIF(入力!$M$9:$M$58,"&gt;-9.9E+98"),"",IFERROR(MATCH(LARGE(入力!$M$9:$M$58,ROW()-1),入力!$M$9:$M$58,0),""))</f>
        <v>11</v>
      </c>
      <c r="AC6">
        <f>入力!$B$5</f>
        <v>1.6</v>
      </c>
      <c r="AD6">
        <f>入力!$C$5</f>
        <v>1.6</v>
      </c>
    </row>
    <row r="7" spans="1:34" x14ac:dyDescent="0.15">
      <c r="A7" t="str">
        <f>IF($Z7="","",INDEX(入力!$B$9:$B$58,$Z7))</f>
        <v>片岡　達也</v>
      </c>
      <c r="B7">
        <f>IF($Z7="","",IF(INDEX(入力!$C$9:$C$58,$Z7)="","",INDEX(入力!$C$9:$C$58,$Z7)))</f>
        <v>3.1</v>
      </c>
      <c r="C7">
        <f>IF($Z7="","",IF(INDEX(入力!$D$9:$D$58,$Z7)="","",INDEX(入力!$D$9:$D$58,$Z7)))</f>
        <v>0.6</v>
      </c>
      <c r="D7">
        <f>IF($Z7="","",INDEX(入力!$E$9:$E$58,$Z7))</f>
        <v>3.7</v>
      </c>
      <c r="E7">
        <f>IF($Z7="","",INDEX(入力!$F$9:$F$58,$Z7))</f>
        <v>0.86486486486486491</v>
      </c>
      <c r="F7" t="str">
        <f>IF($Z7="","",INDEX(入力!$J$9:$J$58,$Z7))</f>
        <v>ピッキング改善</v>
      </c>
      <c r="G7" t="str">
        <f>IF($Z7="","",INDEX(入力!$K$9:$K$58,$Z7))</f>
        <v>ピック導線を改善</v>
      </c>
      <c r="I7" t="str">
        <f>IF($AA7="","",INDEX(入力!$B$9:$B$58,$AA7))</f>
        <v>高橋　正美</v>
      </c>
      <c r="J7">
        <f>IF($AA7="","",INDEX(入力!$C$9:$C$58,$AA7))</f>
        <v>1.9</v>
      </c>
      <c r="K7">
        <f>IF($AA7="","",INDEX(入力!$D$9:$D$58,$AA7))</f>
        <v>0</v>
      </c>
      <c r="L7">
        <f>IF($AA7="","",IF(INDEX(入力!$E$9:$E$58,$AA7)&lt;&gt;"",INDEX(入力!$E$9:$E$58,$AA7),IF(ISNUMBER(INDEX(入力!$C$9:$C$58,$AA7)),INDEX(入力!$C$9:$C$58,$AA7),INDEX(入力!$D$9:$D$58,$AA7))))</f>
        <v>1.9</v>
      </c>
      <c r="M7">
        <f>IF($AA7="","",IF(INDEX(入力!$I$9:$I$58,$AA7)&lt;&gt;"",INDEX(入力!$I$9:$I$58,$AA7),IF(ISNUMBER(INDEX(入力!$C$9:$C$58,$AA7)),INDEX(入力!$C$9:$C$58,$AA7)-入力!$B$5,INDEX(入力!$D$9:$D$58,$AA7)-入力!$C$5)))</f>
        <v>0.29999999999999982</v>
      </c>
      <c r="N7" t="str">
        <f>IF($AA7="","",INDEX(入力!$J$9:$J$58,$AA7))</f>
        <v/>
      </c>
      <c r="O7" t="str">
        <f>IF($AA7="","",IF(INDEX(入力!$K$9:$K$58,$AA7)&lt;&gt;"",INDEX(入力!$K$9:$K$58,$AA7),IF(ISNUMBER(INDEX(入力!$C$9:$C$58,$AA7)),IF(INDEX(入力!$C$9:$C$58,$AA7)-入力!$B$5&gt;0,"ピッキング改善（梱包未入力）","良好（梱包未入力）"),IF(INDEX(入力!$D$9:$D$58,$AA7)-入力!$C$5&gt;0,"梱包改善（ピッキング未入力）","良好（ピッキング未入力）"))))</f>
        <v>ピッキング改善（梱包未入力）</v>
      </c>
      <c r="Q7" t="str">
        <f>IF($AB7="","",INDEX(入力!$B$9:$B$58,$AB7))</f>
        <v>晩田　恵美</v>
      </c>
      <c r="R7">
        <f>IF($AB7="","",INDEX(入力!$F$9:$F$58,$AB7))</f>
        <v>1.28</v>
      </c>
      <c r="S7">
        <f>IF($AB7="","",INDEX(入力!$C$9:$C$58,$AB7))</f>
        <v>1.1000000000000001</v>
      </c>
      <c r="T7">
        <f>IF($AB7="","",INDEX(入力!$D$9:$D$58,$AB7))</f>
        <v>1.4</v>
      </c>
      <c r="U7">
        <f>IF($AB7="","",INDEX(入力!$E$9:$E$58,$AB7))</f>
        <v>2.5</v>
      </c>
      <c r="V7">
        <f>IF($Z7="","",IF($B7&lt;&gt;"",$B7,IF($C7&lt;&gt;"",入力!$B$5,"")))</f>
        <v>3.1</v>
      </c>
      <c r="W7">
        <f>IF($Z7="","",IF($C7&lt;&gt;"",$C7,IF($B7&lt;&gt;"",入力!$C$5,"")))</f>
        <v>0.6</v>
      </c>
      <c r="Z7">
        <f>IFERROR(MATCH(ROW()-1,入力!$N$9:$N$58,0),"")</f>
        <v>6</v>
      </c>
      <c r="AA7">
        <f>IF(ROW()-1&gt;COUNTIF(入力!$L$9:$L$58,"&gt;-9.9E+98"),"",IFERROR(MATCH(LARGE(入力!$L$9:$L$58,ROW()-1),入力!$L$9:$L$58,0),""))</f>
        <v>24</v>
      </c>
      <c r="AB7">
        <f>IF(ROW()-1&gt;COUNTIF(入力!$M$9:$M$58,"&gt;-9.9E+98"),"",IFERROR(MATCH(LARGE(入力!$M$9:$M$58,ROW()-1),入力!$M$9:$M$58,0),""))</f>
        <v>13</v>
      </c>
      <c r="AC7">
        <f>入力!$B$5</f>
        <v>1.6</v>
      </c>
      <c r="AD7">
        <f>入力!$C$5</f>
        <v>1.6</v>
      </c>
    </row>
    <row r="8" spans="1:34" x14ac:dyDescent="0.15">
      <c r="A8" t="str">
        <f>IF($Z8="","",INDEX(入力!$B$9:$B$58,$Z8))</f>
        <v>後藤　克行</v>
      </c>
      <c r="B8">
        <f>IF($Z8="","",IF(INDEX(入力!$C$9:$C$58,$Z8)="","",INDEX(入力!$C$9:$C$58,$Z8)))</f>
        <v>1.5</v>
      </c>
      <c r="C8">
        <f>IF($Z8="","",IF(INDEX(入力!$D$9:$D$58,$Z8)="","",INDEX(入力!$D$9:$D$58,$Z8)))</f>
        <v>1.9</v>
      </c>
      <c r="D8">
        <f>IF($Z8="","",INDEX(入力!$E$9:$E$58,$Z8))</f>
        <v>3.4</v>
      </c>
      <c r="E8">
        <f>IF($Z8="","",INDEX(入力!$F$9:$F$58,$Z8))</f>
        <v>0.94117647058823539</v>
      </c>
      <c r="F8" t="str">
        <f>IF($Z8="","",INDEX(入力!$J$9:$J$58,$Z8))</f>
        <v>梱包改善</v>
      </c>
      <c r="G8" t="str">
        <f>IF($Z8="","",INDEX(入力!$K$9:$K$58,$Z8))</f>
        <v>梱包手順を改善</v>
      </c>
      <c r="I8" t="str">
        <f>IF($AA8="","",INDEX(入力!$B$9:$B$58,$AA8))</f>
        <v>高橋　佐織</v>
      </c>
      <c r="J8">
        <f>IF($AA8="","",INDEX(入力!$C$9:$C$58,$AA8))</f>
        <v>1.8</v>
      </c>
      <c r="K8">
        <f>IF($AA8="","",INDEX(入力!$D$9:$D$58,$AA8))</f>
        <v>1.7</v>
      </c>
      <c r="L8">
        <f>IF($AA8="","",IF(INDEX(入力!$E$9:$E$58,$AA8)&lt;&gt;"",INDEX(入力!$E$9:$E$58,$AA8),IF(ISNUMBER(INDEX(入力!$C$9:$C$58,$AA8)),INDEX(入力!$C$9:$C$58,$AA8),INDEX(入力!$D$9:$D$58,$AA8))))</f>
        <v>3.5</v>
      </c>
      <c r="M8">
        <f>IF($AA8="","",IF(INDEX(入力!$I$9:$I$58,$AA8)&lt;&gt;"",INDEX(入力!$I$9:$I$58,$AA8),IF(ISNUMBER(INDEX(入力!$C$9:$C$58,$AA8)),INDEX(入力!$C$9:$C$58,$AA8)-入力!$B$5,INDEX(入力!$D$9:$D$58,$AA8)-入力!$C$5)))</f>
        <v>0.29999999999999982</v>
      </c>
      <c r="N8" t="str">
        <f>IF($AA8="","",INDEX(入力!$J$9:$J$58,$AA8))</f>
        <v>要改善（両方遅い）</v>
      </c>
      <c r="O8" t="str">
        <f>IF($AA8="","",IF(INDEX(入力!$K$9:$K$58,$AA8)&lt;&gt;"",INDEX(入力!$K$9:$K$58,$AA8),IF(ISNUMBER(INDEX(入力!$C$9:$C$58,$AA8)),IF(INDEX(入力!$C$9:$C$58,$AA8)-入力!$B$5&gt;0,"ピッキング改善（梱包未入力）","良好（梱包未入力）"),IF(INDEX(入力!$D$9:$D$58,$AA8)-入力!$C$5&gt;0,"梱包改善（ピッキング未入力）","良好（ピッキング未入力）"))))</f>
        <v>両工程を見直し</v>
      </c>
      <c r="Q8" t="str">
        <f>IF($AB8="","",INDEX(入力!$B$9:$B$58,$AB8))</f>
        <v>北田　倫子</v>
      </c>
      <c r="R8">
        <f>IF($AB8="","",INDEX(入力!$F$9:$F$58,$AB8))</f>
        <v>1.142857142857143</v>
      </c>
      <c r="S8">
        <f>IF($AB8="","",INDEX(入力!$C$9:$C$58,$AB8))</f>
        <v>1.6</v>
      </c>
      <c r="T8">
        <f>IF($AB8="","",INDEX(入力!$D$9:$D$58,$AB8))</f>
        <v>1.2</v>
      </c>
      <c r="U8">
        <f>IF($AB8="","",INDEX(入力!$E$9:$E$58,$AB8))</f>
        <v>2.8</v>
      </c>
      <c r="V8">
        <f>IF($Z8="","",IF($B8&lt;&gt;"",$B8,IF($C8&lt;&gt;"",入力!$B$5,"")))</f>
        <v>1.5</v>
      </c>
      <c r="W8">
        <f>IF($Z8="","",IF($C8&lt;&gt;"",$C8,IF($B8&lt;&gt;"",入力!$C$5,"")))</f>
        <v>1.9</v>
      </c>
      <c r="Z8">
        <f>IFERROR(MATCH(ROW()-1,入力!$N$9:$N$58,0),"")</f>
        <v>7</v>
      </c>
      <c r="AA8">
        <f>IF(ROW()-1&gt;COUNTIF(入力!$L$9:$L$58,"&gt;-9.9E+98"),"",IFERROR(MATCH(LARGE(入力!$L$9:$L$58,ROW()-1),入力!$L$9:$L$58,0),""))</f>
        <v>17</v>
      </c>
      <c r="AB8">
        <f>IF(ROW()-1&gt;COUNTIF(入力!$M$9:$M$58,"&gt;-9.9E+98"),"",IFERROR(MATCH(LARGE(入力!$M$9:$M$58,ROW()-1),入力!$M$9:$M$58,0),""))</f>
        <v>18</v>
      </c>
      <c r="AC8">
        <f>入力!$B$5</f>
        <v>1.6</v>
      </c>
      <c r="AD8">
        <f>入力!$C$5</f>
        <v>1.6</v>
      </c>
    </row>
    <row r="9" spans="1:34" x14ac:dyDescent="0.15">
      <c r="A9" t="str">
        <f>IF($Z9="","",INDEX(入力!$B$9:$B$58,$Z9))</f>
        <v>山本　祥吉</v>
      </c>
      <c r="B9">
        <f>IF($Z9="","",IF(INDEX(入力!$C$9:$C$58,$Z9)="","",INDEX(入力!$C$9:$C$58,$Z9)))</f>
        <v>1.4</v>
      </c>
      <c r="C9">
        <f>IF($Z9="","",IF(INDEX(入力!$D$9:$D$58,$Z9)="","",INDEX(入力!$D$9:$D$58,$Z9)))</f>
        <v>1.8</v>
      </c>
      <c r="D9">
        <f>IF($Z9="","",INDEX(入力!$E$9:$E$58,$Z9))</f>
        <v>3.2</v>
      </c>
      <c r="E9">
        <f>IF($Z9="","",INDEX(入力!$F$9:$F$58,$Z9))</f>
        <v>1</v>
      </c>
      <c r="F9" t="str">
        <f>IF($Z9="","",INDEX(入力!$J$9:$J$58,$Z9))</f>
        <v>梱包改善</v>
      </c>
      <c r="G9" t="str">
        <f>IF($Z9="","",INDEX(入力!$K$9:$K$58,$Z9))</f>
        <v>目標達成</v>
      </c>
      <c r="I9" t="str">
        <f>IF($AA9="","",INDEX(入力!$B$9:$B$58,$AA9))</f>
        <v>秋草　文恵</v>
      </c>
      <c r="J9">
        <f>IF($AA9="","",INDEX(入力!$C$9:$C$58,$AA9))</f>
        <v>1.8</v>
      </c>
      <c r="K9">
        <f>IF($AA9="","",INDEX(入力!$D$9:$D$58,$AA9))</f>
        <v>0</v>
      </c>
      <c r="L9">
        <f>IF($AA9="","",IF(INDEX(入力!$E$9:$E$58,$AA9)&lt;&gt;"",INDEX(入力!$E$9:$E$58,$AA9),IF(ISNUMBER(INDEX(入力!$C$9:$C$58,$AA9)),INDEX(入力!$C$9:$C$58,$AA9),INDEX(入力!$D$9:$D$58,$AA9))))</f>
        <v>1.8</v>
      </c>
      <c r="M9">
        <f>IF($AA9="","",IF(INDEX(入力!$I$9:$I$58,$AA9)&lt;&gt;"",INDEX(入力!$I$9:$I$58,$AA9),IF(ISNUMBER(INDEX(入力!$C$9:$C$58,$AA9)),INDEX(入力!$C$9:$C$58,$AA9)-入力!$B$5,INDEX(入力!$D$9:$D$58,$AA9)-入力!$C$5)))</f>
        <v>0.19999999999999996</v>
      </c>
      <c r="N9" t="str">
        <f>IF($AA9="","",INDEX(入力!$J$9:$J$58,$AA9))</f>
        <v/>
      </c>
      <c r="O9" t="str">
        <f>IF($AA9="","",IF(INDEX(入力!$K$9:$K$58,$AA9)&lt;&gt;"",INDEX(入力!$K$9:$K$58,$AA9),IF(ISNUMBER(INDEX(入力!$C$9:$C$58,$AA9)),IF(INDEX(入力!$C$9:$C$58,$AA9)-入力!$B$5&gt;0,"ピッキング改善（梱包未入力）","良好（梱包未入力）"),IF(INDEX(入力!$D$9:$D$58,$AA9)-入力!$C$5&gt;0,"梱包改善（ピッキング未入力）","良好（ピッキング未入力）"))))</f>
        <v>ピッキング改善（梱包未入力）</v>
      </c>
      <c r="Q9" t="str">
        <f>IF($AB9="","",INDEX(入力!$B$9:$B$58,$AB9))</f>
        <v>森本　久美</v>
      </c>
      <c r="R9">
        <f>IF($AB9="","",INDEX(入力!$F$9:$F$58,$AB9))</f>
        <v>1.0666666666666667</v>
      </c>
      <c r="S9">
        <f>IF($AB9="","",INDEX(入力!$C$9:$C$58,$AB9))</f>
        <v>1.4</v>
      </c>
      <c r="T9">
        <f>IF($AB9="","",INDEX(入力!$D$9:$D$58,$AB9))</f>
        <v>1.6</v>
      </c>
      <c r="U9">
        <f>IF($AB9="","",INDEX(入力!$E$9:$E$58,$AB9))</f>
        <v>3</v>
      </c>
      <c r="V9">
        <f>IF($Z9="","",IF($B9&lt;&gt;"",$B9,IF($C9&lt;&gt;"",入力!$B$5,"")))</f>
        <v>1.4</v>
      </c>
      <c r="W9">
        <f>IF($Z9="","",IF($C9&lt;&gt;"",$C9,IF($B9&lt;&gt;"",入力!$C$5,"")))</f>
        <v>1.8</v>
      </c>
      <c r="Z9">
        <f>IFERROR(MATCH(ROW()-1,入力!$N$9:$N$58,0),"")</f>
        <v>8</v>
      </c>
      <c r="AA9">
        <f>IF(ROW()-1&gt;COUNTIF(入力!$L$9:$L$58,"&gt;-9.9E+98"),"",IFERROR(MATCH(LARGE(入力!$L$9:$L$58,ROW()-1),入力!$L$9:$L$58,0),""))</f>
        <v>22</v>
      </c>
      <c r="AB9">
        <f>IF(ROW()-1&gt;COUNTIF(入力!$M$9:$M$58,"&gt;-9.9E+98"),"",IFERROR(MATCH(LARGE(入力!$M$9:$M$58,ROW()-1),入力!$M$9:$M$58,0),""))</f>
        <v>16</v>
      </c>
      <c r="AC9">
        <f>入力!$B$5</f>
        <v>1.6</v>
      </c>
      <c r="AD9">
        <f>入力!$C$5</f>
        <v>1.6</v>
      </c>
    </row>
    <row r="10" spans="1:34" x14ac:dyDescent="0.15">
      <c r="A10" t="str">
        <f>IF($Z10="","",INDEX(入力!$B$9:$B$58,$Z10))</f>
        <v>本吉　有美子</v>
      </c>
      <c r="B10">
        <f>IF($Z10="","",IF(INDEX(入力!$C$9:$C$58,$Z10)="","",INDEX(入力!$C$9:$C$58,$Z10)))</f>
        <v>1.1000000000000001</v>
      </c>
      <c r="C10">
        <f>IF($Z10="","",IF(INDEX(入力!$D$9:$D$58,$Z10)="","",INDEX(入力!$D$9:$D$58,$Z10)))</f>
        <v>1</v>
      </c>
      <c r="D10">
        <f>IF($Z10="","",INDEX(入力!$E$9:$E$58,$Z10))</f>
        <v>2.1</v>
      </c>
      <c r="E10">
        <f>IF($Z10="","",INDEX(入力!$F$9:$F$58,$Z10))</f>
        <v>1.5238095238095237</v>
      </c>
      <c r="F10" t="str">
        <f>IF($Z10="","",INDEX(入力!$J$9:$J$58,$Z10))</f>
        <v>良好</v>
      </c>
      <c r="G10" t="str">
        <f>IF($Z10="","",INDEX(入力!$K$9:$K$58,$Z10))</f>
        <v>良好</v>
      </c>
      <c r="I10" t="str">
        <f>IF($AA10="","",INDEX(入力!$B$9:$B$58,$AA10))</f>
        <v>上村　和恵</v>
      </c>
      <c r="J10">
        <f>IF($AA10="","",INDEX(入力!$C$9:$C$58,$AA10))</f>
        <v>1.8</v>
      </c>
      <c r="K10">
        <f>IF($AA10="","",INDEX(入力!$D$9:$D$58,$AA10))</f>
        <v>0</v>
      </c>
      <c r="L10">
        <f>IF($AA10="","",IF(INDEX(入力!$E$9:$E$58,$AA10)&lt;&gt;"",INDEX(入力!$E$9:$E$58,$AA10),IF(ISNUMBER(INDEX(入力!$C$9:$C$58,$AA10)),INDEX(入力!$C$9:$C$58,$AA10),INDEX(入力!$D$9:$D$58,$AA10))))</f>
        <v>1.8</v>
      </c>
      <c r="M10">
        <f>IF($AA10="","",IF(INDEX(入力!$I$9:$I$58,$AA10)&lt;&gt;"",INDEX(入力!$I$9:$I$58,$AA10),IF(ISNUMBER(INDEX(入力!$C$9:$C$58,$AA10)),INDEX(入力!$C$9:$C$58,$AA10)-入力!$B$5,INDEX(入力!$D$9:$D$58,$AA10)-入力!$C$5)))</f>
        <v>0.19999999999999996</v>
      </c>
      <c r="N10" t="str">
        <f>IF($AA10="","",INDEX(入力!$J$9:$J$58,$AA10))</f>
        <v/>
      </c>
      <c r="O10" t="str">
        <f>IF($AA10="","",IF(INDEX(入力!$K$9:$K$58,$AA10)&lt;&gt;"",INDEX(入力!$K$9:$K$58,$AA10),IF(ISNUMBER(INDEX(入力!$C$9:$C$58,$AA10)),IF(INDEX(入力!$C$9:$C$58,$AA10)-入力!$B$5&gt;0,"ピッキング改善（梱包未入力）","良好（梱包未入力）"),IF(INDEX(入力!$D$9:$D$58,$AA10)-入力!$C$5&gt;0,"梱包改善（ピッキング未入力）","良好（ピッキング未入力）"))))</f>
        <v>ピッキング改善（梱包未入力）</v>
      </c>
      <c r="Q10" t="str">
        <f>IF($AB10="","",INDEX(入力!$B$9:$B$58,$AB10))</f>
        <v>鈴木　香織</v>
      </c>
      <c r="R10">
        <f>IF($AB10="","",INDEX(入力!$F$9:$F$58,$AB10))</f>
        <v>1.0666666666666667</v>
      </c>
      <c r="S10">
        <f>IF($AB10="","",INDEX(入力!$C$9:$C$58,$AB10))</f>
        <v>1.2</v>
      </c>
      <c r="T10">
        <f>IF($AB10="","",INDEX(入力!$D$9:$D$58,$AB10))</f>
        <v>1.8</v>
      </c>
      <c r="U10">
        <f>IF($AB10="","",INDEX(入力!$E$9:$E$58,$AB10))</f>
        <v>3</v>
      </c>
      <c r="V10">
        <f>IF($Z10="","",IF($B10&lt;&gt;"",$B10,IF($C10&lt;&gt;"",入力!$B$5,"")))</f>
        <v>1.1000000000000001</v>
      </c>
      <c r="W10">
        <f>IF($Z10="","",IF($C10&lt;&gt;"",$C10,IF($B10&lt;&gt;"",入力!$C$5,"")))</f>
        <v>1</v>
      </c>
      <c r="Z10">
        <f>IFERROR(MATCH(ROW()-1,入力!$N$9:$N$58,0),"")</f>
        <v>9</v>
      </c>
      <c r="AA10">
        <f>IF(ROW()-1&gt;COUNTIF(入力!$L$9:$L$58,"&gt;-9.9E+98"),"",IFERROR(MATCH(LARGE(入力!$L$9:$L$58,ROW()-1),入力!$L$9:$L$58,0),""))</f>
        <v>21</v>
      </c>
      <c r="AB10">
        <f>IF(ROW()-1&gt;COUNTIF(入力!$M$9:$M$58,"&gt;-9.9E+98"),"",IFERROR(MATCH(LARGE(入力!$M$9:$M$58,ROW()-1),入力!$M$9:$M$58,0),""))</f>
        <v>19</v>
      </c>
      <c r="AC10">
        <f>入力!$B$5</f>
        <v>1.6</v>
      </c>
      <c r="AD10">
        <f>入力!$C$5</f>
        <v>1.6</v>
      </c>
    </row>
    <row r="11" spans="1:34" x14ac:dyDescent="0.15">
      <c r="A11" t="str">
        <f>IF($Z11="","",INDEX(入力!$B$9:$B$58,$Z11))</f>
        <v>屋宮　敬子</v>
      </c>
      <c r="B11" t="str">
        <f>IF($Z11="","",IF(INDEX(入力!$C$9:$C$58,$Z11)="","",INDEX(入力!$C$9:$C$58,$Z11)))</f>
        <v/>
      </c>
      <c r="C11" t="str">
        <f>IF($Z11="","",IF(INDEX(入力!$D$9:$D$58,$Z11)="","",INDEX(入力!$D$9:$D$58,$Z11)))</f>
        <v/>
      </c>
      <c r="D11" t="str">
        <f>IF($Z11="","",INDEX(入力!$E$9:$E$58,$Z11))</f>
        <v/>
      </c>
      <c r="E11" t="str">
        <f>IF($Z11="","",INDEX(入力!$F$9:$F$58,$Z11))</f>
        <v/>
      </c>
      <c r="F11" t="str">
        <f>IF($Z11="","",INDEX(入力!$J$9:$J$58,$Z11))</f>
        <v/>
      </c>
      <c r="G11" t="str">
        <f>IF($Z11="","",INDEX(入力!$K$9:$K$58,$Z11))</f>
        <v/>
      </c>
      <c r="I11" t="str">
        <f>IF($AA11="","",INDEX(入力!$B$9:$B$58,$AA11))</f>
        <v>後藤　克行</v>
      </c>
      <c r="J11">
        <f>IF($AA11="","",INDEX(入力!$C$9:$C$58,$AA11))</f>
        <v>1.5</v>
      </c>
      <c r="K11">
        <f>IF($AA11="","",INDEX(入力!$D$9:$D$58,$AA11))</f>
        <v>1.9</v>
      </c>
      <c r="L11">
        <f>IF($AA11="","",IF(INDEX(入力!$E$9:$E$58,$AA11)&lt;&gt;"",INDEX(入力!$E$9:$E$58,$AA11),IF(ISNUMBER(INDEX(入力!$C$9:$C$58,$AA11)),INDEX(入力!$C$9:$C$58,$AA11),INDEX(入力!$D$9:$D$58,$AA11))))</f>
        <v>3.4</v>
      </c>
      <c r="M11">
        <f>IF($AA11="","",IF(INDEX(入力!$I$9:$I$58,$AA11)&lt;&gt;"",INDEX(入力!$I$9:$I$58,$AA11),IF(ISNUMBER(INDEX(入力!$C$9:$C$58,$AA11)),INDEX(入力!$C$9:$C$58,$AA11)-入力!$B$5,INDEX(入力!$D$9:$D$58,$AA11)-入力!$C$5)))</f>
        <v>0.19999999999999973</v>
      </c>
      <c r="N11" t="str">
        <f>IF($AA11="","",INDEX(入力!$J$9:$J$58,$AA11))</f>
        <v>梱包改善</v>
      </c>
      <c r="O11" t="str">
        <f>IF($AA11="","",IF(INDEX(入力!$K$9:$K$58,$AA11)&lt;&gt;"",INDEX(入力!$K$9:$K$58,$AA11),IF(ISNUMBER(INDEX(入力!$C$9:$C$58,$AA11)),IF(INDEX(入力!$C$9:$C$58,$AA11)-入力!$B$5&gt;0,"ピッキング改善（梱包未入力）","良好（梱包未入力）"),IF(INDEX(入力!$D$9:$D$58,$AA11)-入力!$C$5&gt;0,"梱包改善（ピッキング未入力）","良好（ピッキング未入力）"))))</f>
        <v>梱包手順を改善</v>
      </c>
      <c r="Q11" t="str">
        <f>IF($AB11="","",INDEX(入力!$B$9:$B$58,$AB11))</f>
        <v>澤田　凌</v>
      </c>
      <c r="R11">
        <f>IF($AB11="","",INDEX(入力!$F$9:$F$58,$AB11))</f>
        <v>1</v>
      </c>
      <c r="S11">
        <f>IF($AB11="","",INDEX(入力!$C$9:$C$58,$AB11))</f>
        <v>1.6</v>
      </c>
      <c r="T11">
        <f>IF($AB11="","",INDEX(入力!$D$9:$D$58,$AB11))</f>
        <v>1.6</v>
      </c>
      <c r="U11">
        <f>IF($AB11="","",INDEX(入力!$E$9:$E$58,$AB11))</f>
        <v>3.2</v>
      </c>
      <c r="V11" t="str">
        <f>IF($Z11="","",IF($B11&lt;&gt;"",$B11,IF($C11&lt;&gt;"",入力!$B$5,"")))</f>
        <v/>
      </c>
      <c r="W11" t="str">
        <f>IF($Z11="","",IF($C11&lt;&gt;"",$C11,IF($B11&lt;&gt;"",入力!$C$5,"")))</f>
        <v/>
      </c>
      <c r="Z11">
        <f>IFERROR(MATCH(ROW()-1,入力!$N$9:$N$58,0),"")</f>
        <v>10</v>
      </c>
      <c r="AA11">
        <f>IF(ROW()-1&gt;COUNTIF(入力!$L$9:$L$58,"&gt;-9.9E+98"),"",IFERROR(MATCH(LARGE(入力!$L$9:$L$58,ROW()-1),入力!$L$9:$L$58,0),""))</f>
        <v>7</v>
      </c>
      <c r="AB11">
        <f>IF(ROW()-1&gt;COUNTIF(入力!$M$9:$M$58,"&gt;-9.9E+98"),"",IFERROR(MATCH(LARGE(入力!$M$9:$M$58,ROW()-1),入力!$M$9:$M$58,0),""))</f>
        <v>4</v>
      </c>
      <c r="AC11">
        <f>入力!$B$5</f>
        <v>1.6</v>
      </c>
      <c r="AD11">
        <f>入力!$C$5</f>
        <v>1.6</v>
      </c>
    </row>
    <row r="12" spans="1:34" x14ac:dyDescent="0.15">
      <c r="A12" t="str">
        <f>IF($Z12="","",INDEX(入力!$B$9:$B$58,$Z12))</f>
        <v>大江　美記子</v>
      </c>
      <c r="B12">
        <f>IF($Z12="","",IF(INDEX(入力!$C$9:$C$58,$Z12)="","",INDEX(入力!$C$9:$C$58,$Z12)))</f>
        <v>1.2</v>
      </c>
      <c r="C12">
        <f>IF($Z12="","",IF(INDEX(入力!$D$9:$D$58,$Z12)="","",INDEX(入力!$D$9:$D$58,$Z12)))</f>
        <v>1.2</v>
      </c>
      <c r="D12">
        <f>IF($Z12="","",INDEX(入力!$E$9:$E$58,$Z12))</f>
        <v>2.4</v>
      </c>
      <c r="E12">
        <f>IF($Z12="","",INDEX(入力!$F$9:$F$58,$Z12))</f>
        <v>1.3333333333333335</v>
      </c>
      <c r="F12" t="str">
        <f>IF($Z12="","",INDEX(入力!$J$9:$J$58,$Z12))</f>
        <v>良好</v>
      </c>
      <c r="G12" t="str">
        <f>IF($Z12="","",INDEX(入力!$K$9:$K$58,$Z12))</f>
        <v>良好</v>
      </c>
      <c r="I12" t="str">
        <f>IF($AA12="","",INDEX(入力!$B$9:$B$58,$AA12))</f>
        <v>中納　沙織</v>
      </c>
      <c r="J12">
        <f>IF($AA12="","",INDEX(入力!$C$9:$C$58,$AA12))</f>
        <v>1.3</v>
      </c>
      <c r="K12">
        <f>IF($AA12="","",INDEX(入力!$D$9:$D$58,$AA12))</f>
        <v>2.1</v>
      </c>
      <c r="L12">
        <f>IF($AA12="","",IF(INDEX(入力!$E$9:$E$58,$AA12)&lt;&gt;"",INDEX(入力!$E$9:$E$58,$AA12),IF(ISNUMBER(INDEX(入力!$C$9:$C$58,$AA12)),INDEX(入力!$C$9:$C$58,$AA12),INDEX(入力!$D$9:$D$58,$AA12))))</f>
        <v>3.4000000000000004</v>
      </c>
      <c r="M12">
        <f>IF($AA12="","",IF(INDEX(入力!$I$9:$I$58,$AA12)&lt;&gt;"",INDEX(入力!$I$9:$I$58,$AA12),IF(ISNUMBER(INDEX(入力!$C$9:$C$58,$AA12)),INDEX(入力!$C$9:$C$58,$AA12)-入力!$B$5,INDEX(入力!$D$9:$D$58,$AA12)-入力!$C$5)))</f>
        <v>0.20000000000000018</v>
      </c>
      <c r="N12" t="str">
        <f>IF($AA12="","",INDEX(入力!$J$9:$J$58,$AA12))</f>
        <v>梱包改善</v>
      </c>
      <c r="O12" t="str">
        <f>IF($AA12="","",IF(INDEX(入力!$K$9:$K$58,$AA12)&lt;&gt;"",INDEX(入力!$K$9:$K$58,$AA12),IF(ISNUMBER(INDEX(入力!$C$9:$C$58,$AA12)),IF(INDEX(入力!$C$9:$C$58,$AA12)-入力!$B$5&gt;0,"ピッキング改善（梱包未入力）","良好（梱包未入力）"),IF(INDEX(入力!$D$9:$D$58,$AA12)-入力!$C$5&gt;0,"梱包改善（ピッキング未入力）","良好（ピッキング未入力）"))))</f>
        <v>梱包手順を改善</v>
      </c>
      <c r="Q12" t="str">
        <f>IF($AB12="","",INDEX(入力!$B$9:$B$58,$AB12))</f>
        <v>山本　祥吉</v>
      </c>
      <c r="R12">
        <f>IF($AB12="","",INDEX(入力!$F$9:$F$58,$AB12))</f>
        <v>1</v>
      </c>
      <c r="S12">
        <f>IF($AB12="","",INDEX(入力!$C$9:$C$58,$AB12))</f>
        <v>1.4</v>
      </c>
      <c r="T12">
        <f>IF($AB12="","",INDEX(入力!$D$9:$D$58,$AB12))</f>
        <v>1.8</v>
      </c>
      <c r="U12">
        <f>IF($AB12="","",INDEX(入力!$E$9:$E$58,$AB12))</f>
        <v>3.2</v>
      </c>
      <c r="V12">
        <f>IF($Z12="","",IF($B12&lt;&gt;"",$B12,IF($C12&lt;&gt;"",入力!$B$5,"")))</f>
        <v>1.2</v>
      </c>
      <c r="W12">
        <f>IF($Z12="","",IF($C12&lt;&gt;"",$C12,IF($B12&lt;&gt;"",入力!$C$5,"")))</f>
        <v>1.2</v>
      </c>
      <c r="Z12">
        <f>IFERROR(MATCH(ROW()-1,入力!$N$9:$N$58,0),"")</f>
        <v>11</v>
      </c>
      <c r="AA12">
        <f>IF(ROW()-1&gt;COUNTIF(入力!$L$9:$L$58,"&gt;-9.9E+98"),"",IFERROR(MATCH(LARGE(入力!$L$9:$L$58,ROW()-1),入力!$L$9:$L$58,0),""))</f>
        <v>3</v>
      </c>
      <c r="AB12">
        <f>IF(ROW()-1&gt;COUNTIF(入力!$M$9:$M$58,"&gt;-9.9E+98"),"",IFERROR(MATCH(LARGE(入力!$M$9:$M$58,ROW()-1),入力!$M$9:$M$58,0),""))</f>
        <v>8</v>
      </c>
      <c r="AC12">
        <f>入力!$B$5</f>
        <v>1.6</v>
      </c>
      <c r="AD12">
        <f>入力!$C$5</f>
        <v>1.6</v>
      </c>
    </row>
    <row r="13" spans="1:34" x14ac:dyDescent="0.15">
      <c r="A13" t="str">
        <f>IF($Z13="","",INDEX(入力!$B$9:$B$58,$Z13))</f>
        <v>木村　千鶴</v>
      </c>
      <c r="B13">
        <f>IF($Z13="","",IF(INDEX(入力!$C$9:$C$58,$Z13)="","",INDEX(入力!$C$9:$C$58,$Z13)))</f>
        <v>1.7</v>
      </c>
      <c r="C13">
        <f>IF($Z13="","",IF(INDEX(入力!$D$9:$D$58,$Z13)="","",INDEX(入力!$D$9:$D$58,$Z13)))</f>
        <v>2.2000000000000002</v>
      </c>
      <c r="D13">
        <f>IF($Z13="","",INDEX(入力!$E$9:$E$58,$Z13))</f>
        <v>3.9000000000000004</v>
      </c>
      <c r="E13">
        <f>IF($Z13="","",INDEX(入力!$F$9:$F$58,$Z13))</f>
        <v>0.82051282051282048</v>
      </c>
      <c r="F13" t="str">
        <f>IF($Z13="","",INDEX(入力!$J$9:$J$58,$Z13))</f>
        <v>要改善（両方遅い）</v>
      </c>
      <c r="G13" t="str">
        <f>IF($Z13="","",INDEX(入力!$K$9:$K$58,$Z13))</f>
        <v>両工程を見直し</v>
      </c>
      <c r="I13" t="str">
        <f>IF($AA13="","",INDEX(入力!$B$9:$B$58,$AA13))</f>
        <v>飯田　由加里</v>
      </c>
      <c r="J13">
        <f>IF($AA13="","",INDEX(入力!$C$9:$C$58,$AA13))</f>
        <v>1.8</v>
      </c>
      <c r="K13">
        <f>IF($AA13="","",INDEX(入力!$D$9:$D$58,$AA13))</f>
        <v>1.4</v>
      </c>
      <c r="L13">
        <f>IF($AA13="","",IF(INDEX(入力!$E$9:$E$58,$AA13)&lt;&gt;"",INDEX(入力!$E$9:$E$58,$AA13),IF(ISNUMBER(INDEX(入力!$C$9:$C$58,$AA13)),INDEX(入力!$C$9:$C$58,$AA13),INDEX(入力!$D$9:$D$58,$AA13))))</f>
        <v>3.2</v>
      </c>
      <c r="M13">
        <f>IF($AA13="","",IF(INDEX(入力!$I$9:$I$58,$AA13)&lt;&gt;"",INDEX(入力!$I$9:$I$58,$AA13),IF(ISNUMBER(INDEX(入力!$C$9:$C$58,$AA13)),INDEX(入力!$C$9:$C$58,$AA13)-入力!$B$5,INDEX(入力!$D$9:$D$58,$AA13)-入力!$C$5)))</f>
        <v>0</v>
      </c>
      <c r="N13" t="str">
        <f>IF($AA13="","",INDEX(入力!$J$9:$J$58,$AA13))</f>
        <v>ピッキング改善</v>
      </c>
      <c r="O13" t="str">
        <f>IF($AA13="","",IF(INDEX(入力!$K$9:$K$58,$AA13)&lt;&gt;"",INDEX(入力!$K$9:$K$58,$AA13),IF(ISNUMBER(INDEX(入力!$C$9:$C$58,$AA13)),IF(INDEX(入力!$C$9:$C$58,$AA13)-入力!$B$5&gt;0,"ピッキング改善（梱包未入力）","良好（梱包未入力）"),IF(INDEX(入力!$D$9:$D$58,$AA13)-入力!$C$5&gt;0,"梱包改善（ピッキング未入力）","良好（ピッキング未入力）"))))</f>
        <v>目標達成</v>
      </c>
      <c r="Q13" t="str">
        <f>IF($AB13="","",INDEX(入力!$B$9:$B$58,$AB13))</f>
        <v>飯田　由加里</v>
      </c>
      <c r="R13">
        <f>IF($AB13="","",INDEX(入力!$F$9:$F$58,$AB13))</f>
        <v>1</v>
      </c>
      <c r="S13">
        <f>IF($AB13="","",INDEX(入力!$C$9:$C$58,$AB13))</f>
        <v>1.8</v>
      </c>
      <c r="T13">
        <f>IF($AB13="","",INDEX(入力!$D$9:$D$58,$AB13))</f>
        <v>1.4</v>
      </c>
      <c r="U13">
        <f>IF($AB13="","",INDEX(入力!$E$9:$E$58,$AB13))</f>
        <v>3.2</v>
      </c>
      <c r="V13">
        <f>IF($Z13="","",IF($B13&lt;&gt;"",$B13,IF($C13&lt;&gt;"",入力!$B$5,"")))</f>
        <v>1.7</v>
      </c>
      <c r="W13">
        <f>IF($Z13="","",IF($C13&lt;&gt;"",$C13,IF($B13&lt;&gt;"",入力!$C$5,"")))</f>
        <v>2.2000000000000002</v>
      </c>
      <c r="Z13">
        <f>IFERROR(MATCH(ROW()-1,入力!$N$9:$N$58,0),"")</f>
        <v>12</v>
      </c>
      <c r="AA13">
        <f>IF(ROW()-1&gt;COUNTIF(入力!$L$9:$L$58,"&gt;-9.9E+98"),"",IFERROR(MATCH(LARGE(入力!$L$9:$L$58,ROW()-1),入力!$L$9:$L$58,0),""))</f>
        <v>15</v>
      </c>
      <c r="AB13">
        <f>IF(ROW()-1&gt;COUNTIF(入力!$M$9:$M$58,"&gt;-9.9E+98"),"",IFERROR(MATCH(LARGE(入力!$M$9:$M$58,ROW()-1),入力!$M$9:$M$58,0),""))</f>
        <v>15</v>
      </c>
      <c r="AC13">
        <f>入力!$B$5</f>
        <v>1.6</v>
      </c>
      <c r="AD13">
        <f>入力!$C$5</f>
        <v>1.6</v>
      </c>
    </row>
    <row r="14" spans="1:34" x14ac:dyDescent="0.15">
      <c r="A14" t="str">
        <f>IF($Z14="","",INDEX(入力!$B$9:$B$58,$Z14))</f>
        <v>晩田　恵美</v>
      </c>
      <c r="B14">
        <f>IF($Z14="","",IF(INDEX(入力!$C$9:$C$58,$Z14)="","",INDEX(入力!$C$9:$C$58,$Z14)))</f>
        <v>1.1000000000000001</v>
      </c>
      <c r="C14">
        <f>IF($Z14="","",IF(INDEX(入力!$D$9:$D$58,$Z14)="","",INDEX(入力!$D$9:$D$58,$Z14)))</f>
        <v>1.4</v>
      </c>
      <c r="D14">
        <f>IF($Z14="","",INDEX(入力!$E$9:$E$58,$Z14))</f>
        <v>2.5</v>
      </c>
      <c r="E14">
        <f>IF($Z14="","",INDEX(入力!$F$9:$F$58,$Z14))</f>
        <v>1.28</v>
      </c>
      <c r="F14" t="str">
        <f>IF($Z14="","",INDEX(入力!$J$9:$J$58,$Z14))</f>
        <v>良好</v>
      </c>
      <c r="G14" t="str">
        <f>IF($Z14="","",INDEX(入力!$K$9:$K$58,$Z14))</f>
        <v>良好</v>
      </c>
      <c r="I14" t="str">
        <f>IF($AA14="","",INDEX(入力!$B$9:$B$58,$AA14))</f>
        <v>山本　祥吉</v>
      </c>
      <c r="J14">
        <f>IF($AA14="","",INDEX(入力!$C$9:$C$58,$AA14))</f>
        <v>1.4</v>
      </c>
      <c r="K14">
        <f>IF($AA14="","",INDEX(入力!$D$9:$D$58,$AA14))</f>
        <v>1.8</v>
      </c>
      <c r="L14">
        <f>IF($AA14="","",IF(INDEX(入力!$E$9:$E$58,$AA14)&lt;&gt;"",INDEX(入力!$E$9:$E$58,$AA14),IF(ISNUMBER(INDEX(入力!$C$9:$C$58,$AA14)),INDEX(入力!$C$9:$C$58,$AA14),INDEX(入力!$D$9:$D$58,$AA14))))</f>
        <v>3.2</v>
      </c>
      <c r="M14">
        <f>IF($AA14="","",IF(INDEX(入力!$I$9:$I$58,$AA14)&lt;&gt;"",INDEX(入力!$I$9:$I$58,$AA14),IF(ISNUMBER(INDEX(入力!$C$9:$C$58,$AA14)),INDEX(入力!$C$9:$C$58,$AA14)-入力!$B$5,INDEX(入力!$D$9:$D$58,$AA14)-入力!$C$5)))</f>
        <v>0</v>
      </c>
      <c r="N14" t="str">
        <f>IF($AA14="","",INDEX(入力!$J$9:$J$58,$AA14))</f>
        <v>梱包改善</v>
      </c>
      <c r="O14" t="str">
        <f>IF($AA14="","",IF(INDEX(入力!$K$9:$K$58,$AA14)&lt;&gt;"",INDEX(入力!$K$9:$K$58,$AA14),IF(ISNUMBER(INDEX(入力!$C$9:$C$58,$AA14)),IF(INDEX(入力!$C$9:$C$58,$AA14)-入力!$B$5&gt;0,"ピッキング改善（梱包未入力）","良好（梱包未入力）"),IF(INDEX(入力!$D$9:$D$58,$AA14)-入力!$C$5&gt;0,"梱包改善（ピッキング未入力）","良好（ピッキング未入力）"))))</f>
        <v>目標達成</v>
      </c>
      <c r="Q14" t="str">
        <f>IF($AB14="","",INDEX(入力!$B$9:$B$58,$AB14))</f>
        <v>中納　沙織</v>
      </c>
      <c r="R14">
        <f>IF($AB14="","",INDEX(入力!$F$9:$F$58,$AB14))</f>
        <v>0.94117647058823528</v>
      </c>
      <c r="S14">
        <f>IF($AB14="","",INDEX(入力!$C$9:$C$58,$AB14))</f>
        <v>1.3</v>
      </c>
      <c r="T14">
        <f>IF($AB14="","",INDEX(入力!$D$9:$D$58,$AB14))</f>
        <v>2.1</v>
      </c>
      <c r="U14">
        <f>IF($AB14="","",INDEX(入力!$E$9:$E$58,$AB14))</f>
        <v>3.4000000000000004</v>
      </c>
      <c r="V14">
        <f>IF($Z14="","",IF($B14&lt;&gt;"",$B14,IF($C14&lt;&gt;"",入力!$B$5,"")))</f>
        <v>1.1000000000000001</v>
      </c>
      <c r="W14">
        <f>IF($Z14="","",IF($C14&lt;&gt;"",$C14,IF($B14&lt;&gt;"",入力!$C$5,"")))</f>
        <v>1.4</v>
      </c>
      <c r="Z14">
        <f>IFERROR(MATCH(ROW()-1,入力!$N$9:$N$58,0),"")</f>
        <v>13</v>
      </c>
      <c r="AA14">
        <f>IF(ROW()-1&gt;COUNTIF(入力!$L$9:$L$58,"&gt;-9.9E+98"),"",IFERROR(MATCH(LARGE(入力!$L$9:$L$58,ROW()-1),入力!$L$9:$L$58,0),""))</f>
        <v>8</v>
      </c>
      <c r="AB14">
        <f>IF(ROW()-1&gt;COUNTIF(入力!$M$9:$M$58,"&gt;-9.9E+98"),"",IFERROR(MATCH(LARGE(入力!$M$9:$M$58,ROW()-1),入力!$M$9:$M$58,0),""))</f>
        <v>3</v>
      </c>
      <c r="AC14">
        <f>入力!$B$5</f>
        <v>1.6</v>
      </c>
      <c r="AD14">
        <f>入力!$C$5</f>
        <v>1.6</v>
      </c>
    </row>
    <row r="15" spans="1:34" x14ac:dyDescent="0.15">
      <c r="A15" t="str">
        <f>IF($Z15="","",INDEX(入力!$B$9:$B$58,$Z15))</f>
        <v>森田　美加</v>
      </c>
      <c r="B15">
        <f>IF($Z15="","",IF(INDEX(入力!$C$9:$C$58,$Z15)="","",INDEX(入力!$C$9:$C$58,$Z15)))</f>
        <v>1.1000000000000001</v>
      </c>
      <c r="C15">
        <f>IF($Z15="","",IF(INDEX(入力!$D$9:$D$58,$Z15)="","",INDEX(入力!$D$9:$D$58,$Z15)))</f>
        <v>3.1</v>
      </c>
      <c r="D15">
        <f>IF($Z15="","",INDEX(入力!$E$9:$E$58,$Z15))</f>
        <v>4.2</v>
      </c>
      <c r="E15">
        <f>IF($Z15="","",INDEX(入力!$F$9:$F$58,$Z15))</f>
        <v>0.76190476190476186</v>
      </c>
      <c r="F15" t="str">
        <f>IF($Z15="","",INDEX(入力!$J$9:$J$58,$Z15))</f>
        <v>梱包改善</v>
      </c>
      <c r="G15" t="str">
        <f>IF($Z15="","",INDEX(入力!$K$9:$K$58,$Z15))</f>
        <v>梱包手順を改善</v>
      </c>
      <c r="I15" t="str">
        <f>IF($AA15="","",INDEX(入力!$B$9:$B$58,$AA15))</f>
        <v>澤田　凌</v>
      </c>
      <c r="J15">
        <f>IF($AA15="","",INDEX(入力!$C$9:$C$58,$AA15))</f>
        <v>1.6</v>
      </c>
      <c r="K15">
        <f>IF($AA15="","",INDEX(入力!$D$9:$D$58,$AA15))</f>
        <v>1.6</v>
      </c>
      <c r="L15">
        <f>IF($AA15="","",IF(INDEX(入力!$E$9:$E$58,$AA15)&lt;&gt;"",INDEX(入力!$E$9:$E$58,$AA15),IF(ISNUMBER(INDEX(入力!$C$9:$C$58,$AA15)),INDEX(入力!$C$9:$C$58,$AA15),INDEX(入力!$D$9:$D$58,$AA15))))</f>
        <v>3.2</v>
      </c>
      <c r="M15">
        <f>IF($AA15="","",IF(INDEX(入力!$I$9:$I$58,$AA15)&lt;&gt;"",INDEX(入力!$I$9:$I$58,$AA15),IF(ISNUMBER(INDEX(入力!$C$9:$C$58,$AA15)),INDEX(入力!$C$9:$C$58,$AA15)-入力!$B$5,INDEX(入力!$D$9:$D$58,$AA15)-入力!$C$5)))</f>
        <v>0</v>
      </c>
      <c r="N15" t="str">
        <f>IF($AA15="","",INDEX(入力!$J$9:$J$58,$AA15))</f>
        <v>良好</v>
      </c>
      <c r="O15" t="str">
        <f>IF($AA15="","",IF(INDEX(入力!$K$9:$K$58,$AA15)&lt;&gt;"",INDEX(入力!$K$9:$K$58,$AA15),IF(ISNUMBER(INDEX(入力!$C$9:$C$58,$AA15)),IF(INDEX(入力!$C$9:$C$58,$AA15)-入力!$B$5&gt;0,"ピッキング改善（梱包未入力）","良好（梱包未入力）"),IF(INDEX(入力!$D$9:$D$58,$AA15)-入力!$C$5&gt;0,"梱包改善（ピッキング未入力）","良好（ピッキング未入力）"))))</f>
        <v>目標達成</v>
      </c>
      <c r="Q15" t="str">
        <f>IF($AB15="","",INDEX(入力!$B$9:$B$58,$AB15))</f>
        <v>後藤　克行</v>
      </c>
      <c r="R15">
        <f>IF($AB15="","",INDEX(入力!$F$9:$F$58,$AB15))</f>
        <v>0.94117647058823539</v>
      </c>
      <c r="S15">
        <f>IF($AB15="","",INDEX(入力!$C$9:$C$58,$AB15))</f>
        <v>1.5</v>
      </c>
      <c r="T15">
        <f>IF($AB15="","",INDEX(入力!$D$9:$D$58,$AB15))</f>
        <v>1.9</v>
      </c>
      <c r="U15">
        <f>IF($AB15="","",INDEX(入力!$E$9:$E$58,$AB15))</f>
        <v>3.4</v>
      </c>
      <c r="V15">
        <f>IF($Z15="","",IF($B15&lt;&gt;"",$B15,IF($C15&lt;&gt;"",入力!$B$5,"")))</f>
        <v>1.1000000000000001</v>
      </c>
      <c r="W15">
        <f>IF($Z15="","",IF($C15&lt;&gt;"",$C15,IF($B15&lt;&gt;"",入力!$C$5,"")))</f>
        <v>3.1</v>
      </c>
      <c r="Z15">
        <f>IFERROR(MATCH(ROW()-1,入力!$N$9:$N$58,0),"")</f>
        <v>14</v>
      </c>
      <c r="AA15">
        <f>IF(ROW()-1&gt;COUNTIF(入力!$L$9:$L$58,"&gt;-9.9E+98"),"",IFERROR(MATCH(LARGE(入力!$L$9:$L$58,ROW()-1),入力!$L$9:$L$58,0),""))</f>
        <v>4</v>
      </c>
      <c r="AB15">
        <f>IF(ROW()-1&gt;COUNTIF(入力!$M$9:$M$58,"&gt;-9.9E+98"),"",IFERROR(MATCH(LARGE(入力!$M$9:$M$58,ROW()-1),入力!$M$9:$M$58,0),""))</f>
        <v>7</v>
      </c>
      <c r="AC15">
        <f>入力!$B$5</f>
        <v>1.6</v>
      </c>
      <c r="AD15">
        <f>入力!$C$5</f>
        <v>1.6</v>
      </c>
    </row>
    <row r="16" spans="1:34" x14ac:dyDescent="0.15">
      <c r="A16" t="str">
        <f>IF($Z16="","",INDEX(入力!$B$9:$B$58,$Z16))</f>
        <v>飯田　由加里</v>
      </c>
      <c r="B16">
        <f>IF($Z16="","",IF(INDEX(入力!$C$9:$C$58,$Z16)="","",INDEX(入力!$C$9:$C$58,$Z16)))</f>
        <v>1.8</v>
      </c>
      <c r="C16">
        <f>IF($Z16="","",IF(INDEX(入力!$D$9:$D$58,$Z16)="","",INDEX(入力!$D$9:$D$58,$Z16)))</f>
        <v>1.4</v>
      </c>
      <c r="D16">
        <f>IF($Z16="","",INDEX(入力!$E$9:$E$58,$Z16))</f>
        <v>3.2</v>
      </c>
      <c r="E16">
        <f>IF($Z16="","",INDEX(入力!$F$9:$F$58,$Z16))</f>
        <v>1</v>
      </c>
      <c r="F16" t="str">
        <f>IF($Z16="","",INDEX(入力!$J$9:$J$58,$Z16))</f>
        <v>ピッキング改善</v>
      </c>
      <c r="G16" t="str">
        <f>IF($Z16="","",INDEX(入力!$K$9:$K$58,$Z16))</f>
        <v>目標達成</v>
      </c>
      <c r="I16" t="str">
        <f>IF($AA16="","",INDEX(入力!$B$9:$B$58,$AA16))</f>
        <v>向井　ひかり</v>
      </c>
      <c r="J16">
        <f>IF($AA16="","",INDEX(入力!$C$9:$C$58,$AA16))</f>
        <v>1.5</v>
      </c>
      <c r="K16">
        <f>IF($AA16="","",INDEX(入力!$D$9:$D$58,$AA16))</f>
        <v>0</v>
      </c>
      <c r="L16">
        <f>IF($AA16="","",IF(INDEX(入力!$E$9:$E$58,$AA16)&lt;&gt;"",INDEX(入力!$E$9:$E$58,$AA16),IF(ISNUMBER(INDEX(入力!$C$9:$C$58,$AA16)),INDEX(入力!$C$9:$C$58,$AA16),INDEX(入力!$D$9:$D$58,$AA16))))</f>
        <v>1.5</v>
      </c>
      <c r="M16">
        <f>IF($AA16="","",IF(INDEX(入力!$I$9:$I$58,$AA16)&lt;&gt;"",INDEX(入力!$I$9:$I$58,$AA16),IF(ISNUMBER(INDEX(入力!$C$9:$C$58,$AA16)),INDEX(入力!$C$9:$C$58,$AA16)-入力!$B$5,INDEX(入力!$D$9:$D$58,$AA16)-入力!$C$5)))</f>
        <v>-0.10000000000000009</v>
      </c>
      <c r="N16" t="str">
        <f>IF($AA16="","",INDEX(入力!$J$9:$J$58,$AA16))</f>
        <v/>
      </c>
      <c r="O16" t="str">
        <f>IF($AA16="","",IF(INDEX(入力!$K$9:$K$58,$AA16)&lt;&gt;"",INDEX(入力!$K$9:$K$58,$AA16),IF(ISNUMBER(INDEX(入力!$C$9:$C$58,$AA16)),IF(INDEX(入力!$C$9:$C$58,$AA16)-入力!$B$5&gt;0,"ピッキング改善（梱包未入力）","良好（梱包未入力）"),IF(INDEX(入力!$D$9:$D$58,$AA16)-入力!$C$5&gt;0,"梱包改善（ピッキング未入力）","良好（ピッキング未入力）"))))</f>
        <v>良好（梱包未入力）</v>
      </c>
      <c r="Q16" t="str">
        <f>IF($AB16="","",INDEX(入力!$B$9:$B$58,$AB16))</f>
        <v>高橋　佐織</v>
      </c>
      <c r="R16">
        <f>IF($AB16="","",INDEX(入力!$F$9:$F$58,$AB16))</f>
        <v>0.91428571428571437</v>
      </c>
      <c r="S16">
        <f>IF($AB16="","",INDEX(入力!$C$9:$C$58,$AB16))</f>
        <v>1.8</v>
      </c>
      <c r="T16">
        <f>IF($AB16="","",INDEX(入力!$D$9:$D$58,$AB16))</f>
        <v>1.7</v>
      </c>
      <c r="U16">
        <f>IF($AB16="","",INDEX(入力!$E$9:$E$58,$AB16))</f>
        <v>3.5</v>
      </c>
      <c r="V16">
        <f>IF($Z16="","",IF($B16&lt;&gt;"",$B16,IF($C16&lt;&gt;"",入力!$B$5,"")))</f>
        <v>1.8</v>
      </c>
      <c r="W16">
        <f>IF($Z16="","",IF($C16&lt;&gt;"",$C16,IF($B16&lt;&gt;"",入力!$C$5,"")))</f>
        <v>1.4</v>
      </c>
      <c r="Z16">
        <f>IFERROR(MATCH(ROW()-1,入力!$N$9:$N$58,0),"")</f>
        <v>15</v>
      </c>
      <c r="AA16">
        <f>IF(ROW()-1&gt;COUNTIF(入力!$L$9:$L$58,"&gt;-9.9E+98"),"",IFERROR(MATCH(LARGE(入力!$L$9:$L$58,ROW()-1),入力!$L$9:$L$58,0),""))</f>
        <v>23</v>
      </c>
      <c r="AB16">
        <f>IF(ROW()-1&gt;COUNTIF(入力!$M$9:$M$58,"&gt;-9.9E+98"),"",IFERROR(MATCH(LARGE(入力!$M$9:$M$58,ROW()-1),入力!$M$9:$M$58,0),""))</f>
        <v>17</v>
      </c>
      <c r="AC16">
        <f>入力!$B$5</f>
        <v>1.6</v>
      </c>
      <c r="AD16">
        <f>入力!$C$5</f>
        <v>1.6</v>
      </c>
    </row>
    <row r="17" spans="1:30" x14ac:dyDescent="0.15">
      <c r="A17" t="str">
        <f>IF($Z17="","",INDEX(入力!$B$9:$B$58,$Z17))</f>
        <v>森本　久美</v>
      </c>
      <c r="B17">
        <f>IF($Z17="","",IF(INDEX(入力!$C$9:$C$58,$Z17)="","",INDEX(入力!$C$9:$C$58,$Z17)))</f>
        <v>1.4</v>
      </c>
      <c r="C17">
        <f>IF($Z17="","",IF(INDEX(入力!$D$9:$D$58,$Z17)="","",INDEX(入力!$D$9:$D$58,$Z17)))</f>
        <v>1.6</v>
      </c>
      <c r="D17">
        <f>IF($Z17="","",INDEX(入力!$E$9:$E$58,$Z17))</f>
        <v>3</v>
      </c>
      <c r="E17">
        <f>IF($Z17="","",INDEX(入力!$F$9:$F$58,$Z17))</f>
        <v>1.0666666666666667</v>
      </c>
      <c r="F17" t="str">
        <f>IF($Z17="","",INDEX(入力!$J$9:$J$58,$Z17))</f>
        <v>良好</v>
      </c>
      <c r="G17" t="str">
        <f>IF($Z17="","",INDEX(入力!$K$9:$K$58,$Z17))</f>
        <v>目標達成</v>
      </c>
      <c r="I17" t="str">
        <f>IF($AA17="","",INDEX(入力!$B$9:$B$58,$AA17))</f>
        <v>鈴木　香織</v>
      </c>
      <c r="J17">
        <f>IF($AA17="","",INDEX(入力!$C$9:$C$58,$AA17))</f>
        <v>1.2</v>
      </c>
      <c r="K17">
        <f>IF($AA17="","",INDEX(入力!$D$9:$D$58,$AA17))</f>
        <v>1.8</v>
      </c>
      <c r="L17">
        <f>IF($AA17="","",IF(INDEX(入力!$E$9:$E$58,$AA17)&lt;&gt;"",INDEX(入力!$E$9:$E$58,$AA17),IF(ISNUMBER(INDEX(入力!$C$9:$C$58,$AA17)),INDEX(入力!$C$9:$C$58,$AA17),INDEX(入力!$D$9:$D$58,$AA17))))</f>
        <v>3</v>
      </c>
      <c r="M17">
        <f>IF($AA17="","",IF(INDEX(入力!$I$9:$I$58,$AA17)&lt;&gt;"",INDEX(入力!$I$9:$I$58,$AA17),IF(ISNUMBER(INDEX(入力!$C$9:$C$58,$AA17)),INDEX(入力!$C$9:$C$58,$AA17)-入力!$B$5,INDEX(入力!$D$9:$D$58,$AA17)-入力!$C$5)))</f>
        <v>-0.20000000000000018</v>
      </c>
      <c r="N17" t="str">
        <f>IF($AA17="","",INDEX(入力!$J$9:$J$58,$AA17))</f>
        <v>梱包改善</v>
      </c>
      <c r="O17" t="str">
        <f>IF($AA17="","",IF(INDEX(入力!$K$9:$K$58,$AA17)&lt;&gt;"",INDEX(入力!$K$9:$K$58,$AA17),IF(ISNUMBER(INDEX(入力!$C$9:$C$58,$AA17)),IF(INDEX(入力!$C$9:$C$58,$AA17)-入力!$B$5&gt;0,"ピッキング改善（梱包未入力）","良好（梱包未入力）"),IF(INDEX(入力!$D$9:$D$58,$AA17)-入力!$C$5&gt;0,"梱包改善（ピッキング未入力）","良好（ピッキング未入力）"))))</f>
        <v>目標達成</v>
      </c>
      <c r="Q17" t="str">
        <f>IF($AB17="","",INDEX(入力!$B$9:$B$58,$AB17))</f>
        <v>片岡　達也</v>
      </c>
      <c r="R17">
        <f>IF($AB17="","",INDEX(入力!$F$9:$F$58,$AB17))</f>
        <v>0.86486486486486491</v>
      </c>
      <c r="S17">
        <f>IF($AB17="","",INDEX(入力!$C$9:$C$58,$AB17))</f>
        <v>3.1</v>
      </c>
      <c r="T17">
        <f>IF($AB17="","",INDEX(入力!$D$9:$D$58,$AB17))</f>
        <v>0.6</v>
      </c>
      <c r="U17">
        <f>IF($AB17="","",INDEX(入力!$E$9:$E$58,$AB17))</f>
        <v>3.7</v>
      </c>
      <c r="V17">
        <f>IF($Z17="","",IF($B17&lt;&gt;"",$B17,IF($C17&lt;&gt;"",入力!$B$5,"")))</f>
        <v>1.4</v>
      </c>
      <c r="W17">
        <f>IF($Z17="","",IF($C17&lt;&gt;"",$C17,IF($B17&lt;&gt;"",入力!$C$5,"")))</f>
        <v>1.6</v>
      </c>
      <c r="Z17">
        <f>IFERROR(MATCH(ROW()-1,入力!$N$9:$N$58,0),"")</f>
        <v>16</v>
      </c>
      <c r="AA17">
        <f>IF(ROW()-1&gt;COUNTIF(入力!$L$9:$L$58,"&gt;-9.9E+98"),"",IFERROR(MATCH(LARGE(入力!$L$9:$L$58,ROW()-1),入力!$L$9:$L$58,0),""))</f>
        <v>19</v>
      </c>
      <c r="AB17">
        <f>IF(ROW()-1&gt;COUNTIF(入力!$M$9:$M$58,"&gt;-9.9E+98"),"",IFERROR(MATCH(LARGE(入力!$M$9:$M$58,ROW()-1),入力!$M$9:$M$58,0),""))</f>
        <v>6</v>
      </c>
      <c r="AC17">
        <f>入力!$B$5</f>
        <v>1.6</v>
      </c>
      <c r="AD17">
        <f>入力!$C$5</f>
        <v>1.6</v>
      </c>
    </row>
    <row r="18" spans="1:30" x14ac:dyDescent="0.15">
      <c r="A18" t="str">
        <f>IF($Z18="","",INDEX(入力!$B$9:$B$58,$Z18))</f>
        <v>高橋　佐織</v>
      </c>
      <c r="B18">
        <f>IF($Z18="","",IF(INDEX(入力!$C$9:$C$58,$Z18)="","",INDEX(入力!$C$9:$C$58,$Z18)))</f>
        <v>1.8</v>
      </c>
      <c r="C18">
        <f>IF($Z18="","",IF(INDEX(入力!$D$9:$D$58,$Z18)="","",INDEX(入力!$D$9:$D$58,$Z18)))</f>
        <v>1.7</v>
      </c>
      <c r="D18">
        <f>IF($Z18="","",INDEX(入力!$E$9:$E$58,$Z18))</f>
        <v>3.5</v>
      </c>
      <c r="E18">
        <f>IF($Z18="","",INDEX(入力!$F$9:$F$58,$Z18))</f>
        <v>0.91428571428571437</v>
      </c>
      <c r="F18" t="str">
        <f>IF($Z18="","",INDEX(入力!$J$9:$J$58,$Z18))</f>
        <v>要改善（両方遅い）</v>
      </c>
      <c r="G18" t="str">
        <f>IF($Z18="","",INDEX(入力!$K$9:$K$58,$Z18))</f>
        <v>両工程を見直し</v>
      </c>
      <c r="I18" t="str">
        <f>IF($AA18="","",INDEX(入力!$B$9:$B$58,$AA18))</f>
        <v>森本　久美</v>
      </c>
      <c r="J18">
        <f>IF($AA18="","",INDEX(入力!$C$9:$C$58,$AA18))</f>
        <v>1.4</v>
      </c>
      <c r="K18">
        <f>IF($AA18="","",INDEX(入力!$D$9:$D$58,$AA18))</f>
        <v>1.6</v>
      </c>
      <c r="L18">
        <f>IF($AA18="","",IF(INDEX(入力!$E$9:$E$58,$AA18)&lt;&gt;"",INDEX(入力!$E$9:$E$58,$AA18),IF(ISNUMBER(INDEX(入力!$C$9:$C$58,$AA18)),INDEX(入力!$C$9:$C$58,$AA18),INDEX(入力!$D$9:$D$58,$AA18))))</f>
        <v>3</v>
      </c>
      <c r="M18">
        <f>IF($AA18="","",IF(INDEX(入力!$I$9:$I$58,$AA18)&lt;&gt;"",INDEX(入力!$I$9:$I$58,$AA18),IF(ISNUMBER(INDEX(入力!$C$9:$C$58,$AA18)),INDEX(入力!$C$9:$C$58,$AA18)-入力!$B$5,INDEX(入力!$D$9:$D$58,$AA18)-入力!$C$5)))</f>
        <v>-0.20000000000000018</v>
      </c>
      <c r="N18" t="str">
        <f>IF($AA18="","",INDEX(入力!$J$9:$J$58,$AA18))</f>
        <v>良好</v>
      </c>
      <c r="O18" t="str">
        <f>IF($AA18="","",IF(INDEX(入力!$K$9:$K$58,$AA18)&lt;&gt;"",INDEX(入力!$K$9:$K$58,$AA18),IF(ISNUMBER(INDEX(入力!$C$9:$C$58,$AA18)),IF(INDEX(入力!$C$9:$C$58,$AA18)-入力!$B$5&gt;0,"ピッキング改善（梱包未入力）","良好（梱包未入力）"),IF(INDEX(入力!$D$9:$D$58,$AA18)-入力!$C$5&gt;0,"梱包改善（ピッキング未入力）","良好（ピッキング未入力）"))))</f>
        <v>目標達成</v>
      </c>
      <c r="Q18" t="str">
        <f>IF($AB18="","",INDEX(入力!$B$9:$B$58,$AB18))</f>
        <v>木村　千鶴</v>
      </c>
      <c r="R18">
        <f>IF($AB18="","",INDEX(入力!$F$9:$F$58,$AB18))</f>
        <v>0.82051282051282048</v>
      </c>
      <c r="S18">
        <f>IF($AB18="","",INDEX(入力!$C$9:$C$58,$AB18))</f>
        <v>1.7</v>
      </c>
      <c r="T18">
        <f>IF($AB18="","",INDEX(入力!$D$9:$D$58,$AB18))</f>
        <v>2.2000000000000002</v>
      </c>
      <c r="U18">
        <f>IF($AB18="","",INDEX(入力!$E$9:$E$58,$AB18))</f>
        <v>3.9000000000000004</v>
      </c>
      <c r="V18">
        <f>IF($Z18="","",IF($B18&lt;&gt;"",$B18,IF($C18&lt;&gt;"",入力!$B$5,"")))</f>
        <v>1.8</v>
      </c>
      <c r="W18">
        <f>IF($Z18="","",IF($C18&lt;&gt;"",$C18,IF($B18&lt;&gt;"",入力!$C$5,"")))</f>
        <v>1.7</v>
      </c>
      <c r="Z18">
        <f>IFERROR(MATCH(ROW()-1,入力!$N$9:$N$58,0),"")</f>
        <v>17</v>
      </c>
      <c r="AA18">
        <f>IF(ROW()-1&gt;COUNTIF(入力!$L$9:$L$58,"&gt;-9.9E+98"),"",IFERROR(MATCH(LARGE(入力!$L$9:$L$58,ROW()-1),入力!$L$9:$L$58,0),""))</f>
        <v>16</v>
      </c>
      <c r="AB18">
        <f>IF(ROW()-1&gt;COUNTIF(入力!$M$9:$M$58,"&gt;-9.9E+98"),"",IFERROR(MATCH(LARGE(入力!$M$9:$M$58,ROW()-1),入力!$M$9:$M$58,0),""))</f>
        <v>12</v>
      </c>
      <c r="AC18">
        <f>入力!$B$5</f>
        <v>1.6</v>
      </c>
      <c r="AD18">
        <f>入力!$C$5</f>
        <v>1.6</v>
      </c>
    </row>
    <row r="19" spans="1:30" x14ac:dyDescent="0.15">
      <c r="A19" t="str">
        <f>IF($Z19="","",INDEX(入力!$B$9:$B$58,$Z19))</f>
        <v>北田　倫子</v>
      </c>
      <c r="B19">
        <f>IF($Z19="","",IF(INDEX(入力!$C$9:$C$58,$Z19)="","",INDEX(入力!$C$9:$C$58,$Z19)))</f>
        <v>1.6</v>
      </c>
      <c r="C19">
        <f>IF($Z19="","",IF(INDEX(入力!$D$9:$D$58,$Z19)="","",INDEX(入力!$D$9:$D$58,$Z19)))</f>
        <v>1.2</v>
      </c>
      <c r="D19">
        <f>IF($Z19="","",INDEX(入力!$E$9:$E$58,$Z19))</f>
        <v>2.8</v>
      </c>
      <c r="E19">
        <f>IF($Z19="","",INDEX(入力!$F$9:$F$58,$Z19))</f>
        <v>1.142857142857143</v>
      </c>
      <c r="F19" t="str">
        <f>IF($Z19="","",INDEX(入力!$J$9:$J$58,$Z19))</f>
        <v>良好</v>
      </c>
      <c r="G19" t="str">
        <f>IF($Z19="","",INDEX(入力!$K$9:$K$58,$Z19))</f>
        <v>目標達成</v>
      </c>
      <c r="I19" t="str">
        <f>IF($AA19="","",INDEX(入力!$B$9:$B$58,$AA19))</f>
        <v>石戸谷　亜子</v>
      </c>
      <c r="J19">
        <f>IF($AA19="","",INDEX(入力!$C$9:$C$58,$AA19))</f>
        <v>1.3</v>
      </c>
      <c r="K19">
        <f>IF($AA19="","",INDEX(入力!$D$9:$D$58,$AA19))</f>
        <v>0</v>
      </c>
      <c r="L19">
        <f>IF($AA19="","",IF(INDEX(入力!$E$9:$E$58,$AA19)&lt;&gt;"",INDEX(入力!$E$9:$E$58,$AA19),IF(ISNUMBER(INDEX(入力!$C$9:$C$58,$AA19)),INDEX(入力!$C$9:$C$58,$AA19),INDEX(入力!$D$9:$D$58,$AA19))))</f>
        <v>1.3</v>
      </c>
      <c r="M19">
        <f>IF($AA19="","",IF(INDEX(入力!$I$9:$I$58,$AA19)&lt;&gt;"",INDEX(入力!$I$9:$I$58,$AA19),IF(ISNUMBER(INDEX(入力!$C$9:$C$58,$AA19)),INDEX(入力!$C$9:$C$58,$AA19)-入力!$B$5,INDEX(入力!$D$9:$D$58,$AA19)-入力!$C$5)))</f>
        <v>-0.30000000000000004</v>
      </c>
      <c r="N19" t="str">
        <f>IF($AA19="","",INDEX(入力!$J$9:$J$58,$AA19))</f>
        <v/>
      </c>
      <c r="O19" t="str">
        <f>IF($AA19="","",IF(INDEX(入力!$K$9:$K$58,$AA19)&lt;&gt;"",INDEX(入力!$K$9:$K$58,$AA19),IF(ISNUMBER(INDEX(入力!$C$9:$C$58,$AA19)),IF(INDEX(入力!$C$9:$C$58,$AA19)-入力!$B$5&gt;0,"ピッキング改善（梱包未入力）","良好（梱包未入力）"),IF(INDEX(入力!$D$9:$D$58,$AA19)-入力!$C$5&gt;0,"梱包改善（ピッキング未入力）","良好（ピッキング未入力）"))))</f>
        <v>良好（梱包未入力）</v>
      </c>
      <c r="Q19" t="str">
        <f>IF($AB19="","",INDEX(入力!$B$9:$B$58,$AB19))</f>
        <v>森田　美加</v>
      </c>
      <c r="R19">
        <f>IF($AB19="","",INDEX(入力!$F$9:$F$58,$AB19))</f>
        <v>0.76190476190476186</v>
      </c>
      <c r="S19">
        <f>IF($AB19="","",INDEX(入力!$C$9:$C$58,$AB19))</f>
        <v>1.1000000000000001</v>
      </c>
      <c r="T19">
        <f>IF($AB19="","",INDEX(入力!$D$9:$D$58,$AB19))</f>
        <v>3.1</v>
      </c>
      <c r="U19">
        <f>IF($AB19="","",INDEX(入力!$E$9:$E$58,$AB19))</f>
        <v>4.2</v>
      </c>
      <c r="V19">
        <f>IF($Z19="","",IF($B19&lt;&gt;"",$B19,IF($C19&lt;&gt;"",入力!$B$5,"")))</f>
        <v>1.6</v>
      </c>
      <c r="W19">
        <f>IF($Z19="","",IF($C19&lt;&gt;"",$C19,IF($B19&lt;&gt;"",入力!$C$5,"")))</f>
        <v>1.2</v>
      </c>
      <c r="Z19">
        <f>IFERROR(MATCH(ROW()-1,入力!$N$9:$N$58,0),"")</f>
        <v>18</v>
      </c>
      <c r="AA19">
        <f>IF(ROW()-1&gt;COUNTIF(入力!$L$9:$L$58,"&gt;-9.9E+98"),"",IFERROR(MATCH(LARGE(入力!$L$9:$L$58,ROW()-1),入力!$L$9:$L$58,0),""))</f>
        <v>26</v>
      </c>
      <c r="AB19">
        <f>IF(ROW()-1&gt;COUNTIF(入力!$M$9:$M$58,"&gt;-9.9E+98"),"",IFERROR(MATCH(LARGE(入力!$M$9:$M$58,ROW()-1),入力!$M$9:$M$58,0),""))</f>
        <v>14</v>
      </c>
      <c r="AC19">
        <f>入力!$B$5</f>
        <v>1.6</v>
      </c>
      <c r="AD19">
        <f>入力!$C$5</f>
        <v>1.6</v>
      </c>
    </row>
    <row r="20" spans="1:30" x14ac:dyDescent="0.15">
      <c r="A20" t="str">
        <f>IF($Z20="","",INDEX(入力!$B$9:$B$58,$Z20))</f>
        <v>鈴木　香織</v>
      </c>
      <c r="B20">
        <f>IF($Z20="","",IF(INDEX(入力!$C$9:$C$58,$Z20)="","",INDEX(入力!$C$9:$C$58,$Z20)))</f>
        <v>1.2</v>
      </c>
      <c r="C20">
        <f>IF($Z20="","",IF(INDEX(入力!$D$9:$D$58,$Z20)="","",INDEX(入力!$D$9:$D$58,$Z20)))</f>
        <v>1.8</v>
      </c>
      <c r="D20">
        <f>IF($Z20="","",INDEX(入力!$E$9:$E$58,$Z20))</f>
        <v>3</v>
      </c>
      <c r="E20">
        <f>IF($Z20="","",INDEX(入力!$F$9:$F$58,$Z20))</f>
        <v>1.0666666666666667</v>
      </c>
      <c r="F20" t="str">
        <f>IF($Z20="","",INDEX(入力!$J$9:$J$58,$Z20))</f>
        <v>梱包改善</v>
      </c>
      <c r="G20" t="str">
        <f>IF($Z20="","",INDEX(入力!$K$9:$K$58,$Z20))</f>
        <v>目標達成</v>
      </c>
      <c r="I20" t="str">
        <f>IF($AA20="","",INDEX(入力!$B$9:$B$58,$AA20))</f>
        <v>北田　倫子</v>
      </c>
      <c r="J20">
        <f>IF($AA20="","",INDEX(入力!$C$9:$C$58,$AA20))</f>
        <v>1.6</v>
      </c>
      <c r="K20">
        <f>IF($AA20="","",INDEX(入力!$D$9:$D$58,$AA20))</f>
        <v>1.2</v>
      </c>
      <c r="L20">
        <f>IF($AA20="","",IF(INDEX(入力!$E$9:$E$58,$AA20)&lt;&gt;"",INDEX(入力!$E$9:$E$58,$AA20),IF(ISNUMBER(INDEX(入力!$C$9:$C$58,$AA20)),INDEX(入力!$C$9:$C$58,$AA20),INDEX(入力!$D$9:$D$58,$AA20))))</f>
        <v>2.8</v>
      </c>
      <c r="M20">
        <f>IF($AA20="","",IF(INDEX(入力!$I$9:$I$58,$AA20)&lt;&gt;"",INDEX(入力!$I$9:$I$58,$AA20),IF(ISNUMBER(INDEX(入力!$C$9:$C$58,$AA20)),INDEX(入力!$C$9:$C$58,$AA20)-入力!$B$5,INDEX(入力!$D$9:$D$58,$AA20)-入力!$C$5)))</f>
        <v>-0.40000000000000036</v>
      </c>
      <c r="N20" t="str">
        <f>IF($AA20="","",INDEX(入力!$J$9:$J$58,$AA20))</f>
        <v>良好</v>
      </c>
      <c r="O20" t="str">
        <f>IF($AA20="","",IF(INDEX(入力!$K$9:$K$58,$AA20)&lt;&gt;"",INDEX(入力!$K$9:$K$58,$AA20),IF(ISNUMBER(INDEX(入力!$C$9:$C$58,$AA20)),IF(INDEX(入力!$C$9:$C$58,$AA20)-入力!$B$5&gt;0,"ピッキング改善（梱包未入力）","良好（梱包未入力）"),IF(INDEX(入力!$D$9:$D$58,$AA20)-入力!$C$5&gt;0,"梱包改善（ピッキング未入力）","良好（ピッキング未入力）"))))</f>
        <v>目標達成</v>
      </c>
      <c r="Q20" t="str">
        <f>IF($AB20="","",INDEX(入力!$B$9:$B$58,$AB20))</f>
        <v>菊池　敬</v>
      </c>
      <c r="R20">
        <f>IF($AB20="","",INDEX(入力!$F$9:$F$58,$AB20))</f>
        <v>0.76190476190476186</v>
      </c>
      <c r="S20">
        <f>IF($AB20="","",INDEX(入力!$C$9:$C$58,$AB20))</f>
        <v>1.7</v>
      </c>
      <c r="T20">
        <f>IF($AB20="","",INDEX(入力!$D$9:$D$58,$AB20))</f>
        <v>2.5</v>
      </c>
      <c r="U20">
        <f>IF($AB20="","",INDEX(入力!$E$9:$E$58,$AB20))</f>
        <v>4.2</v>
      </c>
      <c r="V20">
        <f>IF($Z20="","",IF($B20&lt;&gt;"",$B20,IF($C20&lt;&gt;"",入力!$B$5,"")))</f>
        <v>1.2</v>
      </c>
      <c r="W20">
        <f>IF($Z20="","",IF($C20&lt;&gt;"",$C20,IF($B20&lt;&gt;"",入力!$C$5,"")))</f>
        <v>1.8</v>
      </c>
      <c r="Z20">
        <f>IFERROR(MATCH(ROW()-1,入力!$N$9:$N$58,0),"")</f>
        <v>19</v>
      </c>
      <c r="AA20">
        <f>IF(ROW()-1&gt;COUNTIF(入力!$L$9:$L$58,"&gt;-9.9E+98"),"",IFERROR(MATCH(LARGE(入力!$L$9:$L$58,ROW()-1),入力!$L$9:$L$58,0),""))</f>
        <v>18</v>
      </c>
      <c r="AB20">
        <f>IF(ROW()-1&gt;COUNTIF(入力!$M$9:$M$58,"&gt;-9.9E+98"),"",IFERROR(MATCH(LARGE(入力!$M$9:$M$58,ROW()-1),入力!$M$9:$M$58,0),""))</f>
        <v>20</v>
      </c>
      <c r="AC20">
        <f>入力!$B$5</f>
        <v>1.6</v>
      </c>
      <c r="AD20">
        <f>入力!$C$5</f>
        <v>1.6</v>
      </c>
    </row>
    <row r="21" spans="1:30" x14ac:dyDescent="0.15">
      <c r="A21" t="str">
        <f>IF($Z21="","",INDEX(入力!$B$9:$B$58,$Z21))</f>
        <v>菊池　敬</v>
      </c>
      <c r="B21">
        <f>IF($Z21="","",IF(INDEX(入力!$C$9:$C$58,$Z21)="","",INDEX(入力!$C$9:$C$58,$Z21)))</f>
        <v>1.7</v>
      </c>
      <c r="C21">
        <f>IF($Z21="","",IF(INDEX(入力!$D$9:$D$58,$Z21)="","",INDEX(入力!$D$9:$D$58,$Z21)))</f>
        <v>2.5</v>
      </c>
      <c r="D21">
        <f>IF($Z21="","",INDEX(入力!$E$9:$E$58,$Z21))</f>
        <v>4.2</v>
      </c>
      <c r="E21">
        <f>IF($Z21="","",INDEX(入力!$F$9:$F$58,$Z21))</f>
        <v>0.76190476190476186</v>
      </c>
      <c r="F21" t="str">
        <f>IF($Z21="","",INDEX(入力!$J$9:$J$58,$Z21))</f>
        <v>要改善（両方遅い）</v>
      </c>
      <c r="G21" t="str">
        <f>IF($Z21="","",INDEX(入力!$K$9:$K$58,$Z21))</f>
        <v>両工程を見直し</v>
      </c>
      <c r="I21" t="str">
        <f>IF($AA21="","",INDEX(入力!$B$9:$B$58,$AA21))</f>
        <v>晩田　恵美</v>
      </c>
      <c r="J21">
        <f>IF($AA21="","",INDEX(入力!$C$9:$C$58,$AA21))</f>
        <v>1.1000000000000001</v>
      </c>
      <c r="K21">
        <f>IF($AA21="","",INDEX(入力!$D$9:$D$58,$AA21))</f>
        <v>1.4</v>
      </c>
      <c r="L21">
        <f>IF($AA21="","",IF(INDEX(入力!$E$9:$E$58,$AA21)&lt;&gt;"",INDEX(入力!$E$9:$E$58,$AA21),IF(ISNUMBER(INDEX(入力!$C$9:$C$58,$AA21)),INDEX(入力!$C$9:$C$58,$AA21),INDEX(入力!$D$9:$D$58,$AA21))))</f>
        <v>2.5</v>
      </c>
      <c r="M21">
        <f>IF($AA21="","",IF(INDEX(入力!$I$9:$I$58,$AA21)&lt;&gt;"",INDEX(入力!$I$9:$I$58,$AA21),IF(ISNUMBER(INDEX(入力!$C$9:$C$58,$AA21)),INDEX(入力!$C$9:$C$58,$AA21)-入力!$B$5,INDEX(入力!$D$9:$D$58,$AA21)-入力!$C$5)))</f>
        <v>-0.70000000000000018</v>
      </c>
      <c r="N21" t="str">
        <f>IF($AA21="","",INDEX(入力!$J$9:$J$58,$AA21))</f>
        <v>良好</v>
      </c>
      <c r="O21" t="str">
        <f>IF($AA21="","",IF(INDEX(入力!$K$9:$K$58,$AA21)&lt;&gt;"",INDEX(入力!$K$9:$K$58,$AA21),IF(ISNUMBER(INDEX(入力!$C$9:$C$58,$AA21)),IF(INDEX(入力!$C$9:$C$58,$AA21)-入力!$B$5&gt;0,"ピッキング改善（梱包未入力）","良好（梱包未入力）"),IF(INDEX(入力!$D$9:$D$58,$AA21)-入力!$C$5&gt;0,"梱包改善（ピッキング未入力）","良好（ピッキング未入力）"))))</f>
        <v>良好</v>
      </c>
      <c r="Q21" t="str">
        <f>IF($AB21="","",INDEX(入力!$B$9:$B$58,$AB21))</f>
        <v/>
      </c>
      <c r="R21" t="str">
        <f>IF($AB21="","",INDEX(入力!$F$9:$F$58,$AB21))</f>
        <v/>
      </c>
      <c r="S21" t="str">
        <f>IF($AB21="","",INDEX(入力!$C$9:$C$58,$AB21))</f>
        <v/>
      </c>
      <c r="T21" t="str">
        <f>IF($AB21="","",INDEX(入力!$D$9:$D$58,$AB21))</f>
        <v/>
      </c>
      <c r="U21" t="str">
        <f>IF($AB21="","",INDEX(入力!$E$9:$E$58,$AB21))</f>
        <v/>
      </c>
      <c r="V21">
        <f>IF($Z21="","",IF($B21&lt;&gt;"",$B21,IF($C21&lt;&gt;"",入力!$B$5,"")))</f>
        <v>1.7</v>
      </c>
      <c r="W21">
        <f>IF($Z21="","",IF($C21&lt;&gt;"",$C21,IF($B21&lt;&gt;"",入力!$C$5,"")))</f>
        <v>2.5</v>
      </c>
      <c r="Z21">
        <f>IFERROR(MATCH(ROW()-1,入力!$N$9:$N$58,0),"")</f>
        <v>20</v>
      </c>
      <c r="AA21">
        <f>IF(ROW()-1&gt;COUNTIF(入力!$L$9:$L$58,"&gt;-9.9E+98"),"",IFERROR(MATCH(LARGE(入力!$L$9:$L$58,ROW()-1),入力!$L$9:$L$58,0),""))</f>
        <v>13</v>
      </c>
      <c r="AB21" t="str">
        <f>IF(ROW()-1&gt;COUNTIF(入力!$M$9:$M$58,"&gt;-9.9E+98"),"",IFERROR(MATCH(LARGE(入力!$M$9:$M$58,ROW()-1),入力!$M$9:$M$58,0),""))</f>
        <v/>
      </c>
      <c r="AC21">
        <f>入力!$B$5</f>
        <v>1.6</v>
      </c>
      <c r="AD21">
        <f>入力!$C$5</f>
        <v>1.6</v>
      </c>
    </row>
    <row r="22" spans="1:30" x14ac:dyDescent="0.15">
      <c r="A22" t="str">
        <f>IF($Z22="","",INDEX(入力!$B$9:$B$58,$Z22))</f>
        <v>上村　和恵</v>
      </c>
      <c r="B22">
        <f>IF($Z22="","",IF(INDEX(入力!$C$9:$C$58,$Z22)="","",INDEX(入力!$C$9:$C$58,$Z22)))</f>
        <v>1.8</v>
      </c>
      <c r="C22" t="str">
        <f>IF($Z22="","",IF(INDEX(入力!$D$9:$D$58,$Z22)="","",INDEX(入力!$D$9:$D$58,$Z22)))</f>
        <v/>
      </c>
      <c r="D22" t="str">
        <f>IF($Z22="","",INDEX(入力!$E$9:$E$58,$Z22))</f>
        <v/>
      </c>
      <c r="E22" t="str">
        <f>IF($Z22="","",INDEX(入力!$F$9:$F$58,$Z22))</f>
        <v/>
      </c>
      <c r="F22" t="str">
        <f>IF($Z22="","",INDEX(入力!$J$9:$J$58,$Z22))</f>
        <v/>
      </c>
      <c r="G22" t="str">
        <f>IF($Z22="","",INDEX(入力!$K$9:$K$58,$Z22))</f>
        <v/>
      </c>
      <c r="I22" t="str">
        <f>IF($AA22="","",INDEX(入力!$B$9:$B$58,$AA22))</f>
        <v>大江　美記子</v>
      </c>
      <c r="J22">
        <f>IF($AA22="","",INDEX(入力!$C$9:$C$58,$AA22))</f>
        <v>1.2</v>
      </c>
      <c r="K22">
        <f>IF($AA22="","",INDEX(入力!$D$9:$D$58,$AA22))</f>
        <v>1.2</v>
      </c>
      <c r="L22">
        <f>IF($AA22="","",IF(INDEX(入力!$E$9:$E$58,$AA22)&lt;&gt;"",INDEX(入力!$E$9:$E$58,$AA22),IF(ISNUMBER(INDEX(入力!$C$9:$C$58,$AA22)),INDEX(入力!$C$9:$C$58,$AA22),INDEX(入力!$D$9:$D$58,$AA22))))</f>
        <v>2.4</v>
      </c>
      <c r="M22">
        <f>IF($AA22="","",IF(INDEX(入力!$I$9:$I$58,$AA22)&lt;&gt;"",INDEX(入力!$I$9:$I$58,$AA22),IF(ISNUMBER(INDEX(入力!$C$9:$C$58,$AA22)),INDEX(入力!$C$9:$C$58,$AA22)-入力!$B$5,INDEX(入力!$D$9:$D$58,$AA22)-入力!$C$5)))</f>
        <v>-0.80000000000000027</v>
      </c>
      <c r="N22" t="str">
        <f>IF($AA22="","",INDEX(入力!$J$9:$J$58,$AA22))</f>
        <v>良好</v>
      </c>
      <c r="O22" t="str">
        <f>IF($AA22="","",IF(INDEX(入力!$K$9:$K$58,$AA22)&lt;&gt;"",INDEX(入力!$K$9:$K$58,$AA22),IF(ISNUMBER(INDEX(入力!$C$9:$C$58,$AA22)),IF(INDEX(入力!$C$9:$C$58,$AA22)-入力!$B$5&gt;0,"ピッキング改善（梱包未入力）","良好（梱包未入力）"),IF(INDEX(入力!$D$9:$D$58,$AA22)-入力!$C$5&gt;0,"梱包改善（ピッキング未入力）","良好（ピッキング未入力）"))))</f>
        <v>良好</v>
      </c>
      <c r="Q22" t="str">
        <f>IF($AB22="","",INDEX(入力!$B$9:$B$58,$AB22))</f>
        <v/>
      </c>
      <c r="R22" t="str">
        <f>IF($AB22="","",INDEX(入力!$F$9:$F$58,$AB22))</f>
        <v/>
      </c>
      <c r="S22" t="str">
        <f>IF($AB22="","",INDEX(入力!$C$9:$C$58,$AB22))</f>
        <v/>
      </c>
      <c r="T22" t="str">
        <f>IF($AB22="","",INDEX(入力!$D$9:$D$58,$AB22))</f>
        <v/>
      </c>
      <c r="U22" t="str">
        <f>IF($AB22="","",INDEX(入力!$E$9:$E$58,$AB22))</f>
        <v/>
      </c>
      <c r="V22">
        <f>IF($Z22="","",IF($B22&lt;&gt;"",$B22,IF($C22&lt;&gt;"",入力!$B$5,"")))</f>
        <v>1.8</v>
      </c>
      <c r="W22">
        <f>IF($Z22="","",IF($C22&lt;&gt;"",$C22,IF($B22&lt;&gt;"",入力!$C$5,"")))</f>
        <v>1.6</v>
      </c>
      <c r="Z22">
        <f>IFERROR(MATCH(ROW()-1,入力!$N$9:$N$58,0),"")</f>
        <v>21</v>
      </c>
      <c r="AA22">
        <f>IF(ROW()-1&gt;COUNTIF(入力!$L$9:$L$58,"&gt;-9.9E+98"),"",IFERROR(MATCH(LARGE(入力!$L$9:$L$58,ROW()-1),入力!$L$9:$L$58,0),""))</f>
        <v>11</v>
      </c>
      <c r="AB22" t="str">
        <f>IF(ROW()-1&gt;COUNTIF(入力!$M$9:$M$58,"&gt;-9.9E+98"),"",IFERROR(MATCH(LARGE(入力!$M$9:$M$58,ROW()-1),入力!$M$9:$M$58,0),""))</f>
        <v/>
      </c>
      <c r="AC22">
        <f>入力!$B$5</f>
        <v>1.6</v>
      </c>
      <c r="AD22">
        <f>入力!$C$5</f>
        <v>1.6</v>
      </c>
    </row>
    <row r="23" spans="1:30" x14ac:dyDescent="0.15">
      <c r="A23" t="str">
        <f>IF($Z23="","",INDEX(入力!$B$9:$B$58,$Z23))</f>
        <v>秋草　文恵</v>
      </c>
      <c r="B23">
        <f>IF($Z23="","",IF(INDEX(入力!$C$9:$C$58,$Z23)="","",INDEX(入力!$C$9:$C$58,$Z23)))</f>
        <v>1.8</v>
      </c>
      <c r="C23" t="str">
        <f>IF($Z23="","",IF(INDEX(入力!$D$9:$D$58,$Z23)="","",INDEX(入力!$D$9:$D$58,$Z23)))</f>
        <v/>
      </c>
      <c r="D23" t="str">
        <f>IF($Z23="","",INDEX(入力!$E$9:$E$58,$Z23))</f>
        <v/>
      </c>
      <c r="E23" t="str">
        <f>IF($Z23="","",INDEX(入力!$F$9:$F$58,$Z23))</f>
        <v/>
      </c>
      <c r="F23" t="str">
        <f>IF($Z23="","",INDEX(入力!$J$9:$J$58,$Z23))</f>
        <v/>
      </c>
      <c r="G23" t="str">
        <f>IF($Z23="","",INDEX(入力!$K$9:$K$58,$Z23))</f>
        <v/>
      </c>
      <c r="I23" t="str">
        <f>IF($AA23="","",INDEX(入力!$B$9:$B$58,$AA23))</f>
        <v>佐々木　千恵</v>
      </c>
      <c r="J23">
        <f>IF($AA23="","",INDEX(入力!$C$9:$C$58,$AA23))</f>
        <v>1.7</v>
      </c>
      <c r="K23">
        <f>IF($AA23="","",INDEX(入力!$D$9:$D$58,$AA23))</f>
        <v>0.6</v>
      </c>
      <c r="L23">
        <f>IF($AA23="","",IF(INDEX(入力!$E$9:$E$58,$AA23)&lt;&gt;"",INDEX(入力!$E$9:$E$58,$AA23),IF(ISNUMBER(INDEX(入力!$C$9:$C$58,$AA23)),INDEX(入力!$C$9:$C$58,$AA23),INDEX(入力!$D$9:$D$58,$AA23))))</f>
        <v>2.2999999999999998</v>
      </c>
      <c r="M23">
        <f>IF($AA23="","",IF(INDEX(入力!$I$9:$I$58,$AA23)&lt;&gt;"",INDEX(入力!$I$9:$I$58,$AA23),IF(ISNUMBER(INDEX(入力!$C$9:$C$58,$AA23)),INDEX(入力!$C$9:$C$58,$AA23)-入力!$B$5,INDEX(入力!$D$9:$D$58,$AA23)-入力!$C$5)))</f>
        <v>-0.90000000000000036</v>
      </c>
      <c r="N23" t="str">
        <f>IF($AA23="","",INDEX(入力!$J$9:$J$58,$AA23))</f>
        <v>ピッキング改善</v>
      </c>
      <c r="O23" t="str">
        <f>IF($AA23="","",IF(INDEX(入力!$K$9:$K$58,$AA23)&lt;&gt;"",INDEX(入力!$K$9:$K$58,$AA23),IF(ISNUMBER(INDEX(入力!$C$9:$C$58,$AA23)),IF(INDEX(入力!$C$9:$C$58,$AA23)-入力!$B$5&gt;0,"ピッキング改善（梱包未入力）","良好（梱包未入力）"),IF(INDEX(入力!$D$9:$D$58,$AA23)-入力!$C$5&gt;0,"梱包改善（ピッキング未入力）","良好（ピッキング未入力）"))))</f>
        <v>目標達成</v>
      </c>
      <c r="Q23" t="str">
        <f>IF($AB23="","",INDEX(入力!$B$9:$B$58,$AB23))</f>
        <v/>
      </c>
      <c r="R23" t="str">
        <f>IF($AB23="","",INDEX(入力!$F$9:$F$58,$AB23))</f>
        <v/>
      </c>
      <c r="S23" t="str">
        <f>IF($AB23="","",INDEX(入力!$C$9:$C$58,$AB23))</f>
        <v/>
      </c>
      <c r="T23" t="str">
        <f>IF($AB23="","",INDEX(入力!$D$9:$D$58,$AB23))</f>
        <v/>
      </c>
      <c r="U23" t="str">
        <f>IF($AB23="","",INDEX(入力!$E$9:$E$58,$AB23))</f>
        <v/>
      </c>
      <c r="V23">
        <f>IF($Z23="","",IF($B23&lt;&gt;"",$B23,IF($C23&lt;&gt;"",入力!$B$5,"")))</f>
        <v>1.8</v>
      </c>
      <c r="W23">
        <f>IF($Z23="","",IF($C23&lt;&gt;"",$C23,IF($B23&lt;&gt;"",入力!$C$5,"")))</f>
        <v>1.6</v>
      </c>
      <c r="Z23">
        <f>IFERROR(MATCH(ROW()-1,入力!$N$9:$N$58,0),"")</f>
        <v>22</v>
      </c>
      <c r="AA23">
        <f>IF(ROW()-1&gt;COUNTIF(入力!$L$9:$L$58,"&gt;-9.9E+98"),"",IFERROR(MATCH(LARGE(入力!$L$9:$L$58,ROW()-1),入力!$L$9:$L$58,0),""))</f>
        <v>5</v>
      </c>
      <c r="AB23" t="str">
        <f>IF(ROW()-1&gt;COUNTIF(入力!$M$9:$M$58,"&gt;-9.9E+98"),"",IFERROR(MATCH(LARGE(入力!$M$9:$M$58,ROW()-1),入力!$M$9:$M$58,0),""))</f>
        <v/>
      </c>
      <c r="AC23">
        <f>入力!$B$5</f>
        <v>1.6</v>
      </c>
      <c r="AD23">
        <f>入力!$C$5</f>
        <v>1.6</v>
      </c>
    </row>
    <row r="24" spans="1:30" x14ac:dyDescent="0.15">
      <c r="A24" t="str">
        <f>IF($Z24="","",INDEX(入力!$B$9:$B$58,$Z24))</f>
        <v>向井　ひかり</v>
      </c>
      <c r="B24">
        <f>IF($Z24="","",IF(INDEX(入力!$C$9:$C$58,$Z24)="","",INDEX(入力!$C$9:$C$58,$Z24)))</f>
        <v>1.5</v>
      </c>
      <c r="C24" t="str">
        <f>IF($Z24="","",IF(INDEX(入力!$D$9:$D$58,$Z24)="","",INDEX(入力!$D$9:$D$58,$Z24)))</f>
        <v/>
      </c>
      <c r="D24" t="str">
        <f>IF($Z24="","",INDEX(入力!$E$9:$E$58,$Z24))</f>
        <v/>
      </c>
      <c r="E24" t="str">
        <f>IF($Z24="","",INDEX(入力!$F$9:$F$58,$Z24))</f>
        <v/>
      </c>
      <c r="F24" t="str">
        <f>IF($Z24="","",INDEX(入力!$J$9:$J$58,$Z24))</f>
        <v/>
      </c>
      <c r="G24" t="str">
        <f>IF($Z24="","",INDEX(入力!$K$9:$K$58,$Z24))</f>
        <v/>
      </c>
      <c r="I24" t="str">
        <f>IF($AA24="","",INDEX(入力!$B$9:$B$58,$AA24))</f>
        <v>河野　忠</v>
      </c>
      <c r="J24">
        <f>IF($AA24="","",INDEX(入力!$C$9:$C$58,$AA24))</f>
        <v>1.2</v>
      </c>
      <c r="K24">
        <f>IF($AA24="","",INDEX(入力!$D$9:$D$58,$AA24))</f>
        <v>1</v>
      </c>
      <c r="L24">
        <f>IF($AA24="","",IF(INDEX(入力!$E$9:$E$58,$AA24)&lt;&gt;"",INDEX(入力!$E$9:$E$58,$AA24),IF(ISNUMBER(INDEX(入力!$C$9:$C$58,$AA24)),INDEX(入力!$C$9:$C$58,$AA24),INDEX(入力!$D$9:$D$58,$AA24))))</f>
        <v>2.2000000000000002</v>
      </c>
      <c r="M24">
        <f>IF($AA24="","",IF(INDEX(入力!$I$9:$I$58,$AA24)&lt;&gt;"",INDEX(入力!$I$9:$I$58,$AA24),IF(ISNUMBER(INDEX(入力!$C$9:$C$58,$AA24)),INDEX(入力!$C$9:$C$58,$AA24)-入力!$B$5,INDEX(入力!$D$9:$D$58,$AA24)-入力!$C$5)))</f>
        <v>-1</v>
      </c>
      <c r="N24" t="str">
        <f>IF($AA24="","",INDEX(入力!$J$9:$J$58,$AA24))</f>
        <v>良好</v>
      </c>
      <c r="O24" t="str">
        <f>IF($AA24="","",IF(INDEX(入力!$K$9:$K$58,$AA24)&lt;&gt;"",INDEX(入力!$K$9:$K$58,$AA24),IF(ISNUMBER(INDEX(入力!$C$9:$C$58,$AA24)),IF(INDEX(入力!$C$9:$C$58,$AA24)-入力!$B$5&gt;0,"ピッキング改善（梱包未入力）","良好（梱包未入力）"),IF(INDEX(入力!$D$9:$D$58,$AA24)-入力!$C$5&gt;0,"梱包改善（ピッキング未入力）","良好（ピッキング未入力）"))))</f>
        <v>良好</v>
      </c>
      <c r="Q24" t="str">
        <f>IF($AB24="","",INDEX(入力!$B$9:$B$58,$AB24))</f>
        <v/>
      </c>
      <c r="R24" t="str">
        <f>IF($AB24="","",INDEX(入力!$F$9:$F$58,$AB24))</f>
        <v/>
      </c>
      <c r="S24" t="str">
        <f>IF($AB24="","",INDEX(入力!$C$9:$C$58,$AB24))</f>
        <v/>
      </c>
      <c r="T24" t="str">
        <f>IF($AB24="","",INDEX(入力!$D$9:$D$58,$AB24))</f>
        <v/>
      </c>
      <c r="U24" t="str">
        <f>IF($AB24="","",INDEX(入力!$E$9:$E$58,$AB24))</f>
        <v/>
      </c>
      <c r="V24">
        <f>IF($Z24="","",IF($B24&lt;&gt;"",$B24,IF($C24&lt;&gt;"",入力!$B$5,"")))</f>
        <v>1.5</v>
      </c>
      <c r="W24">
        <f>IF($Z24="","",IF($C24&lt;&gt;"",$C24,IF($B24&lt;&gt;"",入力!$C$5,"")))</f>
        <v>1.6</v>
      </c>
      <c r="Z24">
        <f>IFERROR(MATCH(ROW()-1,入力!$N$9:$N$58,0),"")</f>
        <v>23</v>
      </c>
      <c r="AA24">
        <f>IF(ROW()-1&gt;COUNTIF(入力!$L$9:$L$58,"&gt;-9.9E+98"),"",IFERROR(MATCH(LARGE(入力!$L$9:$L$58,ROW()-1),入力!$L$9:$L$58,0),""))</f>
        <v>2</v>
      </c>
      <c r="AB24" t="str">
        <f>IF(ROW()-1&gt;COUNTIF(入力!$M$9:$M$58,"&gt;-9.9E+98"),"",IFERROR(MATCH(LARGE(入力!$M$9:$M$58,ROW()-1),入力!$M$9:$M$58,0),""))</f>
        <v/>
      </c>
      <c r="AC24">
        <f>入力!$B$5</f>
        <v>1.6</v>
      </c>
      <c r="AD24">
        <f>入力!$C$5</f>
        <v>1.6</v>
      </c>
    </row>
    <row r="25" spans="1:30" x14ac:dyDescent="0.15">
      <c r="A25" t="str">
        <f>IF($Z25="","",INDEX(入力!$B$9:$B$58,$Z25))</f>
        <v>高橋　正美</v>
      </c>
      <c r="B25">
        <f>IF($Z25="","",IF(INDEX(入力!$C$9:$C$58,$Z25)="","",INDEX(入力!$C$9:$C$58,$Z25)))</f>
        <v>1.9</v>
      </c>
      <c r="C25" t="str">
        <f>IF($Z25="","",IF(INDEX(入力!$D$9:$D$58,$Z25)="","",INDEX(入力!$D$9:$D$58,$Z25)))</f>
        <v/>
      </c>
      <c r="D25" t="str">
        <f>IF($Z25="","",INDEX(入力!$E$9:$E$58,$Z25))</f>
        <v/>
      </c>
      <c r="E25" t="str">
        <f>IF($Z25="","",INDEX(入力!$F$9:$F$58,$Z25))</f>
        <v/>
      </c>
      <c r="F25" t="str">
        <f>IF($Z25="","",INDEX(入力!$J$9:$J$58,$Z25))</f>
        <v/>
      </c>
      <c r="G25" t="str">
        <f>IF($Z25="","",INDEX(入力!$K$9:$K$58,$Z25))</f>
        <v/>
      </c>
      <c r="I25" t="str">
        <f>IF($AA25="","",INDEX(入力!$B$9:$B$58,$AA25))</f>
        <v>本吉　有美子</v>
      </c>
      <c r="J25">
        <f>IF($AA25="","",INDEX(入力!$C$9:$C$58,$AA25))</f>
        <v>1.1000000000000001</v>
      </c>
      <c r="K25">
        <f>IF($AA25="","",INDEX(入力!$D$9:$D$58,$AA25))</f>
        <v>1</v>
      </c>
      <c r="L25">
        <f>IF($AA25="","",IF(INDEX(入力!$E$9:$E$58,$AA25)&lt;&gt;"",INDEX(入力!$E$9:$E$58,$AA25),IF(ISNUMBER(INDEX(入力!$C$9:$C$58,$AA25)),INDEX(入力!$C$9:$C$58,$AA25),INDEX(入力!$D$9:$D$58,$AA25))))</f>
        <v>2.1</v>
      </c>
      <c r="M25">
        <f>IF($AA25="","",IF(INDEX(入力!$I$9:$I$58,$AA25)&lt;&gt;"",INDEX(入力!$I$9:$I$58,$AA25),IF(ISNUMBER(INDEX(入力!$C$9:$C$58,$AA25)),INDEX(入力!$C$9:$C$58,$AA25)-入力!$B$5,INDEX(入力!$D$9:$D$58,$AA25)-入力!$C$5)))</f>
        <v>-1.1000000000000001</v>
      </c>
      <c r="N25" t="str">
        <f>IF($AA25="","",INDEX(入力!$J$9:$J$58,$AA25))</f>
        <v>良好</v>
      </c>
      <c r="O25" t="str">
        <f>IF($AA25="","",IF(INDEX(入力!$K$9:$K$58,$AA25)&lt;&gt;"",INDEX(入力!$K$9:$K$58,$AA25),IF(ISNUMBER(INDEX(入力!$C$9:$C$58,$AA25)),IF(INDEX(入力!$C$9:$C$58,$AA25)-入力!$B$5&gt;0,"ピッキング改善（梱包未入力）","良好（梱包未入力）"),IF(INDEX(入力!$D$9:$D$58,$AA25)-入力!$C$5&gt;0,"梱包改善（ピッキング未入力）","良好（ピッキング未入力）"))))</f>
        <v>良好</v>
      </c>
      <c r="Q25" t="str">
        <f>IF($AB25="","",INDEX(入力!$B$9:$B$58,$AB25))</f>
        <v/>
      </c>
      <c r="R25" t="str">
        <f>IF($AB25="","",INDEX(入力!$F$9:$F$58,$AB25))</f>
        <v/>
      </c>
      <c r="S25" t="str">
        <f>IF($AB25="","",INDEX(入力!$C$9:$C$58,$AB25))</f>
        <v/>
      </c>
      <c r="T25" t="str">
        <f>IF($AB25="","",INDEX(入力!$D$9:$D$58,$AB25))</f>
        <v/>
      </c>
      <c r="U25" t="str">
        <f>IF($AB25="","",INDEX(入力!$E$9:$E$58,$AB25))</f>
        <v/>
      </c>
      <c r="V25">
        <f>IF($Z25="","",IF($B25&lt;&gt;"",$B25,IF($C25&lt;&gt;"",入力!$B$5,"")))</f>
        <v>1.9</v>
      </c>
      <c r="W25">
        <f>IF($Z25="","",IF($C25&lt;&gt;"",$C25,IF($B25&lt;&gt;"",入力!$C$5,"")))</f>
        <v>1.6</v>
      </c>
      <c r="Z25">
        <f>IFERROR(MATCH(ROW()-1,入力!$N$9:$N$58,0),"")</f>
        <v>24</v>
      </c>
      <c r="AA25">
        <f>IF(ROW()-1&gt;COUNTIF(入力!$L$9:$L$58,"&gt;-9.9E+98"),"",IFERROR(MATCH(LARGE(入力!$L$9:$L$58,ROW()-1),入力!$L$9:$L$58,0),""))</f>
        <v>9</v>
      </c>
      <c r="AB25" t="str">
        <f>IF(ROW()-1&gt;COUNTIF(入力!$M$9:$M$58,"&gt;-9.9E+98"),"",IFERROR(MATCH(LARGE(入力!$M$9:$M$58,ROW()-1),入力!$M$9:$M$58,0),""))</f>
        <v/>
      </c>
      <c r="AC25">
        <f>入力!$B$5</f>
        <v>1.6</v>
      </c>
      <c r="AD25">
        <f>入力!$C$5</f>
        <v>1.6</v>
      </c>
    </row>
    <row r="26" spans="1:30" x14ac:dyDescent="0.15">
      <c r="A26" t="str">
        <f>IF($Z26="","",INDEX(入力!$B$9:$B$58,$Z26))</f>
        <v>廣瀬　こずえ</v>
      </c>
      <c r="B26">
        <f>IF($Z26="","",IF(INDEX(入力!$C$9:$C$58,$Z26)="","",INDEX(入力!$C$9:$C$58,$Z26)))</f>
        <v>2</v>
      </c>
      <c r="C26" t="str">
        <f>IF($Z26="","",IF(INDEX(入力!$D$9:$D$58,$Z26)="","",INDEX(入力!$D$9:$D$58,$Z26)))</f>
        <v/>
      </c>
      <c r="D26" t="str">
        <f>IF($Z26="","",INDEX(入力!$E$9:$E$58,$Z26))</f>
        <v/>
      </c>
      <c r="E26" t="str">
        <f>IF($Z26="","",INDEX(入力!$F$9:$F$58,$Z26))</f>
        <v/>
      </c>
      <c r="F26" t="str">
        <f>IF($Z26="","",INDEX(入力!$J$9:$J$58,$Z26))</f>
        <v/>
      </c>
      <c r="G26" t="str">
        <f>IF($Z26="","",INDEX(入力!$K$9:$K$58,$Z26))</f>
        <v/>
      </c>
      <c r="I26" t="str">
        <f>IF($AA26="","",INDEX(入力!$B$9:$B$58,$AA26))</f>
        <v>佐藤　辰成</v>
      </c>
      <c r="J26">
        <f>IF($AA26="","",INDEX(入力!$C$9:$C$58,$AA26))</f>
        <v>1</v>
      </c>
      <c r="K26">
        <f>IF($AA26="","",INDEX(入力!$D$9:$D$58,$AA26))</f>
        <v>0.5</v>
      </c>
      <c r="L26">
        <f>IF($AA26="","",IF(INDEX(入力!$E$9:$E$58,$AA26)&lt;&gt;"",INDEX(入力!$E$9:$E$58,$AA26),IF(ISNUMBER(INDEX(入力!$C$9:$C$58,$AA26)),INDEX(入力!$C$9:$C$58,$AA26),INDEX(入力!$D$9:$D$58,$AA26))))</f>
        <v>1.5</v>
      </c>
      <c r="M26">
        <f>IF($AA26="","",IF(INDEX(入力!$I$9:$I$58,$AA26)&lt;&gt;"",INDEX(入力!$I$9:$I$58,$AA26),IF(ISNUMBER(INDEX(入力!$C$9:$C$58,$AA26)),INDEX(入力!$C$9:$C$58,$AA26)-入力!$B$5,INDEX(入力!$D$9:$D$58,$AA26)-入力!$C$5)))</f>
        <v>-1.7000000000000002</v>
      </c>
      <c r="N26" t="str">
        <f>IF($AA26="","",INDEX(入力!$J$9:$J$58,$AA26))</f>
        <v>良好</v>
      </c>
      <c r="O26" t="str">
        <f>IF($AA26="","",IF(INDEX(入力!$K$9:$K$58,$AA26)&lt;&gt;"",INDEX(入力!$K$9:$K$58,$AA26),IF(ISNUMBER(INDEX(入力!$C$9:$C$58,$AA26)),IF(INDEX(入力!$C$9:$C$58,$AA26)-入力!$B$5&gt;0,"ピッキング改善（梱包未入力）","良好（梱包未入力）"),IF(INDEX(入力!$D$9:$D$58,$AA26)-入力!$C$5&gt;0,"梱包改善（ピッキング未入力）","良好（ピッキング未入力）"))))</f>
        <v>良好</v>
      </c>
      <c r="Q26" t="str">
        <f>IF($AB26="","",INDEX(入力!$B$9:$B$58,$AB26))</f>
        <v/>
      </c>
      <c r="R26" t="str">
        <f>IF($AB26="","",INDEX(入力!$F$9:$F$58,$AB26))</f>
        <v/>
      </c>
      <c r="S26" t="str">
        <f>IF($AB26="","",INDEX(入力!$C$9:$C$58,$AB26))</f>
        <v/>
      </c>
      <c r="T26" t="str">
        <f>IF($AB26="","",INDEX(入力!$D$9:$D$58,$AB26))</f>
        <v/>
      </c>
      <c r="U26" t="str">
        <f>IF($AB26="","",INDEX(入力!$E$9:$E$58,$AB26))</f>
        <v/>
      </c>
      <c r="V26">
        <f>IF($Z26="","",IF($B26&lt;&gt;"",$B26,IF($C26&lt;&gt;"",入力!$B$5,"")))</f>
        <v>2</v>
      </c>
      <c r="W26">
        <f>IF($Z26="","",IF($C26&lt;&gt;"",$C26,IF($B26&lt;&gt;"",入力!$C$5,"")))</f>
        <v>1.6</v>
      </c>
      <c r="Z26">
        <f>IFERROR(MATCH(ROW()-1,入力!$N$9:$N$58,0),"")</f>
        <v>25</v>
      </c>
      <c r="AA26">
        <f>IF(ROW()-1&gt;COUNTIF(入力!$L$9:$L$58,"&gt;-9.9E+98"),"",IFERROR(MATCH(LARGE(入力!$L$9:$L$58,ROW()-1),入力!$L$9:$L$58,0),""))</f>
        <v>1</v>
      </c>
      <c r="AB26" t="str">
        <f>IF(ROW()-1&gt;COUNTIF(入力!$M$9:$M$58,"&gt;-9.9E+98"),"",IFERROR(MATCH(LARGE(入力!$M$9:$M$58,ROW()-1),入力!$M$9:$M$58,0),""))</f>
        <v/>
      </c>
      <c r="AC26">
        <f>入力!$B$5</f>
        <v>1.6</v>
      </c>
      <c r="AD26">
        <f>入力!$C$5</f>
        <v>1.6</v>
      </c>
    </row>
    <row r="27" spans="1:30" x14ac:dyDescent="0.15">
      <c r="A27" t="str">
        <f>IF($Z27="","",INDEX(入力!$B$9:$B$58,$Z27))</f>
        <v>石戸谷　亜子</v>
      </c>
      <c r="B27">
        <f>IF($Z27="","",IF(INDEX(入力!$C$9:$C$58,$Z27)="","",INDEX(入力!$C$9:$C$58,$Z27)))</f>
        <v>1.3</v>
      </c>
      <c r="C27" t="str">
        <f>IF($Z27="","",IF(INDEX(入力!$D$9:$D$58,$Z27)="","",INDEX(入力!$D$9:$D$58,$Z27)))</f>
        <v/>
      </c>
      <c r="D27" t="str">
        <f>IF($Z27="","",INDEX(入力!$E$9:$E$58,$Z27))</f>
        <v/>
      </c>
      <c r="E27" t="str">
        <f>IF($Z27="","",INDEX(入力!$F$9:$F$58,$Z27))</f>
        <v/>
      </c>
      <c r="F27" t="str">
        <f>IF($Z27="","",INDEX(入力!$J$9:$J$58,$Z27))</f>
        <v/>
      </c>
      <c r="G27" t="str">
        <f>IF($Z27="","",INDEX(入力!$K$9:$K$58,$Z27))</f>
        <v/>
      </c>
      <c r="I27" t="str">
        <f>IF($AA27="","",INDEX(入力!$B$9:$B$58,$AA27))</f>
        <v/>
      </c>
      <c r="J27" t="str">
        <f>IF($AA27="","",INDEX(入力!$C$9:$C$58,$AA27))</f>
        <v/>
      </c>
      <c r="K27" t="str">
        <f>IF($AA27="","",INDEX(入力!$D$9:$D$58,$AA27))</f>
        <v/>
      </c>
      <c r="L27" t="str">
        <f>IF($AA27="","",IF(INDEX(入力!$E$9:$E$58,$AA27)&lt;&gt;"",INDEX(入力!$E$9:$E$58,$AA27),IF(ISNUMBER(INDEX(入力!$C$9:$C$58,$AA27)),INDEX(入力!$C$9:$C$58,$AA27),INDEX(入力!$D$9:$D$58,$AA27))))</f>
        <v/>
      </c>
      <c r="M27" t="str">
        <f>IF($AA27="","",IF(INDEX(入力!$I$9:$I$58,$AA27)&lt;&gt;"",INDEX(入力!$I$9:$I$58,$AA27),IF(ISNUMBER(INDEX(入力!$C$9:$C$58,$AA27)),INDEX(入力!$C$9:$C$58,$AA27)-入力!$B$5,INDEX(入力!$D$9:$D$58,$AA27)-入力!$C$5)))</f>
        <v/>
      </c>
      <c r="N27" t="str">
        <f>IF($AA27="","",INDEX(入力!$J$9:$J$58,$AA27))</f>
        <v/>
      </c>
      <c r="O27" t="str">
        <f>IF($AA27="","",IF(INDEX(入力!$K$9:$K$58,$AA27)&lt;&gt;"",INDEX(入力!$K$9:$K$58,$AA27),IF(ISNUMBER(INDEX(入力!$C$9:$C$58,$AA27)),IF(INDEX(入力!$C$9:$C$58,$AA27)-入力!$B$5&gt;0,"ピッキング改善（梱包未入力）","良好（梱包未入力）"),IF(INDEX(入力!$D$9:$D$58,$AA27)-入力!$C$5&gt;0,"梱包改善（ピッキング未入力）","良好（ピッキング未入力）"))))</f>
        <v/>
      </c>
      <c r="Q27" t="str">
        <f>IF($AB27="","",INDEX(入力!$B$9:$B$58,$AB27))</f>
        <v/>
      </c>
      <c r="R27" t="str">
        <f>IF($AB27="","",INDEX(入力!$F$9:$F$58,$AB27))</f>
        <v/>
      </c>
      <c r="S27" t="str">
        <f>IF($AB27="","",INDEX(入力!$C$9:$C$58,$AB27))</f>
        <v/>
      </c>
      <c r="T27" t="str">
        <f>IF($AB27="","",INDEX(入力!$D$9:$D$58,$AB27))</f>
        <v/>
      </c>
      <c r="U27" t="str">
        <f>IF($AB27="","",INDEX(入力!$E$9:$E$58,$AB27))</f>
        <v/>
      </c>
      <c r="V27">
        <f>IF($Z27="","",IF($B27&lt;&gt;"",$B27,IF($C27&lt;&gt;"",入力!$B$5,"")))</f>
        <v>1.3</v>
      </c>
      <c r="W27">
        <f>IF($Z27="","",IF($C27&lt;&gt;"",$C27,IF($B27&lt;&gt;"",入力!$C$5,"")))</f>
        <v>1.6</v>
      </c>
      <c r="Z27">
        <f>IFERROR(MATCH(ROW()-1,入力!$N$9:$N$58,0),"")</f>
        <v>26</v>
      </c>
      <c r="AA27" t="str">
        <f>IF(ROW()-1&gt;COUNTIF(入力!$L$9:$L$58,"&gt;-9.9E+98"),"",IFERROR(MATCH(LARGE(入力!$L$9:$L$58,ROW()-1),入力!$L$9:$L$58,0),""))</f>
        <v/>
      </c>
      <c r="AB27" t="str">
        <f>IF(ROW()-1&gt;COUNTIF(入力!$M$9:$M$58,"&gt;-9.9E+98"),"",IFERROR(MATCH(LARGE(入力!$M$9:$M$58,ROW()-1),入力!$M$9:$M$58,0),""))</f>
        <v/>
      </c>
      <c r="AC27">
        <f>入力!$B$5</f>
        <v>1.6</v>
      </c>
      <c r="AD27">
        <f>入力!$C$5</f>
        <v>1.6</v>
      </c>
    </row>
    <row r="28" spans="1:30" x14ac:dyDescent="0.15">
      <c r="A28" t="str">
        <f>IF($Z28="","",INDEX(入力!$B$9:$B$58,$Z28))</f>
        <v>奥野　愛海</v>
      </c>
      <c r="B28" t="str">
        <f>IF($Z28="","",IF(INDEX(入力!$C$9:$C$58,$Z28)="","",INDEX(入力!$C$9:$C$58,$Z28)))</f>
        <v/>
      </c>
      <c r="C28" t="str">
        <f>IF($Z28="","",IF(INDEX(入力!$D$9:$D$58,$Z28)="","",INDEX(入力!$D$9:$D$58,$Z28)))</f>
        <v/>
      </c>
      <c r="D28" t="str">
        <f>IF($Z28="","",INDEX(入力!$E$9:$E$58,$Z28))</f>
        <v/>
      </c>
      <c r="E28" t="str">
        <f>IF($Z28="","",INDEX(入力!$F$9:$F$58,$Z28))</f>
        <v/>
      </c>
      <c r="F28" t="str">
        <f>IF($Z28="","",INDEX(入力!$J$9:$J$58,$Z28))</f>
        <v/>
      </c>
      <c r="G28" t="str">
        <f>IF($Z28="","",INDEX(入力!$K$9:$K$58,$Z28))</f>
        <v/>
      </c>
      <c r="I28" t="str">
        <f>IF($AA28="","",INDEX(入力!$B$9:$B$58,$AA28))</f>
        <v/>
      </c>
      <c r="J28" t="str">
        <f>IF($AA28="","",INDEX(入力!$C$9:$C$58,$AA28))</f>
        <v/>
      </c>
      <c r="K28" t="str">
        <f>IF($AA28="","",INDEX(入力!$D$9:$D$58,$AA28))</f>
        <v/>
      </c>
      <c r="L28" t="str">
        <f>IF($AA28="","",IF(INDEX(入力!$E$9:$E$58,$AA28)&lt;&gt;"",INDEX(入力!$E$9:$E$58,$AA28),IF(ISNUMBER(INDEX(入力!$C$9:$C$58,$AA28)),INDEX(入力!$C$9:$C$58,$AA28),INDEX(入力!$D$9:$D$58,$AA28))))</f>
        <v/>
      </c>
      <c r="M28" t="str">
        <f>IF($AA28="","",IF(INDEX(入力!$I$9:$I$58,$AA28)&lt;&gt;"",INDEX(入力!$I$9:$I$58,$AA28),IF(ISNUMBER(INDEX(入力!$C$9:$C$58,$AA28)),INDEX(入力!$C$9:$C$58,$AA28)-入力!$B$5,INDEX(入力!$D$9:$D$58,$AA28)-入力!$C$5)))</f>
        <v/>
      </c>
      <c r="N28" t="str">
        <f>IF($AA28="","",INDEX(入力!$J$9:$J$58,$AA28))</f>
        <v/>
      </c>
      <c r="O28" t="str">
        <f>IF($AA28="","",IF(INDEX(入力!$K$9:$K$58,$AA28)&lt;&gt;"",INDEX(入力!$K$9:$K$58,$AA28),IF(ISNUMBER(INDEX(入力!$C$9:$C$58,$AA28)),IF(INDEX(入力!$C$9:$C$58,$AA28)-入力!$B$5&gt;0,"ピッキング改善（梱包未入力）","良好（梱包未入力）"),IF(INDEX(入力!$D$9:$D$58,$AA28)-入力!$C$5&gt;0,"梱包改善（ピッキング未入力）","良好（ピッキング未入力）"))))</f>
        <v/>
      </c>
      <c r="Q28" t="str">
        <f>IF($AB28="","",INDEX(入力!$B$9:$B$58,$AB28))</f>
        <v/>
      </c>
      <c r="R28" t="str">
        <f>IF($AB28="","",INDEX(入力!$F$9:$F$58,$AB28))</f>
        <v/>
      </c>
      <c r="S28" t="str">
        <f>IF($AB28="","",INDEX(入力!$C$9:$C$58,$AB28))</f>
        <v/>
      </c>
      <c r="T28" t="str">
        <f>IF($AB28="","",INDEX(入力!$D$9:$D$58,$AB28))</f>
        <v/>
      </c>
      <c r="U28" t="str">
        <f>IF($AB28="","",INDEX(入力!$E$9:$E$58,$AB28))</f>
        <v/>
      </c>
      <c r="V28" t="str">
        <f>IF($Z28="","",IF($B28&lt;&gt;"",$B28,IF($C28&lt;&gt;"",入力!$B$5,"")))</f>
        <v/>
      </c>
      <c r="W28" t="str">
        <f>IF($Z28="","",IF($C28&lt;&gt;"",$C28,IF($B28&lt;&gt;"",入力!$C$5,"")))</f>
        <v/>
      </c>
      <c r="Z28">
        <f>IFERROR(MATCH(ROW()-1,入力!$N$9:$N$58,0),"")</f>
        <v>27</v>
      </c>
      <c r="AA28" t="str">
        <f>IF(ROW()-1&gt;COUNTIF(入力!$L$9:$L$58,"&gt;-9.9E+98"),"",IFERROR(MATCH(LARGE(入力!$L$9:$L$58,ROW()-1),入力!$L$9:$L$58,0),""))</f>
        <v/>
      </c>
      <c r="AB28" t="str">
        <f>IF(ROW()-1&gt;COUNTIF(入力!$M$9:$M$58,"&gt;-9.9E+98"),"",IFERROR(MATCH(LARGE(入力!$M$9:$M$58,ROW()-1),入力!$M$9:$M$58,0),""))</f>
        <v/>
      </c>
      <c r="AC28">
        <f>入力!$B$5</f>
        <v>1.6</v>
      </c>
      <c r="AD28">
        <f>入力!$C$5</f>
        <v>1.6</v>
      </c>
    </row>
    <row r="29" spans="1:30" x14ac:dyDescent="0.15">
      <c r="A29" t="str">
        <f>IF($Z29="","",INDEX(入力!$B$9:$B$58,$Z29))</f>
        <v>平田　学</v>
      </c>
      <c r="B29" t="str">
        <f>IF($Z29="","",IF(INDEX(入力!$C$9:$C$58,$Z29)="","",INDEX(入力!$C$9:$C$58,$Z29)))</f>
        <v/>
      </c>
      <c r="C29" t="str">
        <f>IF($Z29="","",IF(INDEX(入力!$D$9:$D$58,$Z29)="","",INDEX(入力!$D$9:$D$58,$Z29)))</f>
        <v/>
      </c>
      <c r="D29" t="str">
        <f>IF($Z29="","",INDEX(入力!$E$9:$E$58,$Z29))</f>
        <v/>
      </c>
      <c r="E29" t="str">
        <f>IF($Z29="","",INDEX(入力!$F$9:$F$58,$Z29))</f>
        <v/>
      </c>
      <c r="F29" t="str">
        <f>IF($Z29="","",INDEX(入力!$J$9:$J$58,$Z29))</f>
        <v/>
      </c>
      <c r="G29" t="str">
        <f>IF($Z29="","",INDEX(入力!$K$9:$K$58,$Z29))</f>
        <v/>
      </c>
      <c r="I29" t="str">
        <f>IF($AA29="","",INDEX(入力!$B$9:$B$58,$AA29))</f>
        <v/>
      </c>
      <c r="J29" t="str">
        <f>IF($AA29="","",INDEX(入力!$C$9:$C$58,$AA29))</f>
        <v/>
      </c>
      <c r="K29" t="str">
        <f>IF($AA29="","",INDEX(入力!$D$9:$D$58,$AA29))</f>
        <v/>
      </c>
      <c r="L29" t="str">
        <f>IF($AA29="","",IF(INDEX(入力!$E$9:$E$58,$AA29)&lt;&gt;"",INDEX(入力!$E$9:$E$58,$AA29),IF(ISNUMBER(INDEX(入力!$C$9:$C$58,$AA29)),INDEX(入力!$C$9:$C$58,$AA29),INDEX(入力!$D$9:$D$58,$AA29))))</f>
        <v/>
      </c>
      <c r="M29" t="str">
        <f>IF($AA29="","",IF(INDEX(入力!$I$9:$I$58,$AA29)&lt;&gt;"",INDEX(入力!$I$9:$I$58,$AA29),IF(ISNUMBER(INDEX(入力!$C$9:$C$58,$AA29)),INDEX(入力!$C$9:$C$58,$AA29)-入力!$B$5,INDEX(入力!$D$9:$D$58,$AA29)-入力!$C$5)))</f>
        <v/>
      </c>
      <c r="N29" t="str">
        <f>IF($AA29="","",INDEX(入力!$J$9:$J$58,$AA29))</f>
        <v/>
      </c>
      <c r="O29" t="str">
        <f>IF($AA29="","",IF(INDEX(入力!$K$9:$K$58,$AA29)&lt;&gt;"",INDEX(入力!$K$9:$K$58,$AA29),IF(ISNUMBER(INDEX(入力!$C$9:$C$58,$AA29)),IF(INDEX(入力!$C$9:$C$58,$AA29)-入力!$B$5&gt;0,"ピッキング改善（梱包未入力）","良好（梱包未入力）"),IF(INDEX(入力!$D$9:$D$58,$AA29)-入力!$C$5&gt;0,"梱包改善（ピッキング未入力）","良好（ピッキング未入力）"))))</f>
        <v/>
      </c>
      <c r="Q29" t="str">
        <f>IF($AB29="","",INDEX(入力!$B$9:$B$58,$AB29))</f>
        <v/>
      </c>
      <c r="R29" t="str">
        <f>IF($AB29="","",INDEX(入力!$F$9:$F$58,$AB29))</f>
        <v/>
      </c>
      <c r="S29" t="str">
        <f>IF($AB29="","",INDEX(入力!$C$9:$C$58,$AB29))</f>
        <v/>
      </c>
      <c r="T29" t="str">
        <f>IF($AB29="","",INDEX(入力!$D$9:$D$58,$AB29))</f>
        <v/>
      </c>
      <c r="U29" t="str">
        <f>IF($AB29="","",INDEX(入力!$E$9:$E$58,$AB29))</f>
        <v/>
      </c>
      <c r="V29" t="str">
        <f>IF($Z29="","",IF($B29&lt;&gt;"",$B29,IF($C29&lt;&gt;"",入力!$B$5,"")))</f>
        <v/>
      </c>
      <c r="W29" t="str">
        <f>IF($Z29="","",IF($C29&lt;&gt;"",$C29,IF($B29&lt;&gt;"",入力!$C$5,"")))</f>
        <v/>
      </c>
      <c r="Z29">
        <f>IFERROR(MATCH(ROW()-1,入力!$N$9:$N$58,0),"")</f>
        <v>28</v>
      </c>
      <c r="AA29" t="str">
        <f>IF(ROW()-1&gt;COUNTIF(入力!$L$9:$L$58,"&gt;-9.9E+98"),"",IFERROR(MATCH(LARGE(入力!$L$9:$L$58,ROW()-1),入力!$L$9:$L$58,0),""))</f>
        <v/>
      </c>
      <c r="AB29" t="str">
        <f>IF(ROW()-1&gt;COUNTIF(入力!$M$9:$M$58,"&gt;-9.9E+98"),"",IFERROR(MATCH(LARGE(入力!$M$9:$M$58,ROW()-1),入力!$M$9:$M$58,0),""))</f>
        <v/>
      </c>
      <c r="AC29">
        <f>入力!$B$5</f>
        <v>1.6</v>
      </c>
      <c r="AD29">
        <f>入力!$C$5</f>
        <v>1.6</v>
      </c>
    </row>
    <row r="30" spans="1:30" x14ac:dyDescent="0.15">
      <c r="A30" t="str">
        <f>IF($Z30="","",INDEX(入力!$B$9:$B$58,$Z30))</f>
        <v/>
      </c>
      <c r="B30" t="str">
        <f>IF($Z30="","",IF(INDEX(入力!$C$9:$C$58,$Z30)="","",INDEX(入力!$C$9:$C$58,$Z30)))</f>
        <v/>
      </c>
      <c r="C30" t="str">
        <f>IF($Z30="","",IF(INDEX(入力!$D$9:$D$58,$Z30)="","",INDEX(入力!$D$9:$D$58,$Z30)))</f>
        <v/>
      </c>
      <c r="D30" t="str">
        <f>IF($Z30="","",INDEX(入力!$E$9:$E$58,$Z30))</f>
        <v/>
      </c>
      <c r="E30" t="str">
        <f>IF($Z30="","",INDEX(入力!$F$9:$F$58,$Z30))</f>
        <v/>
      </c>
      <c r="F30" t="str">
        <f>IF($Z30="","",INDEX(入力!$J$9:$J$58,$Z30))</f>
        <v/>
      </c>
      <c r="G30" t="str">
        <f>IF($Z30="","",INDEX(入力!$K$9:$K$58,$Z30))</f>
        <v/>
      </c>
      <c r="I30" t="str">
        <f>IF($AA30="","",INDEX(入力!$B$9:$B$58,$AA30))</f>
        <v/>
      </c>
      <c r="J30" t="str">
        <f>IF($AA30="","",INDEX(入力!$C$9:$C$58,$AA30))</f>
        <v/>
      </c>
      <c r="K30" t="str">
        <f>IF($AA30="","",INDEX(入力!$D$9:$D$58,$AA30))</f>
        <v/>
      </c>
      <c r="L30" t="str">
        <f>IF($AA30="","",IF(INDEX(入力!$E$9:$E$58,$AA30)&lt;&gt;"",INDEX(入力!$E$9:$E$58,$AA30),IF(ISNUMBER(INDEX(入力!$C$9:$C$58,$AA30)),INDEX(入力!$C$9:$C$58,$AA30),INDEX(入力!$D$9:$D$58,$AA30))))</f>
        <v/>
      </c>
      <c r="M30" t="str">
        <f>IF($AA30="","",IF(INDEX(入力!$I$9:$I$58,$AA30)&lt;&gt;"",INDEX(入力!$I$9:$I$58,$AA30),IF(ISNUMBER(INDEX(入力!$C$9:$C$58,$AA30)),INDEX(入力!$C$9:$C$58,$AA30)-入力!$B$5,INDEX(入力!$D$9:$D$58,$AA30)-入力!$C$5)))</f>
        <v/>
      </c>
      <c r="N30" t="str">
        <f>IF($AA30="","",INDEX(入力!$J$9:$J$58,$AA30))</f>
        <v/>
      </c>
      <c r="O30" t="str">
        <f>IF($AA30="","",IF(INDEX(入力!$K$9:$K$58,$AA30)&lt;&gt;"",INDEX(入力!$K$9:$K$58,$AA30),IF(ISNUMBER(INDEX(入力!$C$9:$C$58,$AA30)),IF(INDEX(入力!$C$9:$C$58,$AA30)-入力!$B$5&gt;0,"ピッキング改善（梱包未入力）","良好（梱包未入力）"),IF(INDEX(入力!$D$9:$D$58,$AA30)-入力!$C$5&gt;0,"梱包改善（ピッキング未入力）","良好（ピッキング未入力）"))))</f>
        <v/>
      </c>
      <c r="Q30" t="str">
        <f>IF($AB30="","",INDEX(入力!$B$9:$B$58,$AB30))</f>
        <v/>
      </c>
      <c r="R30" t="str">
        <f>IF($AB30="","",INDEX(入力!$F$9:$F$58,$AB30))</f>
        <v/>
      </c>
      <c r="S30" t="str">
        <f>IF($AB30="","",INDEX(入力!$C$9:$C$58,$AB30))</f>
        <v/>
      </c>
      <c r="T30" t="str">
        <f>IF($AB30="","",INDEX(入力!$D$9:$D$58,$AB30))</f>
        <v/>
      </c>
      <c r="U30" t="str">
        <f>IF($AB30="","",INDEX(入力!$E$9:$E$58,$AB30))</f>
        <v/>
      </c>
      <c r="V30" t="str">
        <f>IF($Z30="","",IF($B30&lt;&gt;"",$B30,IF($C30&lt;&gt;"",入力!$B$5,"")))</f>
        <v/>
      </c>
      <c r="W30" t="str">
        <f>IF($Z30="","",IF($C30&lt;&gt;"",$C30,IF($B30&lt;&gt;"",入力!$C$5,"")))</f>
        <v/>
      </c>
      <c r="Z30" t="str">
        <f>IFERROR(MATCH(ROW()-1,入力!$N$9:$N$58,0),"")</f>
        <v/>
      </c>
      <c r="AA30" t="str">
        <f>IF(ROW()-1&gt;COUNTIF(入力!$L$9:$L$58,"&gt;-9.9E+98"),"",IFERROR(MATCH(LARGE(入力!$L$9:$L$58,ROW()-1),入力!$L$9:$L$58,0),""))</f>
        <v/>
      </c>
      <c r="AB30" t="str">
        <f>IF(ROW()-1&gt;COUNTIF(入力!$M$9:$M$58,"&gt;-9.9E+98"),"",IFERROR(MATCH(LARGE(入力!$M$9:$M$58,ROW()-1),入力!$M$9:$M$58,0),""))</f>
        <v/>
      </c>
      <c r="AC30">
        <f>入力!$B$5</f>
        <v>1.6</v>
      </c>
      <c r="AD30">
        <f>入力!$C$5</f>
        <v>1.6</v>
      </c>
    </row>
    <row r="31" spans="1:30" x14ac:dyDescent="0.15">
      <c r="A31" t="str">
        <f>IF($Z31="","",INDEX(入力!$B$9:$B$58,$Z31))</f>
        <v/>
      </c>
      <c r="B31" t="str">
        <f>IF($Z31="","",IF(INDEX(入力!$C$9:$C$58,$Z31)="","",INDEX(入力!$C$9:$C$58,$Z31)))</f>
        <v/>
      </c>
      <c r="C31" t="str">
        <f>IF($Z31="","",IF(INDEX(入力!$D$9:$D$58,$Z31)="","",INDEX(入力!$D$9:$D$58,$Z31)))</f>
        <v/>
      </c>
      <c r="D31" t="str">
        <f>IF($Z31="","",INDEX(入力!$E$9:$E$58,$Z31))</f>
        <v/>
      </c>
      <c r="E31" t="str">
        <f>IF($Z31="","",INDEX(入力!$F$9:$F$58,$Z31))</f>
        <v/>
      </c>
      <c r="F31" t="str">
        <f>IF($Z31="","",INDEX(入力!$J$9:$J$58,$Z31))</f>
        <v/>
      </c>
      <c r="G31" t="str">
        <f>IF($Z31="","",INDEX(入力!$K$9:$K$58,$Z31))</f>
        <v/>
      </c>
      <c r="I31" t="str">
        <f>IF($AA31="","",INDEX(入力!$B$9:$B$58,$AA31))</f>
        <v/>
      </c>
      <c r="J31" t="str">
        <f>IF($AA31="","",INDEX(入力!$C$9:$C$58,$AA31))</f>
        <v/>
      </c>
      <c r="K31" t="str">
        <f>IF($AA31="","",INDEX(入力!$D$9:$D$58,$AA31))</f>
        <v/>
      </c>
      <c r="L31" t="str">
        <f>IF($AA31="","",IF(INDEX(入力!$E$9:$E$58,$AA31)&lt;&gt;"",INDEX(入力!$E$9:$E$58,$AA31),IF(ISNUMBER(INDEX(入力!$C$9:$C$58,$AA31)),INDEX(入力!$C$9:$C$58,$AA31),INDEX(入力!$D$9:$D$58,$AA31))))</f>
        <v/>
      </c>
      <c r="M31" t="str">
        <f>IF($AA31="","",IF(INDEX(入力!$I$9:$I$58,$AA31)&lt;&gt;"",INDEX(入力!$I$9:$I$58,$AA31),IF(ISNUMBER(INDEX(入力!$C$9:$C$58,$AA31)),INDEX(入力!$C$9:$C$58,$AA31)-入力!$B$5,INDEX(入力!$D$9:$D$58,$AA31)-入力!$C$5)))</f>
        <v/>
      </c>
      <c r="N31" t="str">
        <f>IF($AA31="","",INDEX(入力!$J$9:$J$58,$AA31))</f>
        <v/>
      </c>
      <c r="O31" t="str">
        <f>IF($AA31="","",IF(INDEX(入力!$K$9:$K$58,$AA31)&lt;&gt;"",INDEX(入力!$K$9:$K$58,$AA31),IF(ISNUMBER(INDEX(入力!$C$9:$C$58,$AA31)),IF(INDEX(入力!$C$9:$C$58,$AA31)-入力!$B$5&gt;0,"ピッキング改善（梱包未入力）","良好（梱包未入力）"),IF(INDEX(入力!$D$9:$D$58,$AA31)-入力!$C$5&gt;0,"梱包改善（ピッキング未入力）","良好（ピッキング未入力）"))))</f>
        <v/>
      </c>
      <c r="Q31" t="str">
        <f>IF($AB31="","",INDEX(入力!$B$9:$B$58,$AB31))</f>
        <v/>
      </c>
      <c r="R31" t="str">
        <f>IF($AB31="","",INDEX(入力!$F$9:$F$58,$AB31))</f>
        <v/>
      </c>
      <c r="S31" t="str">
        <f>IF($AB31="","",INDEX(入力!$C$9:$C$58,$AB31))</f>
        <v/>
      </c>
      <c r="T31" t="str">
        <f>IF($AB31="","",INDEX(入力!$D$9:$D$58,$AB31))</f>
        <v/>
      </c>
      <c r="U31" t="str">
        <f>IF($AB31="","",INDEX(入力!$E$9:$E$58,$AB31))</f>
        <v/>
      </c>
      <c r="V31" t="str">
        <f>IF($Z31="","",IF($B31&lt;&gt;"",$B31,IF($C31&lt;&gt;"",入力!$B$5,"")))</f>
        <v/>
      </c>
      <c r="W31" t="str">
        <f>IF($Z31="","",IF($C31&lt;&gt;"",$C31,IF($B31&lt;&gt;"",入力!$C$5,"")))</f>
        <v/>
      </c>
      <c r="Z31" t="str">
        <f>IFERROR(MATCH(ROW()-1,入力!$N$9:$N$58,0),"")</f>
        <v/>
      </c>
      <c r="AA31" t="str">
        <f>IF(ROW()-1&gt;COUNTIF(入力!$L$9:$L$58,"&gt;-9.9E+98"),"",IFERROR(MATCH(LARGE(入力!$L$9:$L$58,ROW()-1),入力!$L$9:$L$58,0),""))</f>
        <v/>
      </c>
      <c r="AB31" t="str">
        <f>IF(ROW()-1&gt;COUNTIF(入力!$M$9:$M$58,"&gt;-9.9E+98"),"",IFERROR(MATCH(LARGE(入力!$M$9:$M$58,ROW()-1),入力!$M$9:$M$58,0),""))</f>
        <v/>
      </c>
      <c r="AC31">
        <f>入力!$B$5</f>
        <v>1.6</v>
      </c>
      <c r="AD31">
        <f>入力!$C$5</f>
        <v>1.6</v>
      </c>
    </row>
    <row r="32" spans="1:30" x14ac:dyDescent="0.15">
      <c r="A32" t="str">
        <f>IF($Z32="","",INDEX(入力!$B$9:$B$58,$Z32))</f>
        <v/>
      </c>
      <c r="B32" t="str">
        <f>IF($Z32="","",IF(INDEX(入力!$C$9:$C$58,$Z32)="","",INDEX(入力!$C$9:$C$58,$Z32)))</f>
        <v/>
      </c>
      <c r="C32" t="str">
        <f>IF($Z32="","",IF(INDEX(入力!$D$9:$D$58,$Z32)="","",INDEX(入力!$D$9:$D$58,$Z32)))</f>
        <v/>
      </c>
      <c r="D32" t="str">
        <f>IF($Z32="","",INDEX(入力!$E$9:$E$58,$Z32))</f>
        <v/>
      </c>
      <c r="E32" t="str">
        <f>IF($Z32="","",INDEX(入力!$F$9:$F$58,$Z32))</f>
        <v/>
      </c>
      <c r="F32" t="str">
        <f>IF($Z32="","",INDEX(入力!$J$9:$J$58,$Z32))</f>
        <v/>
      </c>
      <c r="G32" t="str">
        <f>IF($Z32="","",INDEX(入力!$K$9:$K$58,$Z32))</f>
        <v/>
      </c>
      <c r="I32" t="str">
        <f>IF($AA32="","",INDEX(入力!$B$9:$B$58,$AA32))</f>
        <v/>
      </c>
      <c r="J32" t="str">
        <f>IF($AA32="","",INDEX(入力!$C$9:$C$58,$AA32))</f>
        <v/>
      </c>
      <c r="K32" t="str">
        <f>IF($AA32="","",INDEX(入力!$D$9:$D$58,$AA32))</f>
        <v/>
      </c>
      <c r="L32" t="str">
        <f>IF($AA32="","",IF(INDEX(入力!$E$9:$E$58,$AA32)&lt;&gt;"",INDEX(入力!$E$9:$E$58,$AA32),IF(ISNUMBER(INDEX(入力!$C$9:$C$58,$AA32)),INDEX(入力!$C$9:$C$58,$AA32),INDEX(入力!$D$9:$D$58,$AA32))))</f>
        <v/>
      </c>
      <c r="M32" t="str">
        <f>IF($AA32="","",IF(INDEX(入力!$I$9:$I$58,$AA32)&lt;&gt;"",INDEX(入力!$I$9:$I$58,$AA32),IF(ISNUMBER(INDEX(入力!$C$9:$C$58,$AA32)),INDEX(入力!$C$9:$C$58,$AA32)-入力!$B$5,INDEX(入力!$D$9:$D$58,$AA32)-入力!$C$5)))</f>
        <v/>
      </c>
      <c r="N32" t="str">
        <f>IF($AA32="","",INDEX(入力!$J$9:$J$58,$AA32))</f>
        <v/>
      </c>
      <c r="O32" t="str">
        <f>IF($AA32="","",IF(INDEX(入力!$K$9:$K$58,$AA32)&lt;&gt;"",INDEX(入力!$K$9:$K$58,$AA32),IF(ISNUMBER(INDEX(入力!$C$9:$C$58,$AA32)),IF(INDEX(入力!$C$9:$C$58,$AA32)-入力!$B$5&gt;0,"ピッキング改善（梱包未入力）","良好（梱包未入力）"),IF(INDEX(入力!$D$9:$D$58,$AA32)-入力!$C$5&gt;0,"梱包改善（ピッキング未入力）","良好（ピッキング未入力）"))))</f>
        <v/>
      </c>
      <c r="Q32" t="str">
        <f>IF($AB32="","",INDEX(入力!$B$9:$B$58,$AB32))</f>
        <v/>
      </c>
      <c r="R32" t="str">
        <f>IF($AB32="","",INDEX(入力!$F$9:$F$58,$AB32))</f>
        <v/>
      </c>
      <c r="S32" t="str">
        <f>IF($AB32="","",INDEX(入力!$C$9:$C$58,$AB32))</f>
        <v/>
      </c>
      <c r="T32" t="str">
        <f>IF($AB32="","",INDEX(入力!$D$9:$D$58,$AB32))</f>
        <v/>
      </c>
      <c r="U32" t="str">
        <f>IF($AB32="","",INDEX(入力!$E$9:$E$58,$AB32))</f>
        <v/>
      </c>
      <c r="V32" t="str">
        <f>IF($Z32="","",IF($B32&lt;&gt;"",$B32,IF($C32&lt;&gt;"",入力!$B$5,"")))</f>
        <v/>
      </c>
      <c r="W32" t="str">
        <f>IF($Z32="","",IF($C32&lt;&gt;"",$C32,IF($B32&lt;&gt;"",入力!$C$5,"")))</f>
        <v/>
      </c>
      <c r="Z32" t="str">
        <f>IFERROR(MATCH(ROW()-1,入力!$N$9:$N$58,0),"")</f>
        <v/>
      </c>
      <c r="AA32" t="str">
        <f>IF(ROW()-1&gt;COUNTIF(入力!$L$9:$L$58,"&gt;-9.9E+98"),"",IFERROR(MATCH(LARGE(入力!$L$9:$L$58,ROW()-1),入力!$L$9:$L$58,0),""))</f>
        <v/>
      </c>
      <c r="AB32" t="str">
        <f>IF(ROW()-1&gt;COUNTIF(入力!$M$9:$M$58,"&gt;-9.9E+98"),"",IFERROR(MATCH(LARGE(入力!$M$9:$M$58,ROW()-1),入力!$M$9:$M$58,0),""))</f>
        <v/>
      </c>
      <c r="AC32">
        <f>入力!$B$5</f>
        <v>1.6</v>
      </c>
      <c r="AD32">
        <f>入力!$C$5</f>
        <v>1.6</v>
      </c>
    </row>
    <row r="33" spans="1:30" x14ac:dyDescent="0.15">
      <c r="A33" t="str">
        <f>IF($Z33="","",INDEX(入力!$B$9:$B$58,$Z33))</f>
        <v/>
      </c>
      <c r="B33" t="str">
        <f>IF($Z33="","",IF(INDEX(入力!$C$9:$C$58,$Z33)="","",INDEX(入力!$C$9:$C$58,$Z33)))</f>
        <v/>
      </c>
      <c r="C33" t="str">
        <f>IF($Z33="","",IF(INDEX(入力!$D$9:$D$58,$Z33)="","",INDEX(入力!$D$9:$D$58,$Z33)))</f>
        <v/>
      </c>
      <c r="D33" t="str">
        <f>IF($Z33="","",INDEX(入力!$E$9:$E$58,$Z33))</f>
        <v/>
      </c>
      <c r="E33" t="str">
        <f>IF($Z33="","",INDEX(入力!$F$9:$F$58,$Z33))</f>
        <v/>
      </c>
      <c r="F33" t="str">
        <f>IF($Z33="","",INDEX(入力!$J$9:$J$58,$Z33))</f>
        <v/>
      </c>
      <c r="G33" t="str">
        <f>IF($Z33="","",INDEX(入力!$K$9:$K$58,$Z33))</f>
        <v/>
      </c>
      <c r="I33" t="str">
        <f>IF($AA33="","",INDEX(入力!$B$9:$B$58,$AA33))</f>
        <v/>
      </c>
      <c r="J33" t="str">
        <f>IF($AA33="","",INDEX(入力!$C$9:$C$58,$AA33))</f>
        <v/>
      </c>
      <c r="K33" t="str">
        <f>IF($AA33="","",INDEX(入力!$D$9:$D$58,$AA33))</f>
        <v/>
      </c>
      <c r="L33" t="str">
        <f>IF($AA33="","",IF(INDEX(入力!$E$9:$E$58,$AA33)&lt;&gt;"",INDEX(入力!$E$9:$E$58,$AA33),IF(ISNUMBER(INDEX(入力!$C$9:$C$58,$AA33)),INDEX(入力!$C$9:$C$58,$AA33),INDEX(入力!$D$9:$D$58,$AA33))))</f>
        <v/>
      </c>
      <c r="M33" t="str">
        <f>IF($AA33="","",IF(INDEX(入力!$I$9:$I$58,$AA33)&lt;&gt;"",INDEX(入力!$I$9:$I$58,$AA33),IF(ISNUMBER(INDEX(入力!$C$9:$C$58,$AA33)),INDEX(入力!$C$9:$C$58,$AA33)-入力!$B$5,INDEX(入力!$D$9:$D$58,$AA33)-入力!$C$5)))</f>
        <v/>
      </c>
      <c r="N33" t="str">
        <f>IF($AA33="","",INDEX(入力!$J$9:$J$58,$AA33))</f>
        <v/>
      </c>
      <c r="O33" t="str">
        <f>IF($AA33="","",IF(INDEX(入力!$K$9:$K$58,$AA33)&lt;&gt;"",INDEX(入力!$K$9:$K$58,$AA33),IF(ISNUMBER(INDEX(入力!$C$9:$C$58,$AA33)),IF(INDEX(入力!$C$9:$C$58,$AA33)-入力!$B$5&gt;0,"ピッキング改善（梱包未入力）","良好（梱包未入力）"),IF(INDEX(入力!$D$9:$D$58,$AA33)-入力!$C$5&gt;0,"梱包改善（ピッキング未入力）","良好（ピッキング未入力）"))))</f>
        <v/>
      </c>
      <c r="Q33" t="str">
        <f>IF($AB33="","",INDEX(入力!$B$9:$B$58,$AB33))</f>
        <v/>
      </c>
      <c r="R33" t="str">
        <f>IF($AB33="","",INDEX(入力!$F$9:$F$58,$AB33))</f>
        <v/>
      </c>
      <c r="S33" t="str">
        <f>IF($AB33="","",INDEX(入力!$C$9:$C$58,$AB33))</f>
        <v/>
      </c>
      <c r="T33" t="str">
        <f>IF($AB33="","",INDEX(入力!$D$9:$D$58,$AB33))</f>
        <v/>
      </c>
      <c r="U33" t="str">
        <f>IF($AB33="","",INDEX(入力!$E$9:$E$58,$AB33))</f>
        <v/>
      </c>
      <c r="V33" t="str">
        <f>IF($Z33="","",IF($B33&lt;&gt;"",$B33,IF($C33&lt;&gt;"",入力!$B$5,"")))</f>
        <v/>
      </c>
      <c r="W33" t="str">
        <f>IF($Z33="","",IF($C33&lt;&gt;"",$C33,IF($B33&lt;&gt;"",入力!$C$5,"")))</f>
        <v/>
      </c>
      <c r="Z33" t="str">
        <f>IFERROR(MATCH(ROW()-1,入力!$N$9:$N$58,0),"")</f>
        <v/>
      </c>
      <c r="AA33" t="str">
        <f>IF(ROW()-1&gt;COUNTIF(入力!$L$9:$L$58,"&gt;-9.9E+98"),"",IFERROR(MATCH(LARGE(入力!$L$9:$L$58,ROW()-1),入力!$L$9:$L$58,0),""))</f>
        <v/>
      </c>
      <c r="AB33" t="str">
        <f>IF(ROW()-1&gt;COUNTIF(入力!$M$9:$M$58,"&gt;-9.9E+98"),"",IFERROR(MATCH(LARGE(入力!$M$9:$M$58,ROW()-1),入力!$M$9:$M$58,0),""))</f>
        <v/>
      </c>
      <c r="AC33">
        <f>入力!$B$5</f>
        <v>1.6</v>
      </c>
      <c r="AD33">
        <f>入力!$C$5</f>
        <v>1.6</v>
      </c>
    </row>
    <row r="34" spans="1:30" x14ac:dyDescent="0.15">
      <c r="A34" t="str">
        <f>IF($Z34="","",INDEX(入力!$B$9:$B$58,$Z34))</f>
        <v/>
      </c>
      <c r="B34" t="str">
        <f>IF($Z34="","",IF(INDEX(入力!$C$9:$C$58,$Z34)="","",INDEX(入力!$C$9:$C$58,$Z34)))</f>
        <v/>
      </c>
      <c r="C34" t="str">
        <f>IF($Z34="","",IF(INDEX(入力!$D$9:$D$58,$Z34)="","",INDEX(入力!$D$9:$D$58,$Z34)))</f>
        <v/>
      </c>
      <c r="D34" t="str">
        <f>IF($Z34="","",INDEX(入力!$E$9:$E$58,$Z34))</f>
        <v/>
      </c>
      <c r="E34" t="str">
        <f>IF($Z34="","",INDEX(入力!$F$9:$F$58,$Z34))</f>
        <v/>
      </c>
      <c r="F34" t="str">
        <f>IF($Z34="","",INDEX(入力!$J$9:$J$58,$Z34))</f>
        <v/>
      </c>
      <c r="G34" t="str">
        <f>IF($Z34="","",INDEX(入力!$K$9:$K$58,$Z34))</f>
        <v/>
      </c>
      <c r="I34" t="str">
        <f>IF($AA34="","",INDEX(入力!$B$9:$B$58,$AA34))</f>
        <v/>
      </c>
      <c r="J34" t="str">
        <f>IF($AA34="","",INDEX(入力!$C$9:$C$58,$AA34))</f>
        <v/>
      </c>
      <c r="K34" t="str">
        <f>IF($AA34="","",INDEX(入力!$D$9:$D$58,$AA34))</f>
        <v/>
      </c>
      <c r="L34" t="str">
        <f>IF($AA34="","",IF(INDEX(入力!$E$9:$E$58,$AA34)&lt;&gt;"",INDEX(入力!$E$9:$E$58,$AA34),IF(ISNUMBER(INDEX(入力!$C$9:$C$58,$AA34)),INDEX(入力!$C$9:$C$58,$AA34),INDEX(入力!$D$9:$D$58,$AA34))))</f>
        <v/>
      </c>
      <c r="M34" t="str">
        <f>IF($AA34="","",IF(INDEX(入力!$I$9:$I$58,$AA34)&lt;&gt;"",INDEX(入力!$I$9:$I$58,$AA34),IF(ISNUMBER(INDEX(入力!$C$9:$C$58,$AA34)),INDEX(入力!$C$9:$C$58,$AA34)-入力!$B$5,INDEX(入力!$D$9:$D$58,$AA34)-入力!$C$5)))</f>
        <v/>
      </c>
      <c r="N34" t="str">
        <f>IF($AA34="","",INDEX(入力!$J$9:$J$58,$AA34))</f>
        <v/>
      </c>
      <c r="O34" t="str">
        <f>IF($AA34="","",IF(INDEX(入力!$K$9:$K$58,$AA34)&lt;&gt;"",INDEX(入力!$K$9:$K$58,$AA34),IF(ISNUMBER(INDEX(入力!$C$9:$C$58,$AA34)),IF(INDEX(入力!$C$9:$C$58,$AA34)-入力!$B$5&gt;0,"ピッキング改善（梱包未入力）","良好（梱包未入力）"),IF(INDEX(入力!$D$9:$D$58,$AA34)-入力!$C$5&gt;0,"梱包改善（ピッキング未入力）","良好（ピッキング未入力）"))))</f>
        <v/>
      </c>
      <c r="Q34" t="str">
        <f>IF($AB34="","",INDEX(入力!$B$9:$B$58,$AB34))</f>
        <v/>
      </c>
      <c r="R34" t="str">
        <f>IF($AB34="","",INDEX(入力!$F$9:$F$58,$AB34))</f>
        <v/>
      </c>
      <c r="S34" t="str">
        <f>IF($AB34="","",INDEX(入力!$C$9:$C$58,$AB34))</f>
        <v/>
      </c>
      <c r="T34" t="str">
        <f>IF($AB34="","",INDEX(入力!$D$9:$D$58,$AB34))</f>
        <v/>
      </c>
      <c r="U34" t="str">
        <f>IF($AB34="","",INDEX(入力!$E$9:$E$58,$AB34))</f>
        <v/>
      </c>
      <c r="V34" t="str">
        <f>IF($Z34="","",IF($B34&lt;&gt;"",$B34,IF($C34&lt;&gt;"",入力!$B$5,"")))</f>
        <v/>
      </c>
      <c r="W34" t="str">
        <f>IF($Z34="","",IF($C34&lt;&gt;"",$C34,IF($B34&lt;&gt;"",入力!$C$5,"")))</f>
        <v/>
      </c>
      <c r="Z34" t="str">
        <f>IFERROR(MATCH(ROW()-1,入力!$N$9:$N$58,0),"")</f>
        <v/>
      </c>
      <c r="AA34" t="str">
        <f>IF(ROW()-1&gt;COUNTIF(入力!$L$9:$L$58,"&gt;-9.9E+98"),"",IFERROR(MATCH(LARGE(入力!$L$9:$L$58,ROW()-1),入力!$L$9:$L$58,0),""))</f>
        <v/>
      </c>
      <c r="AB34" t="str">
        <f>IF(ROW()-1&gt;COUNTIF(入力!$M$9:$M$58,"&gt;-9.9E+98"),"",IFERROR(MATCH(LARGE(入力!$M$9:$M$58,ROW()-1),入力!$M$9:$M$58,0),""))</f>
        <v/>
      </c>
      <c r="AC34">
        <f>入力!$B$5</f>
        <v>1.6</v>
      </c>
      <c r="AD34">
        <f>入力!$C$5</f>
        <v>1.6</v>
      </c>
    </row>
    <row r="35" spans="1:30" x14ac:dyDescent="0.15">
      <c r="A35" t="str">
        <f>IF($Z35="","",INDEX(入力!$B$9:$B$58,$Z35))</f>
        <v/>
      </c>
      <c r="B35" t="str">
        <f>IF($Z35="","",IF(INDEX(入力!$C$9:$C$58,$Z35)="","",INDEX(入力!$C$9:$C$58,$Z35)))</f>
        <v/>
      </c>
      <c r="C35" t="str">
        <f>IF($Z35="","",IF(INDEX(入力!$D$9:$D$58,$Z35)="","",INDEX(入力!$D$9:$D$58,$Z35)))</f>
        <v/>
      </c>
      <c r="D35" t="str">
        <f>IF($Z35="","",INDEX(入力!$E$9:$E$58,$Z35))</f>
        <v/>
      </c>
      <c r="E35" t="str">
        <f>IF($Z35="","",INDEX(入力!$F$9:$F$58,$Z35))</f>
        <v/>
      </c>
      <c r="F35" t="str">
        <f>IF($Z35="","",INDEX(入力!$J$9:$J$58,$Z35))</f>
        <v/>
      </c>
      <c r="G35" t="str">
        <f>IF($Z35="","",INDEX(入力!$K$9:$K$58,$Z35))</f>
        <v/>
      </c>
      <c r="I35" t="str">
        <f>IF($AA35="","",INDEX(入力!$B$9:$B$58,$AA35))</f>
        <v/>
      </c>
      <c r="J35" t="str">
        <f>IF($AA35="","",INDEX(入力!$C$9:$C$58,$AA35))</f>
        <v/>
      </c>
      <c r="K35" t="str">
        <f>IF($AA35="","",INDEX(入力!$D$9:$D$58,$AA35))</f>
        <v/>
      </c>
      <c r="L35" t="str">
        <f>IF($AA35="","",IF(INDEX(入力!$E$9:$E$58,$AA35)&lt;&gt;"",INDEX(入力!$E$9:$E$58,$AA35),IF(ISNUMBER(INDEX(入力!$C$9:$C$58,$AA35)),INDEX(入力!$C$9:$C$58,$AA35),INDEX(入力!$D$9:$D$58,$AA35))))</f>
        <v/>
      </c>
      <c r="M35" t="str">
        <f>IF($AA35="","",IF(INDEX(入力!$I$9:$I$58,$AA35)&lt;&gt;"",INDEX(入力!$I$9:$I$58,$AA35),IF(ISNUMBER(INDEX(入力!$C$9:$C$58,$AA35)),INDEX(入力!$C$9:$C$58,$AA35)-入力!$B$5,INDEX(入力!$D$9:$D$58,$AA35)-入力!$C$5)))</f>
        <v/>
      </c>
      <c r="N35" t="str">
        <f>IF($AA35="","",INDEX(入力!$J$9:$J$58,$AA35))</f>
        <v/>
      </c>
      <c r="O35" t="str">
        <f>IF($AA35="","",IF(INDEX(入力!$K$9:$K$58,$AA35)&lt;&gt;"",INDEX(入力!$K$9:$K$58,$AA35),IF(ISNUMBER(INDEX(入力!$C$9:$C$58,$AA35)),IF(INDEX(入力!$C$9:$C$58,$AA35)-入力!$B$5&gt;0,"ピッキング改善（梱包未入力）","良好（梱包未入力）"),IF(INDEX(入力!$D$9:$D$58,$AA35)-入力!$C$5&gt;0,"梱包改善（ピッキング未入力）","良好（ピッキング未入力）"))))</f>
        <v/>
      </c>
      <c r="Q35" t="str">
        <f>IF($AB35="","",INDEX(入力!$B$9:$B$58,$AB35))</f>
        <v/>
      </c>
      <c r="R35" t="str">
        <f>IF($AB35="","",INDEX(入力!$F$9:$F$58,$AB35))</f>
        <v/>
      </c>
      <c r="S35" t="str">
        <f>IF($AB35="","",INDEX(入力!$C$9:$C$58,$AB35))</f>
        <v/>
      </c>
      <c r="T35" t="str">
        <f>IF($AB35="","",INDEX(入力!$D$9:$D$58,$AB35))</f>
        <v/>
      </c>
      <c r="U35" t="str">
        <f>IF($AB35="","",INDEX(入力!$E$9:$E$58,$AB35))</f>
        <v/>
      </c>
      <c r="V35" t="str">
        <f>IF($Z35="","",IF($B35&lt;&gt;"",$B35,IF($C35&lt;&gt;"",入力!$B$5,"")))</f>
        <v/>
      </c>
      <c r="W35" t="str">
        <f>IF($Z35="","",IF($C35&lt;&gt;"",$C35,IF($B35&lt;&gt;"",入力!$C$5,"")))</f>
        <v/>
      </c>
      <c r="Z35" t="str">
        <f>IFERROR(MATCH(ROW()-1,入力!$N$9:$N$58,0),"")</f>
        <v/>
      </c>
      <c r="AA35" t="str">
        <f>IF(ROW()-1&gt;COUNTIF(入力!$L$9:$L$58,"&gt;-9.9E+98"),"",IFERROR(MATCH(LARGE(入力!$L$9:$L$58,ROW()-1),入力!$L$9:$L$58,0),""))</f>
        <v/>
      </c>
      <c r="AB35" t="str">
        <f>IF(ROW()-1&gt;COUNTIF(入力!$M$9:$M$58,"&gt;-9.9E+98"),"",IFERROR(MATCH(LARGE(入力!$M$9:$M$58,ROW()-1),入力!$M$9:$M$58,0),""))</f>
        <v/>
      </c>
      <c r="AC35">
        <f>入力!$B$5</f>
        <v>1.6</v>
      </c>
      <c r="AD35">
        <f>入力!$C$5</f>
        <v>1.6</v>
      </c>
    </row>
    <row r="36" spans="1:30" x14ac:dyDescent="0.15">
      <c r="A36" t="str">
        <f>IF($Z36="","",INDEX(入力!$B$9:$B$58,$Z36))</f>
        <v/>
      </c>
      <c r="B36" t="str">
        <f>IF($Z36="","",IF(INDEX(入力!$C$9:$C$58,$Z36)="","",INDEX(入力!$C$9:$C$58,$Z36)))</f>
        <v/>
      </c>
      <c r="C36" t="str">
        <f>IF($Z36="","",IF(INDEX(入力!$D$9:$D$58,$Z36)="","",INDEX(入力!$D$9:$D$58,$Z36)))</f>
        <v/>
      </c>
      <c r="D36" t="str">
        <f>IF($Z36="","",INDEX(入力!$E$9:$E$58,$Z36))</f>
        <v/>
      </c>
      <c r="E36" t="str">
        <f>IF($Z36="","",INDEX(入力!$F$9:$F$58,$Z36))</f>
        <v/>
      </c>
      <c r="F36" t="str">
        <f>IF($Z36="","",INDEX(入力!$J$9:$J$58,$Z36))</f>
        <v/>
      </c>
      <c r="G36" t="str">
        <f>IF($Z36="","",INDEX(入力!$K$9:$K$58,$Z36))</f>
        <v/>
      </c>
      <c r="I36" t="str">
        <f>IF($AA36="","",INDEX(入力!$B$9:$B$58,$AA36))</f>
        <v/>
      </c>
      <c r="J36" t="str">
        <f>IF($AA36="","",INDEX(入力!$C$9:$C$58,$AA36))</f>
        <v/>
      </c>
      <c r="K36" t="str">
        <f>IF($AA36="","",INDEX(入力!$D$9:$D$58,$AA36))</f>
        <v/>
      </c>
      <c r="L36" t="str">
        <f>IF($AA36="","",IF(INDEX(入力!$E$9:$E$58,$AA36)&lt;&gt;"",INDEX(入力!$E$9:$E$58,$AA36),IF(ISNUMBER(INDEX(入力!$C$9:$C$58,$AA36)),INDEX(入力!$C$9:$C$58,$AA36),INDEX(入力!$D$9:$D$58,$AA36))))</f>
        <v/>
      </c>
      <c r="M36" t="str">
        <f>IF($AA36="","",IF(INDEX(入力!$I$9:$I$58,$AA36)&lt;&gt;"",INDEX(入力!$I$9:$I$58,$AA36),IF(ISNUMBER(INDEX(入力!$C$9:$C$58,$AA36)),INDEX(入力!$C$9:$C$58,$AA36)-入力!$B$5,INDEX(入力!$D$9:$D$58,$AA36)-入力!$C$5)))</f>
        <v/>
      </c>
      <c r="N36" t="str">
        <f>IF($AA36="","",INDEX(入力!$J$9:$J$58,$AA36))</f>
        <v/>
      </c>
      <c r="O36" t="str">
        <f>IF($AA36="","",IF(INDEX(入力!$K$9:$K$58,$AA36)&lt;&gt;"",INDEX(入力!$K$9:$K$58,$AA36),IF(ISNUMBER(INDEX(入力!$C$9:$C$58,$AA36)),IF(INDEX(入力!$C$9:$C$58,$AA36)-入力!$B$5&gt;0,"ピッキング改善（梱包未入力）","良好（梱包未入力）"),IF(INDEX(入力!$D$9:$D$58,$AA36)-入力!$C$5&gt;0,"梱包改善（ピッキング未入力）","良好（ピッキング未入力）"))))</f>
        <v/>
      </c>
      <c r="Q36" t="str">
        <f>IF($AB36="","",INDEX(入力!$B$9:$B$58,$AB36))</f>
        <v/>
      </c>
      <c r="R36" t="str">
        <f>IF($AB36="","",INDEX(入力!$F$9:$F$58,$AB36))</f>
        <v/>
      </c>
      <c r="S36" t="str">
        <f>IF($AB36="","",INDEX(入力!$C$9:$C$58,$AB36))</f>
        <v/>
      </c>
      <c r="T36" t="str">
        <f>IF($AB36="","",INDEX(入力!$D$9:$D$58,$AB36))</f>
        <v/>
      </c>
      <c r="U36" t="str">
        <f>IF($AB36="","",INDEX(入力!$E$9:$E$58,$AB36))</f>
        <v/>
      </c>
      <c r="V36" t="str">
        <f>IF($Z36="","",IF($B36&lt;&gt;"",$B36,IF($C36&lt;&gt;"",入力!$B$5,"")))</f>
        <v/>
      </c>
      <c r="W36" t="str">
        <f>IF($Z36="","",IF($C36&lt;&gt;"",$C36,IF($B36&lt;&gt;"",入力!$C$5,"")))</f>
        <v/>
      </c>
      <c r="Z36" t="str">
        <f>IFERROR(MATCH(ROW()-1,入力!$N$9:$N$58,0),"")</f>
        <v/>
      </c>
      <c r="AA36" t="str">
        <f>IF(ROW()-1&gt;COUNTIF(入力!$L$9:$L$58,"&gt;-9.9E+98"),"",IFERROR(MATCH(LARGE(入力!$L$9:$L$58,ROW()-1),入力!$L$9:$L$58,0),""))</f>
        <v/>
      </c>
      <c r="AB36" t="str">
        <f>IF(ROW()-1&gt;COUNTIF(入力!$M$9:$M$58,"&gt;-9.9E+98"),"",IFERROR(MATCH(LARGE(入力!$M$9:$M$58,ROW()-1),入力!$M$9:$M$58,0),""))</f>
        <v/>
      </c>
      <c r="AC36">
        <f>入力!$B$5</f>
        <v>1.6</v>
      </c>
      <c r="AD36">
        <f>入力!$C$5</f>
        <v>1.6</v>
      </c>
    </row>
    <row r="37" spans="1:30" x14ac:dyDescent="0.15">
      <c r="A37" t="str">
        <f>IF($Z37="","",INDEX(入力!$B$9:$B$58,$Z37))</f>
        <v/>
      </c>
      <c r="B37" t="str">
        <f>IF($Z37="","",IF(INDEX(入力!$C$9:$C$58,$Z37)="","",INDEX(入力!$C$9:$C$58,$Z37)))</f>
        <v/>
      </c>
      <c r="C37" t="str">
        <f>IF($Z37="","",IF(INDEX(入力!$D$9:$D$58,$Z37)="","",INDEX(入力!$D$9:$D$58,$Z37)))</f>
        <v/>
      </c>
      <c r="D37" t="str">
        <f>IF($Z37="","",INDEX(入力!$E$9:$E$58,$Z37))</f>
        <v/>
      </c>
      <c r="E37" t="str">
        <f>IF($Z37="","",INDEX(入力!$F$9:$F$58,$Z37))</f>
        <v/>
      </c>
      <c r="F37" t="str">
        <f>IF($Z37="","",INDEX(入力!$J$9:$J$58,$Z37))</f>
        <v/>
      </c>
      <c r="G37" t="str">
        <f>IF($Z37="","",INDEX(入力!$K$9:$K$58,$Z37))</f>
        <v/>
      </c>
      <c r="I37" t="str">
        <f>IF($AA37="","",INDEX(入力!$B$9:$B$58,$AA37))</f>
        <v/>
      </c>
      <c r="J37" t="str">
        <f>IF($AA37="","",INDEX(入力!$C$9:$C$58,$AA37))</f>
        <v/>
      </c>
      <c r="K37" t="str">
        <f>IF($AA37="","",INDEX(入力!$D$9:$D$58,$AA37))</f>
        <v/>
      </c>
      <c r="L37" t="str">
        <f>IF($AA37="","",IF(INDEX(入力!$E$9:$E$58,$AA37)&lt;&gt;"",INDEX(入力!$E$9:$E$58,$AA37),IF(ISNUMBER(INDEX(入力!$C$9:$C$58,$AA37)),INDEX(入力!$C$9:$C$58,$AA37),INDEX(入力!$D$9:$D$58,$AA37))))</f>
        <v/>
      </c>
      <c r="M37" t="str">
        <f>IF($AA37="","",IF(INDEX(入力!$I$9:$I$58,$AA37)&lt;&gt;"",INDEX(入力!$I$9:$I$58,$AA37),IF(ISNUMBER(INDEX(入力!$C$9:$C$58,$AA37)),INDEX(入力!$C$9:$C$58,$AA37)-入力!$B$5,INDEX(入力!$D$9:$D$58,$AA37)-入力!$C$5)))</f>
        <v/>
      </c>
      <c r="N37" t="str">
        <f>IF($AA37="","",INDEX(入力!$J$9:$J$58,$AA37))</f>
        <v/>
      </c>
      <c r="O37" t="str">
        <f>IF($AA37="","",IF(INDEX(入力!$K$9:$K$58,$AA37)&lt;&gt;"",INDEX(入力!$K$9:$K$58,$AA37),IF(ISNUMBER(INDEX(入力!$C$9:$C$58,$AA37)),IF(INDEX(入力!$C$9:$C$58,$AA37)-入力!$B$5&gt;0,"ピッキング改善（梱包未入力）","良好（梱包未入力）"),IF(INDEX(入力!$D$9:$D$58,$AA37)-入力!$C$5&gt;0,"梱包改善（ピッキング未入力）","良好（ピッキング未入力）"))))</f>
        <v/>
      </c>
      <c r="Q37" t="str">
        <f>IF($AB37="","",INDEX(入力!$B$9:$B$58,$AB37))</f>
        <v/>
      </c>
      <c r="R37" t="str">
        <f>IF($AB37="","",INDEX(入力!$F$9:$F$58,$AB37))</f>
        <v/>
      </c>
      <c r="S37" t="str">
        <f>IF($AB37="","",INDEX(入力!$C$9:$C$58,$AB37))</f>
        <v/>
      </c>
      <c r="T37" t="str">
        <f>IF($AB37="","",INDEX(入力!$D$9:$D$58,$AB37))</f>
        <v/>
      </c>
      <c r="U37" t="str">
        <f>IF($AB37="","",INDEX(入力!$E$9:$E$58,$AB37))</f>
        <v/>
      </c>
      <c r="V37" t="str">
        <f>IF($Z37="","",IF($B37&lt;&gt;"",$B37,IF($C37&lt;&gt;"",入力!$B$5,"")))</f>
        <v/>
      </c>
      <c r="W37" t="str">
        <f>IF($Z37="","",IF($C37&lt;&gt;"",$C37,IF($B37&lt;&gt;"",入力!$C$5,"")))</f>
        <v/>
      </c>
      <c r="Z37" t="str">
        <f>IFERROR(MATCH(ROW()-1,入力!$N$9:$N$58,0),"")</f>
        <v/>
      </c>
      <c r="AA37" t="str">
        <f>IF(ROW()-1&gt;COUNTIF(入力!$L$9:$L$58,"&gt;-9.9E+98"),"",IFERROR(MATCH(LARGE(入力!$L$9:$L$58,ROW()-1),入力!$L$9:$L$58,0),""))</f>
        <v/>
      </c>
      <c r="AB37" t="str">
        <f>IF(ROW()-1&gt;COUNTIF(入力!$M$9:$M$58,"&gt;-9.9E+98"),"",IFERROR(MATCH(LARGE(入力!$M$9:$M$58,ROW()-1),入力!$M$9:$M$58,0),""))</f>
        <v/>
      </c>
      <c r="AC37">
        <f>入力!$B$5</f>
        <v>1.6</v>
      </c>
      <c r="AD37">
        <f>入力!$C$5</f>
        <v>1.6</v>
      </c>
    </row>
    <row r="38" spans="1:30" x14ac:dyDescent="0.15">
      <c r="A38" t="str">
        <f>IF($Z38="","",INDEX(入力!$B$9:$B$58,$Z38))</f>
        <v/>
      </c>
      <c r="B38" t="str">
        <f>IF($Z38="","",IF(INDEX(入力!$C$9:$C$58,$Z38)="","",INDEX(入力!$C$9:$C$58,$Z38)))</f>
        <v/>
      </c>
      <c r="C38" t="str">
        <f>IF($Z38="","",IF(INDEX(入力!$D$9:$D$58,$Z38)="","",INDEX(入力!$D$9:$D$58,$Z38)))</f>
        <v/>
      </c>
      <c r="D38" t="str">
        <f>IF($Z38="","",INDEX(入力!$E$9:$E$58,$Z38))</f>
        <v/>
      </c>
      <c r="E38" t="str">
        <f>IF($Z38="","",INDEX(入力!$F$9:$F$58,$Z38))</f>
        <v/>
      </c>
      <c r="F38" t="str">
        <f>IF($Z38="","",INDEX(入力!$J$9:$J$58,$Z38))</f>
        <v/>
      </c>
      <c r="G38" t="str">
        <f>IF($Z38="","",INDEX(入力!$K$9:$K$58,$Z38))</f>
        <v/>
      </c>
      <c r="I38" t="str">
        <f>IF($AA38="","",INDEX(入力!$B$9:$B$58,$AA38))</f>
        <v/>
      </c>
      <c r="J38" t="str">
        <f>IF($AA38="","",INDEX(入力!$C$9:$C$58,$AA38))</f>
        <v/>
      </c>
      <c r="K38" t="str">
        <f>IF($AA38="","",INDEX(入力!$D$9:$D$58,$AA38))</f>
        <v/>
      </c>
      <c r="L38" t="str">
        <f>IF($AA38="","",IF(INDEX(入力!$E$9:$E$58,$AA38)&lt;&gt;"",INDEX(入力!$E$9:$E$58,$AA38),IF(ISNUMBER(INDEX(入力!$C$9:$C$58,$AA38)),INDEX(入力!$C$9:$C$58,$AA38),INDEX(入力!$D$9:$D$58,$AA38))))</f>
        <v/>
      </c>
      <c r="M38" t="str">
        <f>IF($AA38="","",IF(INDEX(入力!$I$9:$I$58,$AA38)&lt;&gt;"",INDEX(入力!$I$9:$I$58,$AA38),IF(ISNUMBER(INDEX(入力!$C$9:$C$58,$AA38)),INDEX(入力!$C$9:$C$58,$AA38)-入力!$B$5,INDEX(入力!$D$9:$D$58,$AA38)-入力!$C$5)))</f>
        <v/>
      </c>
      <c r="N38" t="str">
        <f>IF($AA38="","",INDEX(入力!$J$9:$J$58,$AA38))</f>
        <v/>
      </c>
      <c r="O38" t="str">
        <f>IF($AA38="","",IF(INDEX(入力!$K$9:$K$58,$AA38)&lt;&gt;"",INDEX(入力!$K$9:$K$58,$AA38),IF(ISNUMBER(INDEX(入力!$C$9:$C$58,$AA38)),IF(INDEX(入力!$C$9:$C$58,$AA38)-入力!$B$5&gt;0,"ピッキング改善（梱包未入力）","良好（梱包未入力）"),IF(INDEX(入力!$D$9:$D$58,$AA38)-入力!$C$5&gt;0,"梱包改善（ピッキング未入力）","良好（ピッキング未入力）"))))</f>
        <v/>
      </c>
      <c r="Q38" t="str">
        <f>IF($AB38="","",INDEX(入力!$B$9:$B$58,$AB38))</f>
        <v/>
      </c>
      <c r="R38" t="str">
        <f>IF($AB38="","",INDEX(入力!$F$9:$F$58,$AB38))</f>
        <v/>
      </c>
      <c r="S38" t="str">
        <f>IF($AB38="","",INDEX(入力!$C$9:$C$58,$AB38))</f>
        <v/>
      </c>
      <c r="T38" t="str">
        <f>IF($AB38="","",INDEX(入力!$D$9:$D$58,$AB38))</f>
        <v/>
      </c>
      <c r="U38" t="str">
        <f>IF($AB38="","",INDEX(入力!$E$9:$E$58,$AB38))</f>
        <v/>
      </c>
      <c r="V38" t="str">
        <f>IF($Z38="","",IF($B38&lt;&gt;"",$B38,IF($C38&lt;&gt;"",入力!$B$5,"")))</f>
        <v/>
      </c>
      <c r="W38" t="str">
        <f>IF($Z38="","",IF($C38&lt;&gt;"",$C38,IF($B38&lt;&gt;"",入力!$C$5,"")))</f>
        <v/>
      </c>
      <c r="Z38" t="str">
        <f>IFERROR(MATCH(ROW()-1,入力!$N$9:$N$58,0),"")</f>
        <v/>
      </c>
      <c r="AA38" t="str">
        <f>IF(ROW()-1&gt;COUNTIF(入力!$L$9:$L$58,"&gt;-9.9E+98"),"",IFERROR(MATCH(LARGE(入力!$L$9:$L$58,ROW()-1),入力!$L$9:$L$58,0),""))</f>
        <v/>
      </c>
      <c r="AB38" t="str">
        <f>IF(ROW()-1&gt;COUNTIF(入力!$M$9:$M$58,"&gt;-9.9E+98"),"",IFERROR(MATCH(LARGE(入力!$M$9:$M$58,ROW()-1),入力!$M$9:$M$58,0),""))</f>
        <v/>
      </c>
      <c r="AC38">
        <f>入力!$B$5</f>
        <v>1.6</v>
      </c>
      <c r="AD38">
        <f>入力!$C$5</f>
        <v>1.6</v>
      </c>
    </row>
    <row r="39" spans="1:30" x14ac:dyDescent="0.15">
      <c r="A39" t="str">
        <f>IF($Z39="","",INDEX(入力!$B$9:$B$58,$Z39))</f>
        <v/>
      </c>
      <c r="B39" t="str">
        <f>IF($Z39="","",IF(INDEX(入力!$C$9:$C$58,$Z39)="","",INDEX(入力!$C$9:$C$58,$Z39)))</f>
        <v/>
      </c>
      <c r="C39" t="str">
        <f>IF($Z39="","",IF(INDEX(入力!$D$9:$D$58,$Z39)="","",INDEX(入力!$D$9:$D$58,$Z39)))</f>
        <v/>
      </c>
      <c r="D39" t="str">
        <f>IF($Z39="","",INDEX(入力!$E$9:$E$58,$Z39))</f>
        <v/>
      </c>
      <c r="E39" t="str">
        <f>IF($Z39="","",INDEX(入力!$F$9:$F$58,$Z39))</f>
        <v/>
      </c>
      <c r="F39" t="str">
        <f>IF($Z39="","",INDEX(入力!$J$9:$J$58,$Z39))</f>
        <v/>
      </c>
      <c r="G39" t="str">
        <f>IF($Z39="","",INDEX(入力!$K$9:$K$58,$Z39))</f>
        <v/>
      </c>
      <c r="I39" t="str">
        <f>IF($AA39="","",INDEX(入力!$B$9:$B$58,$AA39))</f>
        <v/>
      </c>
      <c r="J39" t="str">
        <f>IF($AA39="","",INDEX(入力!$C$9:$C$58,$AA39))</f>
        <v/>
      </c>
      <c r="K39" t="str">
        <f>IF($AA39="","",INDEX(入力!$D$9:$D$58,$AA39))</f>
        <v/>
      </c>
      <c r="L39" t="str">
        <f>IF($AA39="","",IF(INDEX(入力!$E$9:$E$58,$AA39)&lt;&gt;"",INDEX(入力!$E$9:$E$58,$AA39),IF(ISNUMBER(INDEX(入力!$C$9:$C$58,$AA39)),INDEX(入力!$C$9:$C$58,$AA39),INDEX(入力!$D$9:$D$58,$AA39))))</f>
        <v/>
      </c>
      <c r="M39" t="str">
        <f>IF($AA39="","",IF(INDEX(入力!$I$9:$I$58,$AA39)&lt;&gt;"",INDEX(入力!$I$9:$I$58,$AA39),IF(ISNUMBER(INDEX(入力!$C$9:$C$58,$AA39)),INDEX(入力!$C$9:$C$58,$AA39)-入力!$B$5,INDEX(入力!$D$9:$D$58,$AA39)-入力!$C$5)))</f>
        <v/>
      </c>
      <c r="N39" t="str">
        <f>IF($AA39="","",INDEX(入力!$J$9:$J$58,$AA39))</f>
        <v/>
      </c>
      <c r="O39" t="str">
        <f>IF($AA39="","",IF(INDEX(入力!$K$9:$K$58,$AA39)&lt;&gt;"",INDEX(入力!$K$9:$K$58,$AA39),IF(ISNUMBER(INDEX(入力!$C$9:$C$58,$AA39)),IF(INDEX(入力!$C$9:$C$58,$AA39)-入力!$B$5&gt;0,"ピッキング改善（梱包未入力）","良好（梱包未入力）"),IF(INDEX(入力!$D$9:$D$58,$AA39)-入力!$C$5&gt;0,"梱包改善（ピッキング未入力）","良好（ピッキング未入力）"))))</f>
        <v/>
      </c>
      <c r="Q39" t="str">
        <f>IF($AB39="","",INDEX(入力!$B$9:$B$58,$AB39))</f>
        <v/>
      </c>
      <c r="R39" t="str">
        <f>IF($AB39="","",INDEX(入力!$F$9:$F$58,$AB39))</f>
        <v/>
      </c>
      <c r="S39" t="str">
        <f>IF($AB39="","",INDEX(入力!$C$9:$C$58,$AB39))</f>
        <v/>
      </c>
      <c r="T39" t="str">
        <f>IF($AB39="","",INDEX(入力!$D$9:$D$58,$AB39))</f>
        <v/>
      </c>
      <c r="U39" t="str">
        <f>IF($AB39="","",INDEX(入力!$E$9:$E$58,$AB39))</f>
        <v/>
      </c>
      <c r="V39" t="str">
        <f>IF($Z39="","",IF($B39&lt;&gt;"",$B39,IF($C39&lt;&gt;"",入力!$B$5,"")))</f>
        <v/>
      </c>
      <c r="W39" t="str">
        <f>IF($Z39="","",IF($C39&lt;&gt;"",$C39,IF($B39&lt;&gt;"",入力!$C$5,"")))</f>
        <v/>
      </c>
      <c r="Z39" t="str">
        <f>IFERROR(MATCH(ROW()-1,入力!$N$9:$N$58,0),"")</f>
        <v/>
      </c>
      <c r="AA39" t="str">
        <f>IF(ROW()-1&gt;COUNTIF(入力!$L$9:$L$58,"&gt;-9.9E+98"),"",IFERROR(MATCH(LARGE(入力!$L$9:$L$58,ROW()-1),入力!$L$9:$L$58,0),""))</f>
        <v/>
      </c>
      <c r="AB39" t="str">
        <f>IF(ROW()-1&gt;COUNTIF(入力!$M$9:$M$58,"&gt;-9.9E+98"),"",IFERROR(MATCH(LARGE(入力!$M$9:$M$58,ROW()-1),入力!$M$9:$M$58,0),""))</f>
        <v/>
      </c>
      <c r="AC39">
        <f>入力!$B$5</f>
        <v>1.6</v>
      </c>
      <c r="AD39">
        <f>入力!$C$5</f>
        <v>1.6</v>
      </c>
    </row>
    <row r="40" spans="1:30" x14ac:dyDescent="0.15">
      <c r="A40" t="str">
        <f>IF($Z40="","",INDEX(入力!$B$9:$B$58,$Z40))</f>
        <v/>
      </c>
      <c r="B40" t="str">
        <f>IF($Z40="","",IF(INDEX(入力!$C$9:$C$58,$Z40)="","",INDEX(入力!$C$9:$C$58,$Z40)))</f>
        <v/>
      </c>
      <c r="C40" t="str">
        <f>IF($Z40="","",IF(INDEX(入力!$D$9:$D$58,$Z40)="","",INDEX(入力!$D$9:$D$58,$Z40)))</f>
        <v/>
      </c>
      <c r="D40" t="str">
        <f>IF($Z40="","",INDEX(入力!$E$9:$E$58,$Z40))</f>
        <v/>
      </c>
      <c r="E40" t="str">
        <f>IF($Z40="","",INDEX(入力!$F$9:$F$58,$Z40))</f>
        <v/>
      </c>
      <c r="F40" t="str">
        <f>IF($Z40="","",INDEX(入力!$J$9:$J$58,$Z40))</f>
        <v/>
      </c>
      <c r="G40" t="str">
        <f>IF($Z40="","",INDEX(入力!$K$9:$K$58,$Z40))</f>
        <v/>
      </c>
      <c r="I40" t="str">
        <f>IF($AA40="","",INDEX(入力!$B$9:$B$58,$AA40))</f>
        <v/>
      </c>
      <c r="J40" t="str">
        <f>IF($AA40="","",INDEX(入力!$C$9:$C$58,$AA40))</f>
        <v/>
      </c>
      <c r="K40" t="str">
        <f>IF($AA40="","",INDEX(入力!$D$9:$D$58,$AA40))</f>
        <v/>
      </c>
      <c r="L40" t="str">
        <f>IF($AA40="","",IF(INDEX(入力!$E$9:$E$58,$AA40)&lt;&gt;"",INDEX(入力!$E$9:$E$58,$AA40),IF(ISNUMBER(INDEX(入力!$C$9:$C$58,$AA40)),INDEX(入力!$C$9:$C$58,$AA40),INDEX(入力!$D$9:$D$58,$AA40))))</f>
        <v/>
      </c>
      <c r="M40" t="str">
        <f>IF($AA40="","",IF(INDEX(入力!$I$9:$I$58,$AA40)&lt;&gt;"",INDEX(入力!$I$9:$I$58,$AA40),IF(ISNUMBER(INDEX(入力!$C$9:$C$58,$AA40)),INDEX(入力!$C$9:$C$58,$AA40)-入力!$B$5,INDEX(入力!$D$9:$D$58,$AA40)-入力!$C$5)))</f>
        <v/>
      </c>
      <c r="N40" t="str">
        <f>IF($AA40="","",INDEX(入力!$J$9:$J$58,$AA40))</f>
        <v/>
      </c>
      <c r="O40" t="str">
        <f>IF($AA40="","",IF(INDEX(入力!$K$9:$K$58,$AA40)&lt;&gt;"",INDEX(入力!$K$9:$K$58,$AA40),IF(ISNUMBER(INDEX(入力!$C$9:$C$58,$AA40)),IF(INDEX(入力!$C$9:$C$58,$AA40)-入力!$B$5&gt;0,"ピッキング改善（梱包未入力）","良好（梱包未入力）"),IF(INDEX(入力!$D$9:$D$58,$AA40)-入力!$C$5&gt;0,"梱包改善（ピッキング未入力）","良好（ピッキング未入力）"))))</f>
        <v/>
      </c>
      <c r="Q40" t="str">
        <f>IF($AB40="","",INDEX(入力!$B$9:$B$58,$AB40))</f>
        <v/>
      </c>
      <c r="R40" t="str">
        <f>IF($AB40="","",INDEX(入力!$F$9:$F$58,$AB40))</f>
        <v/>
      </c>
      <c r="S40" t="str">
        <f>IF($AB40="","",INDEX(入力!$C$9:$C$58,$AB40))</f>
        <v/>
      </c>
      <c r="T40" t="str">
        <f>IF($AB40="","",INDEX(入力!$D$9:$D$58,$AB40))</f>
        <v/>
      </c>
      <c r="U40" t="str">
        <f>IF($AB40="","",INDEX(入力!$E$9:$E$58,$AB40))</f>
        <v/>
      </c>
      <c r="V40" t="str">
        <f>IF($Z40="","",IF($B40&lt;&gt;"",$B40,IF($C40&lt;&gt;"",入力!$B$5,"")))</f>
        <v/>
      </c>
      <c r="W40" t="str">
        <f>IF($Z40="","",IF($C40&lt;&gt;"",$C40,IF($B40&lt;&gt;"",入力!$C$5,"")))</f>
        <v/>
      </c>
      <c r="Z40" t="str">
        <f>IFERROR(MATCH(ROW()-1,入力!$N$9:$N$58,0),"")</f>
        <v/>
      </c>
      <c r="AA40" t="str">
        <f>IF(ROW()-1&gt;COUNTIF(入力!$L$9:$L$58,"&gt;-9.9E+98"),"",IFERROR(MATCH(LARGE(入力!$L$9:$L$58,ROW()-1),入力!$L$9:$L$58,0),""))</f>
        <v/>
      </c>
      <c r="AB40" t="str">
        <f>IF(ROW()-1&gt;COUNTIF(入力!$M$9:$M$58,"&gt;-9.9E+98"),"",IFERROR(MATCH(LARGE(入力!$M$9:$M$58,ROW()-1),入力!$M$9:$M$58,0),""))</f>
        <v/>
      </c>
      <c r="AC40">
        <f>入力!$B$5</f>
        <v>1.6</v>
      </c>
      <c r="AD40">
        <f>入力!$C$5</f>
        <v>1.6</v>
      </c>
    </row>
    <row r="41" spans="1:30" x14ac:dyDescent="0.15">
      <c r="A41" t="str">
        <f>IF($Z41="","",INDEX(入力!$B$9:$B$58,$Z41))</f>
        <v/>
      </c>
      <c r="B41" t="str">
        <f>IF($Z41="","",IF(INDEX(入力!$C$9:$C$58,$Z41)="","",INDEX(入力!$C$9:$C$58,$Z41)))</f>
        <v/>
      </c>
      <c r="C41" t="str">
        <f>IF($Z41="","",IF(INDEX(入力!$D$9:$D$58,$Z41)="","",INDEX(入力!$D$9:$D$58,$Z41)))</f>
        <v/>
      </c>
      <c r="D41" t="str">
        <f>IF($Z41="","",INDEX(入力!$E$9:$E$58,$Z41))</f>
        <v/>
      </c>
      <c r="E41" t="str">
        <f>IF($Z41="","",INDEX(入力!$F$9:$F$58,$Z41))</f>
        <v/>
      </c>
      <c r="F41" t="str">
        <f>IF($Z41="","",INDEX(入力!$J$9:$J$58,$Z41))</f>
        <v/>
      </c>
      <c r="G41" t="str">
        <f>IF($Z41="","",INDEX(入力!$K$9:$K$58,$Z41))</f>
        <v/>
      </c>
      <c r="I41" t="str">
        <f>IF($AA41="","",INDEX(入力!$B$9:$B$58,$AA41))</f>
        <v/>
      </c>
      <c r="J41" t="str">
        <f>IF($AA41="","",INDEX(入力!$C$9:$C$58,$AA41))</f>
        <v/>
      </c>
      <c r="K41" t="str">
        <f>IF($AA41="","",INDEX(入力!$D$9:$D$58,$AA41))</f>
        <v/>
      </c>
      <c r="L41" t="str">
        <f>IF($AA41="","",IF(INDEX(入力!$E$9:$E$58,$AA41)&lt;&gt;"",INDEX(入力!$E$9:$E$58,$AA41),IF(ISNUMBER(INDEX(入力!$C$9:$C$58,$AA41)),INDEX(入力!$C$9:$C$58,$AA41),INDEX(入力!$D$9:$D$58,$AA41))))</f>
        <v/>
      </c>
      <c r="M41" t="str">
        <f>IF($AA41="","",IF(INDEX(入力!$I$9:$I$58,$AA41)&lt;&gt;"",INDEX(入力!$I$9:$I$58,$AA41),IF(ISNUMBER(INDEX(入力!$C$9:$C$58,$AA41)),INDEX(入力!$C$9:$C$58,$AA41)-入力!$B$5,INDEX(入力!$D$9:$D$58,$AA41)-入力!$C$5)))</f>
        <v/>
      </c>
      <c r="N41" t="str">
        <f>IF($AA41="","",INDEX(入力!$J$9:$J$58,$AA41))</f>
        <v/>
      </c>
      <c r="O41" t="str">
        <f>IF($AA41="","",IF(INDEX(入力!$K$9:$K$58,$AA41)&lt;&gt;"",INDEX(入力!$K$9:$K$58,$AA41),IF(ISNUMBER(INDEX(入力!$C$9:$C$58,$AA41)),IF(INDEX(入力!$C$9:$C$58,$AA41)-入力!$B$5&gt;0,"ピッキング改善（梱包未入力）","良好（梱包未入力）"),IF(INDEX(入力!$D$9:$D$58,$AA41)-入力!$C$5&gt;0,"梱包改善（ピッキング未入力）","良好（ピッキング未入力）"))))</f>
        <v/>
      </c>
      <c r="Q41" t="str">
        <f>IF($AB41="","",INDEX(入力!$B$9:$B$58,$AB41))</f>
        <v/>
      </c>
      <c r="R41" t="str">
        <f>IF($AB41="","",INDEX(入力!$F$9:$F$58,$AB41))</f>
        <v/>
      </c>
      <c r="S41" t="str">
        <f>IF($AB41="","",INDEX(入力!$C$9:$C$58,$AB41))</f>
        <v/>
      </c>
      <c r="T41" t="str">
        <f>IF($AB41="","",INDEX(入力!$D$9:$D$58,$AB41))</f>
        <v/>
      </c>
      <c r="U41" t="str">
        <f>IF($AB41="","",INDEX(入力!$E$9:$E$58,$AB41))</f>
        <v/>
      </c>
      <c r="V41" t="str">
        <f>IF($Z41="","",IF($B41&lt;&gt;"",$B41,IF($C41&lt;&gt;"",入力!$B$5,"")))</f>
        <v/>
      </c>
      <c r="W41" t="str">
        <f>IF($Z41="","",IF($C41&lt;&gt;"",$C41,IF($B41&lt;&gt;"",入力!$C$5,"")))</f>
        <v/>
      </c>
      <c r="Z41" t="str">
        <f>IFERROR(MATCH(ROW()-1,入力!$N$9:$N$58,0),"")</f>
        <v/>
      </c>
      <c r="AA41" t="str">
        <f>IF(ROW()-1&gt;COUNTIF(入力!$L$9:$L$58,"&gt;-9.9E+98"),"",IFERROR(MATCH(LARGE(入力!$L$9:$L$58,ROW()-1),入力!$L$9:$L$58,0),""))</f>
        <v/>
      </c>
      <c r="AB41" t="str">
        <f>IF(ROW()-1&gt;COUNTIF(入力!$M$9:$M$58,"&gt;-9.9E+98"),"",IFERROR(MATCH(LARGE(入力!$M$9:$M$58,ROW()-1),入力!$M$9:$M$58,0),""))</f>
        <v/>
      </c>
      <c r="AC41">
        <f>入力!$B$5</f>
        <v>1.6</v>
      </c>
      <c r="AD41">
        <f>入力!$C$5</f>
        <v>1.6</v>
      </c>
    </row>
    <row r="42" spans="1:30" x14ac:dyDescent="0.15">
      <c r="A42" t="str">
        <f>IF($Z42="","",INDEX(入力!$B$9:$B$58,$Z42))</f>
        <v/>
      </c>
      <c r="B42" t="str">
        <f>IF($Z42="","",IF(INDEX(入力!$C$9:$C$58,$Z42)="","",INDEX(入力!$C$9:$C$58,$Z42)))</f>
        <v/>
      </c>
      <c r="C42" t="str">
        <f>IF($Z42="","",IF(INDEX(入力!$D$9:$D$58,$Z42)="","",INDEX(入力!$D$9:$D$58,$Z42)))</f>
        <v/>
      </c>
      <c r="D42" t="str">
        <f>IF($Z42="","",INDEX(入力!$E$9:$E$58,$Z42))</f>
        <v/>
      </c>
      <c r="E42" t="str">
        <f>IF($Z42="","",INDEX(入力!$F$9:$F$58,$Z42))</f>
        <v/>
      </c>
      <c r="F42" t="str">
        <f>IF($Z42="","",INDEX(入力!$J$9:$J$58,$Z42))</f>
        <v/>
      </c>
      <c r="G42" t="str">
        <f>IF($Z42="","",INDEX(入力!$K$9:$K$58,$Z42))</f>
        <v/>
      </c>
      <c r="I42" t="str">
        <f>IF($AA42="","",INDEX(入力!$B$9:$B$58,$AA42))</f>
        <v/>
      </c>
      <c r="J42" t="str">
        <f>IF($AA42="","",INDEX(入力!$C$9:$C$58,$AA42))</f>
        <v/>
      </c>
      <c r="K42" t="str">
        <f>IF($AA42="","",INDEX(入力!$D$9:$D$58,$AA42))</f>
        <v/>
      </c>
      <c r="L42" t="str">
        <f>IF($AA42="","",IF(INDEX(入力!$E$9:$E$58,$AA42)&lt;&gt;"",INDEX(入力!$E$9:$E$58,$AA42),IF(ISNUMBER(INDEX(入力!$C$9:$C$58,$AA42)),INDEX(入力!$C$9:$C$58,$AA42),INDEX(入力!$D$9:$D$58,$AA42))))</f>
        <v/>
      </c>
      <c r="M42" t="str">
        <f>IF($AA42="","",IF(INDEX(入力!$I$9:$I$58,$AA42)&lt;&gt;"",INDEX(入力!$I$9:$I$58,$AA42),IF(ISNUMBER(INDEX(入力!$C$9:$C$58,$AA42)),INDEX(入力!$C$9:$C$58,$AA42)-入力!$B$5,INDEX(入力!$D$9:$D$58,$AA42)-入力!$C$5)))</f>
        <v/>
      </c>
      <c r="N42" t="str">
        <f>IF($AA42="","",INDEX(入力!$J$9:$J$58,$AA42))</f>
        <v/>
      </c>
      <c r="O42" t="str">
        <f>IF($AA42="","",IF(INDEX(入力!$K$9:$K$58,$AA42)&lt;&gt;"",INDEX(入力!$K$9:$K$58,$AA42),IF(ISNUMBER(INDEX(入力!$C$9:$C$58,$AA42)),IF(INDEX(入力!$C$9:$C$58,$AA42)-入力!$B$5&gt;0,"ピッキング改善（梱包未入力）","良好（梱包未入力）"),IF(INDEX(入力!$D$9:$D$58,$AA42)-入力!$C$5&gt;0,"梱包改善（ピッキング未入力）","良好（ピッキング未入力）"))))</f>
        <v/>
      </c>
      <c r="Q42" t="str">
        <f>IF($AB42="","",INDEX(入力!$B$9:$B$58,$AB42))</f>
        <v/>
      </c>
      <c r="R42" t="str">
        <f>IF($AB42="","",INDEX(入力!$F$9:$F$58,$AB42))</f>
        <v/>
      </c>
      <c r="S42" t="str">
        <f>IF($AB42="","",INDEX(入力!$C$9:$C$58,$AB42))</f>
        <v/>
      </c>
      <c r="T42" t="str">
        <f>IF($AB42="","",INDEX(入力!$D$9:$D$58,$AB42))</f>
        <v/>
      </c>
      <c r="U42" t="str">
        <f>IF($AB42="","",INDEX(入力!$E$9:$E$58,$AB42))</f>
        <v/>
      </c>
      <c r="V42" t="str">
        <f>IF($Z42="","",IF($B42&lt;&gt;"",$B42,IF($C42&lt;&gt;"",入力!$B$5,"")))</f>
        <v/>
      </c>
      <c r="W42" t="str">
        <f>IF($Z42="","",IF($C42&lt;&gt;"",$C42,IF($B42&lt;&gt;"",入力!$C$5,"")))</f>
        <v/>
      </c>
      <c r="Z42" t="str">
        <f>IFERROR(MATCH(ROW()-1,入力!$N$9:$N$58,0),"")</f>
        <v/>
      </c>
      <c r="AA42" t="str">
        <f>IF(ROW()-1&gt;COUNTIF(入力!$L$9:$L$58,"&gt;-9.9E+98"),"",IFERROR(MATCH(LARGE(入力!$L$9:$L$58,ROW()-1),入力!$L$9:$L$58,0),""))</f>
        <v/>
      </c>
      <c r="AB42" t="str">
        <f>IF(ROW()-1&gt;COUNTIF(入力!$M$9:$M$58,"&gt;-9.9E+98"),"",IFERROR(MATCH(LARGE(入力!$M$9:$M$58,ROW()-1),入力!$M$9:$M$58,0),""))</f>
        <v/>
      </c>
      <c r="AC42">
        <f>入力!$B$5</f>
        <v>1.6</v>
      </c>
      <c r="AD42">
        <f>入力!$C$5</f>
        <v>1.6</v>
      </c>
    </row>
    <row r="43" spans="1:30" x14ac:dyDescent="0.15">
      <c r="A43" t="str">
        <f>IF($Z43="","",INDEX(入力!$B$9:$B$58,$Z43))</f>
        <v/>
      </c>
      <c r="B43" t="str">
        <f>IF($Z43="","",IF(INDEX(入力!$C$9:$C$58,$Z43)="","",INDEX(入力!$C$9:$C$58,$Z43)))</f>
        <v/>
      </c>
      <c r="C43" t="str">
        <f>IF($Z43="","",IF(INDEX(入力!$D$9:$D$58,$Z43)="","",INDEX(入力!$D$9:$D$58,$Z43)))</f>
        <v/>
      </c>
      <c r="D43" t="str">
        <f>IF($Z43="","",INDEX(入力!$E$9:$E$58,$Z43))</f>
        <v/>
      </c>
      <c r="E43" t="str">
        <f>IF($Z43="","",INDEX(入力!$F$9:$F$58,$Z43))</f>
        <v/>
      </c>
      <c r="F43" t="str">
        <f>IF($Z43="","",INDEX(入力!$J$9:$J$58,$Z43))</f>
        <v/>
      </c>
      <c r="G43" t="str">
        <f>IF($Z43="","",INDEX(入力!$K$9:$K$58,$Z43))</f>
        <v/>
      </c>
      <c r="I43" t="str">
        <f>IF($AA43="","",INDEX(入力!$B$9:$B$58,$AA43))</f>
        <v/>
      </c>
      <c r="J43" t="str">
        <f>IF($AA43="","",INDEX(入力!$C$9:$C$58,$AA43))</f>
        <v/>
      </c>
      <c r="K43" t="str">
        <f>IF($AA43="","",INDEX(入力!$D$9:$D$58,$AA43))</f>
        <v/>
      </c>
      <c r="L43" t="str">
        <f>IF($AA43="","",IF(INDEX(入力!$E$9:$E$58,$AA43)&lt;&gt;"",INDEX(入力!$E$9:$E$58,$AA43),IF(ISNUMBER(INDEX(入力!$C$9:$C$58,$AA43)),INDEX(入力!$C$9:$C$58,$AA43),INDEX(入力!$D$9:$D$58,$AA43))))</f>
        <v/>
      </c>
      <c r="M43" t="str">
        <f>IF($AA43="","",IF(INDEX(入力!$I$9:$I$58,$AA43)&lt;&gt;"",INDEX(入力!$I$9:$I$58,$AA43),IF(ISNUMBER(INDEX(入力!$C$9:$C$58,$AA43)),INDEX(入力!$C$9:$C$58,$AA43)-入力!$B$5,INDEX(入力!$D$9:$D$58,$AA43)-入力!$C$5)))</f>
        <v/>
      </c>
      <c r="N43" t="str">
        <f>IF($AA43="","",INDEX(入力!$J$9:$J$58,$AA43))</f>
        <v/>
      </c>
      <c r="O43" t="str">
        <f>IF($AA43="","",IF(INDEX(入力!$K$9:$K$58,$AA43)&lt;&gt;"",INDEX(入力!$K$9:$K$58,$AA43),IF(ISNUMBER(INDEX(入力!$C$9:$C$58,$AA43)),IF(INDEX(入力!$C$9:$C$58,$AA43)-入力!$B$5&gt;0,"ピッキング改善（梱包未入力）","良好（梱包未入力）"),IF(INDEX(入力!$D$9:$D$58,$AA43)-入力!$C$5&gt;0,"梱包改善（ピッキング未入力）","良好（ピッキング未入力）"))))</f>
        <v/>
      </c>
      <c r="Q43" t="str">
        <f>IF($AB43="","",INDEX(入力!$B$9:$B$58,$AB43))</f>
        <v/>
      </c>
      <c r="R43" t="str">
        <f>IF($AB43="","",INDEX(入力!$F$9:$F$58,$AB43))</f>
        <v/>
      </c>
      <c r="S43" t="str">
        <f>IF($AB43="","",INDEX(入力!$C$9:$C$58,$AB43))</f>
        <v/>
      </c>
      <c r="T43" t="str">
        <f>IF($AB43="","",INDEX(入力!$D$9:$D$58,$AB43))</f>
        <v/>
      </c>
      <c r="U43" t="str">
        <f>IF($AB43="","",INDEX(入力!$E$9:$E$58,$AB43))</f>
        <v/>
      </c>
      <c r="V43" t="str">
        <f>IF($Z43="","",IF($B43&lt;&gt;"",$B43,IF($C43&lt;&gt;"",入力!$B$5,"")))</f>
        <v/>
      </c>
      <c r="W43" t="str">
        <f>IF($Z43="","",IF($C43&lt;&gt;"",$C43,IF($B43&lt;&gt;"",入力!$C$5,"")))</f>
        <v/>
      </c>
      <c r="Z43" t="str">
        <f>IFERROR(MATCH(ROW()-1,入力!$N$9:$N$58,0),"")</f>
        <v/>
      </c>
      <c r="AA43" t="str">
        <f>IF(ROW()-1&gt;COUNTIF(入力!$L$9:$L$58,"&gt;-9.9E+98"),"",IFERROR(MATCH(LARGE(入力!$L$9:$L$58,ROW()-1),入力!$L$9:$L$58,0),""))</f>
        <v/>
      </c>
      <c r="AB43" t="str">
        <f>IF(ROW()-1&gt;COUNTIF(入力!$M$9:$M$58,"&gt;-9.9E+98"),"",IFERROR(MATCH(LARGE(入力!$M$9:$M$58,ROW()-1),入力!$M$9:$M$58,0),""))</f>
        <v/>
      </c>
      <c r="AC43">
        <f>入力!$B$5</f>
        <v>1.6</v>
      </c>
      <c r="AD43">
        <f>入力!$C$5</f>
        <v>1.6</v>
      </c>
    </row>
    <row r="44" spans="1:30" x14ac:dyDescent="0.15">
      <c r="A44" t="str">
        <f>IF($Z44="","",INDEX(入力!$B$9:$B$58,$Z44))</f>
        <v/>
      </c>
      <c r="B44" t="str">
        <f>IF($Z44="","",IF(INDEX(入力!$C$9:$C$58,$Z44)="","",INDEX(入力!$C$9:$C$58,$Z44)))</f>
        <v/>
      </c>
      <c r="C44" t="str">
        <f>IF($Z44="","",IF(INDEX(入力!$D$9:$D$58,$Z44)="","",INDEX(入力!$D$9:$D$58,$Z44)))</f>
        <v/>
      </c>
      <c r="D44" t="str">
        <f>IF($Z44="","",INDEX(入力!$E$9:$E$58,$Z44))</f>
        <v/>
      </c>
      <c r="E44" t="str">
        <f>IF($Z44="","",INDEX(入力!$F$9:$F$58,$Z44))</f>
        <v/>
      </c>
      <c r="F44" t="str">
        <f>IF($Z44="","",INDEX(入力!$J$9:$J$58,$Z44))</f>
        <v/>
      </c>
      <c r="G44" t="str">
        <f>IF($Z44="","",INDEX(入力!$K$9:$K$58,$Z44))</f>
        <v/>
      </c>
      <c r="I44" t="str">
        <f>IF($AA44="","",INDEX(入力!$B$9:$B$58,$AA44))</f>
        <v/>
      </c>
      <c r="J44" t="str">
        <f>IF($AA44="","",INDEX(入力!$C$9:$C$58,$AA44))</f>
        <v/>
      </c>
      <c r="K44" t="str">
        <f>IF($AA44="","",INDEX(入力!$D$9:$D$58,$AA44))</f>
        <v/>
      </c>
      <c r="L44" t="str">
        <f>IF($AA44="","",IF(INDEX(入力!$E$9:$E$58,$AA44)&lt;&gt;"",INDEX(入力!$E$9:$E$58,$AA44),IF(ISNUMBER(INDEX(入力!$C$9:$C$58,$AA44)),INDEX(入力!$C$9:$C$58,$AA44),INDEX(入力!$D$9:$D$58,$AA44))))</f>
        <v/>
      </c>
      <c r="M44" t="str">
        <f>IF($AA44="","",IF(INDEX(入力!$I$9:$I$58,$AA44)&lt;&gt;"",INDEX(入力!$I$9:$I$58,$AA44),IF(ISNUMBER(INDEX(入力!$C$9:$C$58,$AA44)),INDEX(入力!$C$9:$C$58,$AA44)-入力!$B$5,INDEX(入力!$D$9:$D$58,$AA44)-入力!$C$5)))</f>
        <v/>
      </c>
      <c r="N44" t="str">
        <f>IF($AA44="","",INDEX(入力!$J$9:$J$58,$AA44))</f>
        <v/>
      </c>
      <c r="O44" t="str">
        <f>IF($AA44="","",IF(INDEX(入力!$K$9:$K$58,$AA44)&lt;&gt;"",INDEX(入力!$K$9:$K$58,$AA44),IF(ISNUMBER(INDEX(入力!$C$9:$C$58,$AA44)),IF(INDEX(入力!$C$9:$C$58,$AA44)-入力!$B$5&gt;0,"ピッキング改善（梱包未入力）","良好（梱包未入力）"),IF(INDEX(入力!$D$9:$D$58,$AA44)-入力!$C$5&gt;0,"梱包改善（ピッキング未入力）","良好（ピッキング未入力）"))))</f>
        <v/>
      </c>
      <c r="Q44" t="str">
        <f>IF($AB44="","",INDEX(入力!$B$9:$B$58,$AB44))</f>
        <v/>
      </c>
      <c r="R44" t="str">
        <f>IF($AB44="","",INDEX(入力!$F$9:$F$58,$AB44))</f>
        <v/>
      </c>
      <c r="S44" t="str">
        <f>IF($AB44="","",INDEX(入力!$C$9:$C$58,$AB44))</f>
        <v/>
      </c>
      <c r="T44" t="str">
        <f>IF($AB44="","",INDEX(入力!$D$9:$D$58,$AB44))</f>
        <v/>
      </c>
      <c r="U44" t="str">
        <f>IF($AB44="","",INDEX(入力!$E$9:$E$58,$AB44))</f>
        <v/>
      </c>
      <c r="V44" t="str">
        <f>IF($Z44="","",IF($B44&lt;&gt;"",$B44,IF($C44&lt;&gt;"",入力!$B$5,"")))</f>
        <v/>
      </c>
      <c r="W44" t="str">
        <f>IF($Z44="","",IF($C44&lt;&gt;"",$C44,IF($B44&lt;&gt;"",入力!$C$5,"")))</f>
        <v/>
      </c>
      <c r="Z44" t="str">
        <f>IFERROR(MATCH(ROW()-1,入力!$N$9:$N$58,0),"")</f>
        <v/>
      </c>
      <c r="AA44" t="str">
        <f>IF(ROW()-1&gt;COUNTIF(入力!$L$9:$L$58,"&gt;-9.9E+98"),"",IFERROR(MATCH(LARGE(入力!$L$9:$L$58,ROW()-1),入力!$L$9:$L$58,0),""))</f>
        <v/>
      </c>
      <c r="AB44" t="str">
        <f>IF(ROW()-1&gt;COUNTIF(入力!$M$9:$M$58,"&gt;-9.9E+98"),"",IFERROR(MATCH(LARGE(入力!$M$9:$M$58,ROW()-1),入力!$M$9:$M$58,0),""))</f>
        <v/>
      </c>
      <c r="AC44">
        <f>入力!$B$5</f>
        <v>1.6</v>
      </c>
      <c r="AD44">
        <f>入力!$C$5</f>
        <v>1.6</v>
      </c>
    </row>
    <row r="45" spans="1:30" x14ac:dyDescent="0.15">
      <c r="A45" t="str">
        <f>IF($Z45="","",INDEX(入力!$B$9:$B$58,$Z45))</f>
        <v/>
      </c>
      <c r="B45" t="str">
        <f>IF($Z45="","",IF(INDEX(入力!$C$9:$C$58,$Z45)="","",INDEX(入力!$C$9:$C$58,$Z45)))</f>
        <v/>
      </c>
      <c r="C45" t="str">
        <f>IF($Z45="","",IF(INDEX(入力!$D$9:$D$58,$Z45)="","",INDEX(入力!$D$9:$D$58,$Z45)))</f>
        <v/>
      </c>
      <c r="D45" t="str">
        <f>IF($Z45="","",INDEX(入力!$E$9:$E$58,$Z45))</f>
        <v/>
      </c>
      <c r="E45" t="str">
        <f>IF($Z45="","",INDEX(入力!$F$9:$F$58,$Z45))</f>
        <v/>
      </c>
      <c r="F45" t="str">
        <f>IF($Z45="","",INDEX(入力!$J$9:$J$58,$Z45))</f>
        <v/>
      </c>
      <c r="G45" t="str">
        <f>IF($Z45="","",INDEX(入力!$K$9:$K$58,$Z45))</f>
        <v/>
      </c>
      <c r="I45" t="str">
        <f>IF($AA45="","",INDEX(入力!$B$9:$B$58,$AA45))</f>
        <v/>
      </c>
      <c r="J45" t="str">
        <f>IF($AA45="","",INDEX(入力!$C$9:$C$58,$AA45))</f>
        <v/>
      </c>
      <c r="K45" t="str">
        <f>IF($AA45="","",INDEX(入力!$D$9:$D$58,$AA45))</f>
        <v/>
      </c>
      <c r="L45" t="str">
        <f>IF($AA45="","",IF(INDEX(入力!$E$9:$E$58,$AA45)&lt;&gt;"",INDEX(入力!$E$9:$E$58,$AA45),IF(ISNUMBER(INDEX(入力!$C$9:$C$58,$AA45)),INDEX(入力!$C$9:$C$58,$AA45),INDEX(入力!$D$9:$D$58,$AA45))))</f>
        <v/>
      </c>
      <c r="M45" t="str">
        <f>IF($AA45="","",IF(INDEX(入力!$I$9:$I$58,$AA45)&lt;&gt;"",INDEX(入力!$I$9:$I$58,$AA45),IF(ISNUMBER(INDEX(入力!$C$9:$C$58,$AA45)),INDEX(入力!$C$9:$C$58,$AA45)-入力!$B$5,INDEX(入力!$D$9:$D$58,$AA45)-入力!$C$5)))</f>
        <v/>
      </c>
      <c r="N45" t="str">
        <f>IF($AA45="","",INDEX(入力!$J$9:$J$58,$AA45))</f>
        <v/>
      </c>
      <c r="O45" t="str">
        <f>IF($AA45="","",IF(INDEX(入力!$K$9:$K$58,$AA45)&lt;&gt;"",INDEX(入力!$K$9:$K$58,$AA45),IF(ISNUMBER(INDEX(入力!$C$9:$C$58,$AA45)),IF(INDEX(入力!$C$9:$C$58,$AA45)-入力!$B$5&gt;0,"ピッキング改善（梱包未入力）","良好（梱包未入力）"),IF(INDEX(入力!$D$9:$D$58,$AA45)-入力!$C$5&gt;0,"梱包改善（ピッキング未入力）","良好（ピッキング未入力）"))))</f>
        <v/>
      </c>
      <c r="Q45" t="str">
        <f>IF($AB45="","",INDEX(入力!$B$9:$B$58,$AB45))</f>
        <v/>
      </c>
      <c r="R45" t="str">
        <f>IF($AB45="","",INDEX(入力!$F$9:$F$58,$AB45))</f>
        <v/>
      </c>
      <c r="S45" t="str">
        <f>IF($AB45="","",INDEX(入力!$C$9:$C$58,$AB45))</f>
        <v/>
      </c>
      <c r="T45" t="str">
        <f>IF($AB45="","",INDEX(入力!$D$9:$D$58,$AB45))</f>
        <v/>
      </c>
      <c r="U45" t="str">
        <f>IF($AB45="","",INDEX(入力!$E$9:$E$58,$AB45))</f>
        <v/>
      </c>
      <c r="V45" t="str">
        <f>IF($Z45="","",IF($B45&lt;&gt;"",$B45,IF($C45&lt;&gt;"",入力!$B$5,"")))</f>
        <v/>
      </c>
      <c r="W45" t="str">
        <f>IF($Z45="","",IF($C45&lt;&gt;"",$C45,IF($B45&lt;&gt;"",入力!$C$5,"")))</f>
        <v/>
      </c>
      <c r="Z45" t="str">
        <f>IFERROR(MATCH(ROW()-1,入力!$N$9:$N$58,0),"")</f>
        <v/>
      </c>
      <c r="AA45" t="str">
        <f>IF(ROW()-1&gt;COUNTIF(入力!$L$9:$L$58,"&gt;-9.9E+98"),"",IFERROR(MATCH(LARGE(入力!$L$9:$L$58,ROW()-1),入力!$L$9:$L$58,0),""))</f>
        <v/>
      </c>
      <c r="AB45" t="str">
        <f>IF(ROW()-1&gt;COUNTIF(入力!$M$9:$M$58,"&gt;-9.9E+98"),"",IFERROR(MATCH(LARGE(入力!$M$9:$M$58,ROW()-1),入力!$M$9:$M$58,0),""))</f>
        <v/>
      </c>
      <c r="AC45">
        <f>入力!$B$5</f>
        <v>1.6</v>
      </c>
      <c r="AD45">
        <f>入力!$C$5</f>
        <v>1.6</v>
      </c>
    </row>
    <row r="46" spans="1:30" x14ac:dyDescent="0.15">
      <c r="A46" t="str">
        <f>IF($Z46="","",INDEX(入力!$B$9:$B$58,$Z46))</f>
        <v/>
      </c>
      <c r="B46" t="str">
        <f>IF($Z46="","",IF(INDEX(入力!$C$9:$C$58,$Z46)="","",INDEX(入力!$C$9:$C$58,$Z46)))</f>
        <v/>
      </c>
      <c r="C46" t="str">
        <f>IF($Z46="","",IF(INDEX(入力!$D$9:$D$58,$Z46)="","",INDEX(入力!$D$9:$D$58,$Z46)))</f>
        <v/>
      </c>
      <c r="D46" t="str">
        <f>IF($Z46="","",INDEX(入力!$E$9:$E$58,$Z46))</f>
        <v/>
      </c>
      <c r="E46" t="str">
        <f>IF($Z46="","",INDEX(入力!$F$9:$F$58,$Z46))</f>
        <v/>
      </c>
      <c r="F46" t="str">
        <f>IF($Z46="","",INDEX(入力!$J$9:$J$58,$Z46))</f>
        <v/>
      </c>
      <c r="G46" t="str">
        <f>IF($Z46="","",INDEX(入力!$K$9:$K$58,$Z46))</f>
        <v/>
      </c>
      <c r="I46" t="str">
        <f>IF($AA46="","",INDEX(入力!$B$9:$B$58,$AA46))</f>
        <v/>
      </c>
      <c r="J46" t="str">
        <f>IF($AA46="","",INDEX(入力!$C$9:$C$58,$AA46))</f>
        <v/>
      </c>
      <c r="K46" t="str">
        <f>IF($AA46="","",INDEX(入力!$D$9:$D$58,$AA46))</f>
        <v/>
      </c>
      <c r="L46" t="str">
        <f>IF($AA46="","",IF(INDEX(入力!$E$9:$E$58,$AA46)&lt;&gt;"",INDEX(入力!$E$9:$E$58,$AA46),IF(ISNUMBER(INDEX(入力!$C$9:$C$58,$AA46)),INDEX(入力!$C$9:$C$58,$AA46),INDEX(入力!$D$9:$D$58,$AA46))))</f>
        <v/>
      </c>
      <c r="M46" t="str">
        <f>IF($AA46="","",IF(INDEX(入力!$I$9:$I$58,$AA46)&lt;&gt;"",INDEX(入力!$I$9:$I$58,$AA46),IF(ISNUMBER(INDEX(入力!$C$9:$C$58,$AA46)),INDEX(入力!$C$9:$C$58,$AA46)-入力!$B$5,INDEX(入力!$D$9:$D$58,$AA46)-入力!$C$5)))</f>
        <v/>
      </c>
      <c r="N46" t="str">
        <f>IF($AA46="","",INDEX(入力!$J$9:$J$58,$AA46))</f>
        <v/>
      </c>
      <c r="O46" t="str">
        <f>IF($AA46="","",IF(INDEX(入力!$K$9:$K$58,$AA46)&lt;&gt;"",INDEX(入力!$K$9:$K$58,$AA46),IF(ISNUMBER(INDEX(入力!$C$9:$C$58,$AA46)),IF(INDEX(入力!$C$9:$C$58,$AA46)-入力!$B$5&gt;0,"ピッキング改善（梱包未入力）","良好（梱包未入力）"),IF(INDEX(入力!$D$9:$D$58,$AA46)-入力!$C$5&gt;0,"梱包改善（ピッキング未入力）","良好（ピッキング未入力）"))))</f>
        <v/>
      </c>
      <c r="Q46" t="str">
        <f>IF($AB46="","",INDEX(入力!$B$9:$B$58,$AB46))</f>
        <v/>
      </c>
      <c r="R46" t="str">
        <f>IF($AB46="","",INDEX(入力!$F$9:$F$58,$AB46))</f>
        <v/>
      </c>
      <c r="S46" t="str">
        <f>IF($AB46="","",INDEX(入力!$C$9:$C$58,$AB46))</f>
        <v/>
      </c>
      <c r="T46" t="str">
        <f>IF($AB46="","",INDEX(入力!$D$9:$D$58,$AB46))</f>
        <v/>
      </c>
      <c r="U46" t="str">
        <f>IF($AB46="","",INDEX(入力!$E$9:$E$58,$AB46))</f>
        <v/>
      </c>
      <c r="V46" t="str">
        <f>IF($Z46="","",IF($B46&lt;&gt;"",$B46,IF($C46&lt;&gt;"",入力!$B$5,"")))</f>
        <v/>
      </c>
      <c r="W46" t="str">
        <f>IF($Z46="","",IF($C46&lt;&gt;"",$C46,IF($B46&lt;&gt;"",入力!$C$5,"")))</f>
        <v/>
      </c>
      <c r="Z46" t="str">
        <f>IFERROR(MATCH(ROW()-1,入力!$N$9:$N$58,0),"")</f>
        <v/>
      </c>
      <c r="AA46" t="str">
        <f>IF(ROW()-1&gt;COUNTIF(入力!$L$9:$L$58,"&gt;-9.9E+98"),"",IFERROR(MATCH(LARGE(入力!$L$9:$L$58,ROW()-1),入力!$L$9:$L$58,0),""))</f>
        <v/>
      </c>
      <c r="AB46" t="str">
        <f>IF(ROW()-1&gt;COUNTIF(入力!$M$9:$M$58,"&gt;-9.9E+98"),"",IFERROR(MATCH(LARGE(入力!$M$9:$M$58,ROW()-1),入力!$M$9:$M$58,0),""))</f>
        <v/>
      </c>
      <c r="AC46">
        <f>入力!$B$5</f>
        <v>1.6</v>
      </c>
      <c r="AD46">
        <f>入力!$C$5</f>
        <v>1.6</v>
      </c>
    </row>
    <row r="47" spans="1:30" x14ac:dyDescent="0.15">
      <c r="A47" t="str">
        <f>IF($Z47="","",INDEX(入力!$B$9:$B$58,$Z47))</f>
        <v/>
      </c>
      <c r="B47" t="str">
        <f>IF($Z47="","",IF(INDEX(入力!$C$9:$C$58,$Z47)="","",INDEX(入力!$C$9:$C$58,$Z47)))</f>
        <v/>
      </c>
      <c r="C47" t="str">
        <f>IF($Z47="","",IF(INDEX(入力!$D$9:$D$58,$Z47)="","",INDEX(入力!$D$9:$D$58,$Z47)))</f>
        <v/>
      </c>
      <c r="D47" t="str">
        <f>IF($Z47="","",INDEX(入力!$E$9:$E$58,$Z47))</f>
        <v/>
      </c>
      <c r="E47" t="str">
        <f>IF($Z47="","",INDEX(入力!$F$9:$F$58,$Z47))</f>
        <v/>
      </c>
      <c r="F47" t="str">
        <f>IF($Z47="","",INDEX(入力!$J$9:$J$58,$Z47))</f>
        <v/>
      </c>
      <c r="G47" t="str">
        <f>IF($Z47="","",INDEX(入力!$K$9:$K$58,$Z47))</f>
        <v/>
      </c>
      <c r="I47" t="str">
        <f>IF($AA47="","",INDEX(入力!$B$9:$B$58,$AA47))</f>
        <v/>
      </c>
      <c r="J47" t="str">
        <f>IF($AA47="","",INDEX(入力!$C$9:$C$58,$AA47))</f>
        <v/>
      </c>
      <c r="K47" t="str">
        <f>IF($AA47="","",INDEX(入力!$D$9:$D$58,$AA47))</f>
        <v/>
      </c>
      <c r="L47" t="str">
        <f>IF($AA47="","",IF(INDEX(入力!$E$9:$E$58,$AA47)&lt;&gt;"",INDEX(入力!$E$9:$E$58,$AA47),IF(ISNUMBER(INDEX(入力!$C$9:$C$58,$AA47)),INDEX(入力!$C$9:$C$58,$AA47),INDEX(入力!$D$9:$D$58,$AA47))))</f>
        <v/>
      </c>
      <c r="M47" t="str">
        <f>IF($AA47="","",IF(INDEX(入力!$I$9:$I$58,$AA47)&lt;&gt;"",INDEX(入力!$I$9:$I$58,$AA47),IF(ISNUMBER(INDEX(入力!$C$9:$C$58,$AA47)),INDEX(入力!$C$9:$C$58,$AA47)-入力!$B$5,INDEX(入力!$D$9:$D$58,$AA47)-入力!$C$5)))</f>
        <v/>
      </c>
      <c r="N47" t="str">
        <f>IF($AA47="","",INDEX(入力!$J$9:$J$58,$AA47))</f>
        <v/>
      </c>
      <c r="O47" t="str">
        <f>IF($AA47="","",IF(INDEX(入力!$K$9:$K$58,$AA47)&lt;&gt;"",INDEX(入力!$K$9:$K$58,$AA47),IF(ISNUMBER(INDEX(入力!$C$9:$C$58,$AA47)),IF(INDEX(入力!$C$9:$C$58,$AA47)-入力!$B$5&gt;0,"ピッキング改善（梱包未入力）","良好（梱包未入力）"),IF(INDEX(入力!$D$9:$D$58,$AA47)-入力!$C$5&gt;0,"梱包改善（ピッキング未入力）","良好（ピッキング未入力）"))))</f>
        <v/>
      </c>
      <c r="Q47" t="str">
        <f>IF($AB47="","",INDEX(入力!$B$9:$B$58,$AB47))</f>
        <v/>
      </c>
      <c r="R47" t="str">
        <f>IF($AB47="","",INDEX(入力!$F$9:$F$58,$AB47))</f>
        <v/>
      </c>
      <c r="S47" t="str">
        <f>IF($AB47="","",INDEX(入力!$C$9:$C$58,$AB47))</f>
        <v/>
      </c>
      <c r="T47" t="str">
        <f>IF($AB47="","",INDEX(入力!$D$9:$D$58,$AB47))</f>
        <v/>
      </c>
      <c r="U47" t="str">
        <f>IF($AB47="","",INDEX(入力!$E$9:$E$58,$AB47))</f>
        <v/>
      </c>
      <c r="V47" t="str">
        <f>IF($Z47="","",IF($B47&lt;&gt;"",$B47,IF($C47&lt;&gt;"",入力!$B$5,"")))</f>
        <v/>
      </c>
      <c r="W47" t="str">
        <f>IF($Z47="","",IF($C47&lt;&gt;"",$C47,IF($B47&lt;&gt;"",入力!$C$5,"")))</f>
        <v/>
      </c>
      <c r="Z47" t="str">
        <f>IFERROR(MATCH(ROW()-1,入力!$N$9:$N$58,0),"")</f>
        <v/>
      </c>
      <c r="AA47" t="str">
        <f>IF(ROW()-1&gt;COUNTIF(入力!$L$9:$L$58,"&gt;-9.9E+98"),"",IFERROR(MATCH(LARGE(入力!$L$9:$L$58,ROW()-1),入力!$L$9:$L$58,0),""))</f>
        <v/>
      </c>
      <c r="AB47" t="str">
        <f>IF(ROW()-1&gt;COUNTIF(入力!$M$9:$M$58,"&gt;-9.9E+98"),"",IFERROR(MATCH(LARGE(入力!$M$9:$M$58,ROW()-1),入力!$M$9:$M$58,0),""))</f>
        <v/>
      </c>
      <c r="AC47">
        <f>入力!$B$5</f>
        <v>1.6</v>
      </c>
      <c r="AD47">
        <f>入力!$C$5</f>
        <v>1.6</v>
      </c>
    </row>
    <row r="48" spans="1:30" x14ac:dyDescent="0.15">
      <c r="A48" t="str">
        <f>IF($Z48="","",INDEX(入力!$B$9:$B$58,$Z48))</f>
        <v/>
      </c>
      <c r="B48" t="str">
        <f>IF($Z48="","",IF(INDEX(入力!$C$9:$C$58,$Z48)="","",INDEX(入力!$C$9:$C$58,$Z48)))</f>
        <v/>
      </c>
      <c r="C48" t="str">
        <f>IF($Z48="","",IF(INDEX(入力!$D$9:$D$58,$Z48)="","",INDEX(入力!$D$9:$D$58,$Z48)))</f>
        <v/>
      </c>
      <c r="D48" t="str">
        <f>IF($Z48="","",INDEX(入力!$E$9:$E$58,$Z48))</f>
        <v/>
      </c>
      <c r="E48" t="str">
        <f>IF($Z48="","",INDEX(入力!$F$9:$F$58,$Z48))</f>
        <v/>
      </c>
      <c r="F48" t="str">
        <f>IF($Z48="","",INDEX(入力!$J$9:$J$58,$Z48))</f>
        <v/>
      </c>
      <c r="G48" t="str">
        <f>IF($Z48="","",INDEX(入力!$K$9:$K$58,$Z48))</f>
        <v/>
      </c>
      <c r="I48" t="str">
        <f>IF($AA48="","",INDEX(入力!$B$9:$B$58,$AA48))</f>
        <v/>
      </c>
      <c r="J48" t="str">
        <f>IF($AA48="","",INDEX(入力!$C$9:$C$58,$AA48))</f>
        <v/>
      </c>
      <c r="K48" t="str">
        <f>IF($AA48="","",INDEX(入力!$D$9:$D$58,$AA48))</f>
        <v/>
      </c>
      <c r="L48" t="str">
        <f>IF($AA48="","",IF(INDEX(入力!$E$9:$E$58,$AA48)&lt;&gt;"",INDEX(入力!$E$9:$E$58,$AA48),IF(ISNUMBER(INDEX(入力!$C$9:$C$58,$AA48)),INDEX(入力!$C$9:$C$58,$AA48),INDEX(入力!$D$9:$D$58,$AA48))))</f>
        <v/>
      </c>
      <c r="M48" t="str">
        <f>IF($AA48="","",IF(INDEX(入力!$I$9:$I$58,$AA48)&lt;&gt;"",INDEX(入力!$I$9:$I$58,$AA48),IF(ISNUMBER(INDEX(入力!$C$9:$C$58,$AA48)),INDEX(入力!$C$9:$C$58,$AA48)-入力!$B$5,INDEX(入力!$D$9:$D$58,$AA48)-入力!$C$5)))</f>
        <v/>
      </c>
      <c r="N48" t="str">
        <f>IF($AA48="","",INDEX(入力!$J$9:$J$58,$AA48))</f>
        <v/>
      </c>
      <c r="O48" t="str">
        <f>IF($AA48="","",IF(INDEX(入力!$K$9:$K$58,$AA48)&lt;&gt;"",INDEX(入力!$K$9:$K$58,$AA48),IF(ISNUMBER(INDEX(入力!$C$9:$C$58,$AA48)),IF(INDEX(入力!$C$9:$C$58,$AA48)-入力!$B$5&gt;0,"ピッキング改善（梱包未入力）","良好（梱包未入力）"),IF(INDEX(入力!$D$9:$D$58,$AA48)-入力!$C$5&gt;0,"梱包改善（ピッキング未入力）","良好（ピッキング未入力）"))))</f>
        <v/>
      </c>
      <c r="Q48" t="str">
        <f>IF($AB48="","",INDEX(入力!$B$9:$B$58,$AB48))</f>
        <v/>
      </c>
      <c r="R48" t="str">
        <f>IF($AB48="","",INDEX(入力!$F$9:$F$58,$AB48))</f>
        <v/>
      </c>
      <c r="S48" t="str">
        <f>IF($AB48="","",INDEX(入力!$C$9:$C$58,$AB48))</f>
        <v/>
      </c>
      <c r="T48" t="str">
        <f>IF($AB48="","",INDEX(入力!$D$9:$D$58,$AB48))</f>
        <v/>
      </c>
      <c r="U48" t="str">
        <f>IF($AB48="","",INDEX(入力!$E$9:$E$58,$AB48))</f>
        <v/>
      </c>
      <c r="V48" t="str">
        <f>IF($Z48="","",IF($B48&lt;&gt;"",$B48,IF($C48&lt;&gt;"",入力!$B$5,"")))</f>
        <v/>
      </c>
      <c r="W48" t="str">
        <f>IF($Z48="","",IF($C48&lt;&gt;"",$C48,IF($B48&lt;&gt;"",入力!$C$5,"")))</f>
        <v/>
      </c>
      <c r="Z48" t="str">
        <f>IFERROR(MATCH(ROW()-1,入力!$N$9:$N$58,0),"")</f>
        <v/>
      </c>
      <c r="AA48" t="str">
        <f>IF(ROW()-1&gt;COUNTIF(入力!$L$9:$L$58,"&gt;-9.9E+98"),"",IFERROR(MATCH(LARGE(入力!$L$9:$L$58,ROW()-1),入力!$L$9:$L$58,0),""))</f>
        <v/>
      </c>
      <c r="AB48" t="str">
        <f>IF(ROW()-1&gt;COUNTIF(入力!$M$9:$M$58,"&gt;-9.9E+98"),"",IFERROR(MATCH(LARGE(入力!$M$9:$M$58,ROW()-1),入力!$M$9:$M$58,0),""))</f>
        <v/>
      </c>
      <c r="AC48">
        <f>入力!$B$5</f>
        <v>1.6</v>
      </c>
      <c r="AD48">
        <f>入力!$C$5</f>
        <v>1.6</v>
      </c>
    </row>
    <row r="49" spans="1:30" x14ac:dyDescent="0.15">
      <c r="A49" t="str">
        <f>IF($Z49="","",INDEX(入力!$B$9:$B$58,$Z49))</f>
        <v/>
      </c>
      <c r="B49" t="str">
        <f>IF($Z49="","",IF(INDEX(入力!$C$9:$C$58,$Z49)="","",INDEX(入力!$C$9:$C$58,$Z49)))</f>
        <v/>
      </c>
      <c r="C49" t="str">
        <f>IF($Z49="","",IF(INDEX(入力!$D$9:$D$58,$Z49)="","",INDEX(入力!$D$9:$D$58,$Z49)))</f>
        <v/>
      </c>
      <c r="D49" t="str">
        <f>IF($Z49="","",INDEX(入力!$E$9:$E$58,$Z49))</f>
        <v/>
      </c>
      <c r="E49" t="str">
        <f>IF($Z49="","",INDEX(入力!$F$9:$F$58,$Z49))</f>
        <v/>
      </c>
      <c r="F49" t="str">
        <f>IF($Z49="","",INDEX(入力!$J$9:$J$58,$Z49))</f>
        <v/>
      </c>
      <c r="G49" t="str">
        <f>IF($Z49="","",INDEX(入力!$K$9:$K$58,$Z49))</f>
        <v/>
      </c>
      <c r="I49" t="str">
        <f>IF($AA49="","",INDEX(入力!$B$9:$B$58,$AA49))</f>
        <v/>
      </c>
      <c r="J49" t="str">
        <f>IF($AA49="","",INDEX(入力!$C$9:$C$58,$AA49))</f>
        <v/>
      </c>
      <c r="K49" t="str">
        <f>IF($AA49="","",INDEX(入力!$D$9:$D$58,$AA49))</f>
        <v/>
      </c>
      <c r="L49" t="str">
        <f>IF($AA49="","",IF(INDEX(入力!$E$9:$E$58,$AA49)&lt;&gt;"",INDEX(入力!$E$9:$E$58,$AA49),IF(ISNUMBER(INDEX(入力!$C$9:$C$58,$AA49)),INDEX(入力!$C$9:$C$58,$AA49),INDEX(入力!$D$9:$D$58,$AA49))))</f>
        <v/>
      </c>
      <c r="M49" t="str">
        <f>IF($AA49="","",IF(INDEX(入力!$I$9:$I$58,$AA49)&lt;&gt;"",INDEX(入力!$I$9:$I$58,$AA49),IF(ISNUMBER(INDEX(入力!$C$9:$C$58,$AA49)),INDEX(入力!$C$9:$C$58,$AA49)-入力!$B$5,INDEX(入力!$D$9:$D$58,$AA49)-入力!$C$5)))</f>
        <v/>
      </c>
      <c r="N49" t="str">
        <f>IF($AA49="","",INDEX(入力!$J$9:$J$58,$AA49))</f>
        <v/>
      </c>
      <c r="O49" t="str">
        <f>IF($AA49="","",IF(INDEX(入力!$K$9:$K$58,$AA49)&lt;&gt;"",INDEX(入力!$K$9:$K$58,$AA49),IF(ISNUMBER(INDEX(入力!$C$9:$C$58,$AA49)),IF(INDEX(入力!$C$9:$C$58,$AA49)-入力!$B$5&gt;0,"ピッキング改善（梱包未入力）","良好（梱包未入力）"),IF(INDEX(入力!$D$9:$D$58,$AA49)-入力!$C$5&gt;0,"梱包改善（ピッキング未入力）","良好（ピッキング未入力）"))))</f>
        <v/>
      </c>
      <c r="Q49" t="str">
        <f>IF($AB49="","",INDEX(入力!$B$9:$B$58,$AB49))</f>
        <v/>
      </c>
      <c r="R49" t="str">
        <f>IF($AB49="","",INDEX(入力!$F$9:$F$58,$AB49))</f>
        <v/>
      </c>
      <c r="S49" t="str">
        <f>IF($AB49="","",INDEX(入力!$C$9:$C$58,$AB49))</f>
        <v/>
      </c>
      <c r="T49" t="str">
        <f>IF($AB49="","",INDEX(入力!$D$9:$D$58,$AB49))</f>
        <v/>
      </c>
      <c r="U49" t="str">
        <f>IF($AB49="","",INDEX(入力!$E$9:$E$58,$AB49))</f>
        <v/>
      </c>
      <c r="V49" t="str">
        <f>IF($Z49="","",IF($B49&lt;&gt;"",$B49,IF($C49&lt;&gt;"",入力!$B$5,"")))</f>
        <v/>
      </c>
      <c r="W49" t="str">
        <f>IF($Z49="","",IF($C49&lt;&gt;"",$C49,IF($B49&lt;&gt;"",入力!$C$5,"")))</f>
        <v/>
      </c>
      <c r="Z49" t="str">
        <f>IFERROR(MATCH(ROW()-1,入力!$N$9:$N$58,0),"")</f>
        <v/>
      </c>
      <c r="AA49" t="str">
        <f>IF(ROW()-1&gt;COUNTIF(入力!$L$9:$L$58,"&gt;-9.9E+98"),"",IFERROR(MATCH(LARGE(入力!$L$9:$L$58,ROW()-1),入力!$L$9:$L$58,0),""))</f>
        <v/>
      </c>
      <c r="AB49" t="str">
        <f>IF(ROW()-1&gt;COUNTIF(入力!$M$9:$M$58,"&gt;-9.9E+98"),"",IFERROR(MATCH(LARGE(入力!$M$9:$M$58,ROW()-1),入力!$M$9:$M$58,0),""))</f>
        <v/>
      </c>
      <c r="AC49">
        <f>入力!$B$5</f>
        <v>1.6</v>
      </c>
      <c r="AD49">
        <f>入力!$C$5</f>
        <v>1.6</v>
      </c>
    </row>
    <row r="50" spans="1:30" x14ac:dyDescent="0.15">
      <c r="A50" t="str">
        <f>IF($Z50="","",INDEX(入力!$B$9:$B$58,$Z50))</f>
        <v/>
      </c>
      <c r="B50" t="str">
        <f>IF($Z50="","",IF(INDEX(入力!$C$9:$C$58,$Z50)="","",INDEX(入力!$C$9:$C$58,$Z50)))</f>
        <v/>
      </c>
      <c r="C50" t="str">
        <f>IF($Z50="","",IF(INDEX(入力!$D$9:$D$58,$Z50)="","",INDEX(入力!$D$9:$D$58,$Z50)))</f>
        <v/>
      </c>
      <c r="D50" t="str">
        <f>IF($Z50="","",INDEX(入力!$E$9:$E$58,$Z50))</f>
        <v/>
      </c>
      <c r="E50" t="str">
        <f>IF($Z50="","",INDEX(入力!$F$9:$F$58,$Z50))</f>
        <v/>
      </c>
      <c r="F50" t="str">
        <f>IF($Z50="","",INDEX(入力!$J$9:$J$58,$Z50))</f>
        <v/>
      </c>
      <c r="G50" t="str">
        <f>IF($Z50="","",INDEX(入力!$K$9:$K$58,$Z50))</f>
        <v/>
      </c>
      <c r="I50" t="str">
        <f>IF($AA50="","",INDEX(入力!$B$9:$B$58,$AA50))</f>
        <v/>
      </c>
      <c r="J50" t="str">
        <f>IF($AA50="","",INDEX(入力!$C$9:$C$58,$AA50))</f>
        <v/>
      </c>
      <c r="K50" t="str">
        <f>IF($AA50="","",INDEX(入力!$D$9:$D$58,$AA50))</f>
        <v/>
      </c>
      <c r="L50" t="str">
        <f>IF($AA50="","",IF(INDEX(入力!$E$9:$E$58,$AA50)&lt;&gt;"",INDEX(入力!$E$9:$E$58,$AA50),IF(ISNUMBER(INDEX(入力!$C$9:$C$58,$AA50)),INDEX(入力!$C$9:$C$58,$AA50),INDEX(入力!$D$9:$D$58,$AA50))))</f>
        <v/>
      </c>
      <c r="M50" t="str">
        <f>IF($AA50="","",IF(INDEX(入力!$I$9:$I$58,$AA50)&lt;&gt;"",INDEX(入力!$I$9:$I$58,$AA50),IF(ISNUMBER(INDEX(入力!$C$9:$C$58,$AA50)),INDEX(入力!$C$9:$C$58,$AA50)-入力!$B$5,INDEX(入力!$D$9:$D$58,$AA50)-入力!$C$5)))</f>
        <v/>
      </c>
      <c r="N50" t="str">
        <f>IF($AA50="","",INDEX(入力!$J$9:$J$58,$AA50))</f>
        <v/>
      </c>
      <c r="O50" t="str">
        <f>IF($AA50="","",IF(INDEX(入力!$K$9:$K$58,$AA50)&lt;&gt;"",INDEX(入力!$K$9:$K$58,$AA50),IF(ISNUMBER(INDEX(入力!$C$9:$C$58,$AA50)),IF(INDEX(入力!$C$9:$C$58,$AA50)-入力!$B$5&gt;0,"ピッキング改善（梱包未入力）","良好（梱包未入力）"),IF(INDEX(入力!$D$9:$D$58,$AA50)-入力!$C$5&gt;0,"梱包改善（ピッキング未入力）","良好（ピッキング未入力）"))))</f>
        <v/>
      </c>
      <c r="Q50" t="str">
        <f>IF($AB50="","",INDEX(入力!$B$9:$B$58,$AB50))</f>
        <v/>
      </c>
      <c r="R50" t="str">
        <f>IF($AB50="","",INDEX(入力!$F$9:$F$58,$AB50))</f>
        <v/>
      </c>
      <c r="S50" t="str">
        <f>IF($AB50="","",INDEX(入力!$C$9:$C$58,$AB50))</f>
        <v/>
      </c>
      <c r="T50" t="str">
        <f>IF($AB50="","",INDEX(入力!$D$9:$D$58,$AB50))</f>
        <v/>
      </c>
      <c r="U50" t="str">
        <f>IF($AB50="","",INDEX(入力!$E$9:$E$58,$AB50))</f>
        <v/>
      </c>
      <c r="V50" t="str">
        <f>IF($Z50="","",IF($B50&lt;&gt;"",$B50,IF($C50&lt;&gt;"",入力!$B$5,"")))</f>
        <v/>
      </c>
      <c r="W50" t="str">
        <f>IF($Z50="","",IF($C50&lt;&gt;"",$C50,IF($B50&lt;&gt;"",入力!$C$5,"")))</f>
        <v/>
      </c>
      <c r="Z50" t="str">
        <f>IFERROR(MATCH(ROW()-1,入力!$N$9:$N$58,0),"")</f>
        <v/>
      </c>
      <c r="AA50" t="str">
        <f>IF(ROW()-1&gt;COUNTIF(入力!$L$9:$L$58,"&gt;-9.9E+98"),"",IFERROR(MATCH(LARGE(入力!$L$9:$L$58,ROW()-1),入力!$L$9:$L$58,0),""))</f>
        <v/>
      </c>
      <c r="AB50" t="str">
        <f>IF(ROW()-1&gt;COUNTIF(入力!$M$9:$M$58,"&gt;-9.9E+98"),"",IFERROR(MATCH(LARGE(入力!$M$9:$M$58,ROW()-1),入力!$M$9:$M$58,0),""))</f>
        <v/>
      </c>
      <c r="AC50">
        <f>入力!$B$5</f>
        <v>1.6</v>
      </c>
      <c r="AD50">
        <f>入力!$C$5</f>
        <v>1.6</v>
      </c>
    </row>
    <row r="51" spans="1:30" x14ac:dyDescent="0.15">
      <c r="A51" t="str">
        <f>IF($Z51="","",INDEX(入力!$B$9:$B$58,$Z51))</f>
        <v/>
      </c>
      <c r="B51" t="str">
        <f>IF($Z51="","",IF(INDEX(入力!$C$9:$C$58,$Z51)="","",INDEX(入力!$C$9:$C$58,$Z51)))</f>
        <v/>
      </c>
      <c r="C51" t="str">
        <f>IF($Z51="","",IF(INDEX(入力!$D$9:$D$58,$Z51)="","",INDEX(入力!$D$9:$D$58,$Z51)))</f>
        <v/>
      </c>
      <c r="D51" t="str">
        <f>IF($Z51="","",INDEX(入力!$E$9:$E$58,$Z51))</f>
        <v/>
      </c>
      <c r="E51" t="str">
        <f>IF($Z51="","",INDEX(入力!$F$9:$F$58,$Z51))</f>
        <v/>
      </c>
      <c r="F51" t="str">
        <f>IF($Z51="","",INDEX(入力!$J$9:$J$58,$Z51))</f>
        <v/>
      </c>
      <c r="G51" t="str">
        <f>IF($Z51="","",INDEX(入力!$K$9:$K$58,$Z51))</f>
        <v/>
      </c>
      <c r="I51" t="str">
        <f>IF($AA51="","",INDEX(入力!$B$9:$B$58,$AA51))</f>
        <v/>
      </c>
      <c r="J51" t="str">
        <f>IF($AA51="","",INDEX(入力!$C$9:$C$58,$AA51))</f>
        <v/>
      </c>
      <c r="K51" t="str">
        <f>IF($AA51="","",INDEX(入力!$D$9:$D$58,$AA51))</f>
        <v/>
      </c>
      <c r="L51" t="str">
        <f>IF($AA51="","",IF(INDEX(入力!$E$9:$E$58,$AA51)&lt;&gt;"",INDEX(入力!$E$9:$E$58,$AA51),IF(ISNUMBER(INDEX(入力!$C$9:$C$58,$AA51)),INDEX(入力!$C$9:$C$58,$AA51),INDEX(入力!$D$9:$D$58,$AA51))))</f>
        <v/>
      </c>
      <c r="M51" t="str">
        <f>IF($AA51="","",IF(INDEX(入力!$I$9:$I$58,$AA51)&lt;&gt;"",INDEX(入力!$I$9:$I$58,$AA51),IF(ISNUMBER(INDEX(入力!$C$9:$C$58,$AA51)),INDEX(入力!$C$9:$C$58,$AA51)-入力!$B$5,INDEX(入力!$D$9:$D$58,$AA51)-入力!$C$5)))</f>
        <v/>
      </c>
      <c r="N51" t="str">
        <f>IF($AA51="","",INDEX(入力!$J$9:$J$58,$AA51))</f>
        <v/>
      </c>
      <c r="O51" t="str">
        <f>IF($AA51="","",IF(INDEX(入力!$K$9:$K$58,$AA51)&lt;&gt;"",INDEX(入力!$K$9:$K$58,$AA51),IF(ISNUMBER(INDEX(入力!$C$9:$C$58,$AA51)),IF(INDEX(入力!$C$9:$C$58,$AA51)-入力!$B$5&gt;0,"ピッキング改善（梱包未入力）","良好（梱包未入力）"),IF(INDEX(入力!$D$9:$D$58,$AA51)-入力!$C$5&gt;0,"梱包改善（ピッキング未入力）","良好（ピッキング未入力）"))))</f>
        <v/>
      </c>
      <c r="Q51" t="str">
        <f>IF($AB51="","",INDEX(入力!$B$9:$B$58,$AB51))</f>
        <v/>
      </c>
      <c r="R51" t="str">
        <f>IF($AB51="","",INDEX(入力!$F$9:$F$58,$AB51))</f>
        <v/>
      </c>
      <c r="S51" t="str">
        <f>IF($AB51="","",INDEX(入力!$C$9:$C$58,$AB51))</f>
        <v/>
      </c>
      <c r="T51" t="str">
        <f>IF($AB51="","",INDEX(入力!$D$9:$D$58,$AB51))</f>
        <v/>
      </c>
      <c r="U51" t="str">
        <f>IF($AB51="","",INDEX(入力!$E$9:$E$58,$AB51))</f>
        <v/>
      </c>
      <c r="V51" t="str">
        <f>IF($Z51="","",IF($B51&lt;&gt;"",$B51,IF($C51&lt;&gt;"",入力!$B$5,"")))</f>
        <v/>
      </c>
      <c r="W51" t="str">
        <f>IF($Z51="","",IF($C51&lt;&gt;"",$C51,IF($B51&lt;&gt;"",入力!$C$5,"")))</f>
        <v/>
      </c>
      <c r="Z51" t="str">
        <f>IFERROR(MATCH(ROW()-1,入力!$N$9:$N$58,0),"")</f>
        <v/>
      </c>
      <c r="AA51" t="str">
        <f>IF(ROW()-1&gt;COUNTIF(入力!$L$9:$L$58,"&gt;-9.9E+98"),"",IFERROR(MATCH(LARGE(入力!$L$9:$L$58,ROW()-1),入力!$L$9:$L$58,0),""))</f>
        <v/>
      </c>
      <c r="AB51" t="str">
        <f>IF(ROW()-1&gt;COUNTIF(入力!$M$9:$M$58,"&gt;-9.9E+98"),"",IFERROR(MATCH(LARGE(入力!$M$9:$M$58,ROW()-1),入力!$M$9:$M$58,0),""))</f>
        <v/>
      </c>
      <c r="AC51">
        <f>入力!$B$5</f>
        <v>1.6</v>
      </c>
      <c r="AD51">
        <f>入力!$C$5</f>
        <v>1.6</v>
      </c>
    </row>
    <row r="53" spans="1:30" x14ac:dyDescent="0.15">
      <c r="A53" t="str">
        <f>"ピッキング目標 "&amp;TEXT(入力!$B$5,"0.0")&amp;"分"</f>
        <v>ピッキング目標 1.6分</v>
      </c>
    </row>
    <row r="54" spans="1:30" x14ac:dyDescent="0.15">
      <c r="A54" t="str">
        <f>"梱包目標 "&amp;TEXT(入力!$C$5,"0.0")&amp;"分"</f>
        <v>梱包目標 1.6分</v>
      </c>
    </row>
  </sheetData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90" zoomScaleNormal="90" workbookViewId="0">
      <selection sqref="A1:C1"/>
    </sheetView>
  </sheetViews>
  <sheetFormatPr defaultRowHeight="13.5" x14ac:dyDescent="0.15"/>
  <cols>
    <col min="1" max="1" width="8.75" customWidth="1"/>
    <col min="2" max="2" width="28.75" customWidth="1"/>
    <col min="3" max="3" width="75.75" customWidth="1"/>
  </cols>
  <sheetData>
    <row r="1" spans="1:3" ht="30" x14ac:dyDescent="0.15">
      <c r="A1" s="38" t="s">
        <v>61</v>
      </c>
      <c r="B1" s="38"/>
      <c r="C1" s="38"/>
    </row>
    <row r="3" spans="1:3" ht="15.75" x14ac:dyDescent="0.15">
      <c r="A3" s="6" t="s">
        <v>62</v>
      </c>
      <c r="B3" s="6" t="s">
        <v>63</v>
      </c>
      <c r="C3" s="6" t="s">
        <v>64</v>
      </c>
    </row>
    <row r="4" spans="1:3" ht="15.75" x14ac:dyDescent="0.25">
      <c r="A4" s="4" t="s">
        <v>65</v>
      </c>
      <c r="B4" s="7" t="s">
        <v>66</v>
      </c>
      <c r="C4" s="10" t="s">
        <v>67</v>
      </c>
    </row>
    <row r="5" spans="1:3" ht="15.75" x14ac:dyDescent="0.25">
      <c r="A5" s="4" t="s">
        <v>68</v>
      </c>
      <c r="B5" s="7" t="s">
        <v>69</v>
      </c>
      <c r="C5" s="10" t="s">
        <v>70</v>
      </c>
    </row>
    <row r="6" spans="1:3" ht="31.5" x14ac:dyDescent="0.25">
      <c r="A6" s="4" t="s">
        <v>71</v>
      </c>
      <c r="B6" s="7" t="s">
        <v>72</v>
      </c>
      <c r="C6" s="10" t="s">
        <v>73</v>
      </c>
    </row>
    <row r="7" spans="1:3" ht="15.75" x14ac:dyDescent="0.25">
      <c r="A7" s="4" t="s">
        <v>74</v>
      </c>
      <c r="B7" s="7" t="s">
        <v>75</v>
      </c>
      <c r="C7" s="10" t="s">
        <v>76</v>
      </c>
    </row>
    <row r="8" spans="1:3" ht="15.75" x14ac:dyDescent="0.25">
      <c r="A8" s="4" t="s">
        <v>77</v>
      </c>
      <c r="B8" s="7" t="s">
        <v>78</v>
      </c>
      <c r="C8" s="10" t="s">
        <v>79</v>
      </c>
    </row>
    <row r="9" spans="1:3" ht="15.75" x14ac:dyDescent="0.25">
      <c r="A9" s="4" t="s">
        <v>80</v>
      </c>
      <c r="B9" s="7" t="s">
        <v>81</v>
      </c>
      <c r="C9" s="10" t="s">
        <v>82</v>
      </c>
    </row>
  </sheetData>
  <mergeCells count="1">
    <mergeCell ref="A1:C1"/>
  </mergeCells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77"/>
  <sheetViews>
    <sheetView topLeftCell="A5" workbookViewId="0">
      <selection activeCell="O18" sqref="O18"/>
    </sheetView>
  </sheetViews>
  <sheetFormatPr defaultRowHeight="13.5" x14ac:dyDescent="0.15"/>
  <cols>
    <col min="1" max="1" width="2.5" customWidth="1"/>
    <col min="2" max="2" width="6" customWidth="1"/>
    <col min="3" max="3" width="14" customWidth="1"/>
    <col min="4" max="10" width="10.5" customWidth="1"/>
    <col min="11" max="11" width="12" customWidth="1"/>
  </cols>
  <sheetData>
    <row r="1" spans="2:18" ht="24" customHeight="1" x14ac:dyDescent="0.2">
      <c r="B1" s="31" t="s">
        <v>113</v>
      </c>
      <c r="C1" s="46"/>
      <c r="D1" s="46"/>
      <c r="E1" s="46"/>
      <c r="F1" s="46"/>
      <c r="G1" s="46"/>
      <c r="H1" s="46"/>
      <c r="I1" s="46"/>
      <c r="J1" s="46"/>
      <c r="K1" s="46"/>
    </row>
    <row r="2" spans="2:18" ht="18" customHeight="1" x14ac:dyDescent="0.15">
      <c r="B2" s="35" t="s">
        <v>114</v>
      </c>
      <c r="C2" s="46"/>
      <c r="D2" s="46"/>
      <c r="E2" s="46"/>
      <c r="F2" s="46"/>
      <c r="G2" s="46"/>
      <c r="H2" s="46"/>
      <c r="I2" s="46"/>
      <c r="J2" s="46"/>
      <c r="K2" s="46"/>
    </row>
    <row r="4" spans="2:18" ht="20.25" x14ac:dyDescent="0.15">
      <c r="B4" s="24" t="s">
        <v>115</v>
      </c>
      <c r="C4" s="25" t="s">
        <v>116</v>
      </c>
      <c r="D4" s="25" t="s">
        <v>24</v>
      </c>
      <c r="E4" s="25" t="s">
        <v>25</v>
      </c>
    </row>
    <row r="5" spans="2:18" ht="20.25" x14ac:dyDescent="0.15">
      <c r="B5" s="24" t="s">
        <v>117</v>
      </c>
      <c r="C5" s="4">
        <f>COUNT(入力!$C$9:$C$58)</f>
        <v>25</v>
      </c>
      <c r="D5" s="4">
        <f>COUNT(入力!$D$9:$D$58)</f>
        <v>19</v>
      </c>
      <c r="E5" s="4">
        <f>COUNT(入力!$E$9:$E$58)</f>
        <v>19</v>
      </c>
    </row>
    <row r="6" spans="2:18" ht="20.25" x14ac:dyDescent="0.15">
      <c r="B6" s="24" t="s">
        <v>118</v>
      </c>
      <c r="C6" s="5">
        <f>AVERAGE(入力!$C$9:$C$58)</f>
        <v>1.5519999999999998</v>
      </c>
      <c r="D6" s="5">
        <f>AVERAGE(入力!$D$9:$D$58)</f>
        <v>1.5368421052631578</v>
      </c>
      <c r="E6" s="5">
        <f>AVERAGE(入力!$E$9:$E$58)</f>
        <v>3.0368421052631582</v>
      </c>
    </row>
    <row r="7" spans="2:18" ht="20.25" x14ac:dyDescent="0.15">
      <c r="B7" s="24" t="s">
        <v>119</v>
      </c>
      <c r="C7" s="5">
        <f>STDEVP(入力!$C$9:$C$58)</f>
        <v>0.42437719071599578</v>
      </c>
      <c r="D7" s="5">
        <f>STDEVP(入力!$D$9:$D$58)</f>
        <v>0.65309830509800282</v>
      </c>
      <c r="E7" s="5">
        <f>STDEVP(入力!$E$9:$E$58)</f>
        <v>0.713929471907923</v>
      </c>
    </row>
    <row r="9" spans="2:18" ht="30" customHeight="1" x14ac:dyDescent="0.15">
      <c r="B9" s="25" t="s">
        <v>55</v>
      </c>
      <c r="C9" s="25" t="s">
        <v>10</v>
      </c>
      <c r="D9" s="25" t="s">
        <v>120</v>
      </c>
      <c r="E9" s="25" t="s">
        <v>121</v>
      </c>
      <c r="F9" s="25" t="s">
        <v>122</v>
      </c>
      <c r="G9" s="25" t="s">
        <v>123</v>
      </c>
      <c r="H9" s="25" t="s">
        <v>124</v>
      </c>
      <c r="I9" s="25" t="s">
        <v>125</v>
      </c>
      <c r="J9" s="25" t="s">
        <v>126</v>
      </c>
      <c r="K9" s="25" t="s">
        <v>127</v>
      </c>
    </row>
    <row r="10" spans="2:18" ht="15.75" x14ac:dyDescent="0.15">
      <c r="B10" s="4">
        <f t="shared" ref="B10:B41" si="0">IF($J10="","",RANK($J10,$J$10:$J$59,0))</f>
        <v>1</v>
      </c>
      <c r="C10" s="7" t="str">
        <f>IF(入力!$B9="","",入力!$B9)</f>
        <v>佐藤　辰成</v>
      </c>
      <c r="D10" s="27">
        <f>IF(入力!$B9="","",IF(ISNUMBER(入力!$C9),入力!$C9,""))</f>
        <v>1</v>
      </c>
      <c r="E10" s="27">
        <f>IF(ISNUMBER(入力!$C9),IFERROR(50+10*($C$6-入力!$C9)/$C$7,""),"")</f>
        <v>63.00729662375781</v>
      </c>
      <c r="F10" s="27">
        <f>IF(入力!$B9="","",IF(ISNUMBER(入力!$D9),入力!$D9,""))</f>
        <v>0.5</v>
      </c>
      <c r="G10" s="27">
        <f>IF(ISNUMBER(入力!$D9),IFERROR(50+10*($D$6-入力!$D9)/$D$7,""),"")</f>
        <v>65.875743317195884</v>
      </c>
      <c r="H10" s="27">
        <f>IF(AND(ISNUMBER(入力!$C9),ISNUMBER(入力!$D9)),入力!$C9+入力!$D9,"")</f>
        <v>1.5</v>
      </c>
      <c r="I10" s="27">
        <f t="shared" ref="I10:I41" si="1">IF(H10="","",IFERROR(50+10*($E$6-H10)/$E$7,""))</f>
        <v>71.526525598614981</v>
      </c>
      <c r="J10" s="27">
        <f>IF(入力!$B9="","",IF(AND(ISNUMBER(E10),ISNUMBER(G10)),(E10+G10)/2,IF(ISNUMBER(E10),E10,IF(ISNUMBER(G10),G10,""))))</f>
        <v>64.441519970476847</v>
      </c>
      <c r="K10" s="26" t="str">
        <f t="shared" ref="K10:K41" si="2">IF(J10="","",IF(J10&gt;=60,"優秀",IF(J10&gt;=55,"やや優秀",IF(J10&gt;=45,"標準",IF(J10&gt;=40,"やや要改善","要改善")))))</f>
        <v>優秀</v>
      </c>
      <c r="M10" s="28" t="s">
        <v>130</v>
      </c>
      <c r="N10" s="28"/>
      <c r="O10" s="28"/>
      <c r="P10" s="28"/>
      <c r="Q10" s="28"/>
      <c r="R10" s="28"/>
    </row>
    <row r="11" spans="2:18" ht="15.75" x14ac:dyDescent="0.15">
      <c r="B11" s="4">
        <f t="shared" si="0"/>
        <v>3</v>
      </c>
      <c r="C11" s="7" t="str">
        <f>IF(入力!$B10="","",入力!$B10)</f>
        <v>河野　忠</v>
      </c>
      <c r="D11" s="27">
        <f>IF(入力!$B10="","",IF(ISNUMBER(入力!$C10),入力!$C10,""))</f>
        <v>1.2</v>
      </c>
      <c r="E11" s="27">
        <f>IF(ISNUMBER(入力!$C10),IFERROR(50+10*($C$6-入力!$C10)/$C$7,""),"")</f>
        <v>58.294507991961503</v>
      </c>
      <c r="F11" s="27">
        <f>IF(入力!$B10="","",IF(ISNUMBER(入力!$D10),入力!$D10,""))</f>
        <v>1</v>
      </c>
      <c r="G11" s="27">
        <f>IF(ISNUMBER(入力!$D10),IFERROR(50+10*($D$6-入力!$D10)/$D$7,""),"")</f>
        <v>58.219928011949136</v>
      </c>
      <c r="H11" s="27">
        <f>IF(AND(ISNUMBER(入力!$C10),ISNUMBER(入力!$D10)),入力!$C10+入力!$D10,"")</f>
        <v>2.2000000000000002</v>
      </c>
      <c r="I11" s="27">
        <f t="shared" si="1"/>
        <v>61.721635514314322</v>
      </c>
      <c r="J11" s="27">
        <f>IF(入力!$B10="","",IF(AND(ISNUMBER(E11),ISNUMBER(G11)),(E11+G11)/2,IF(ISNUMBER(E11),E11,IF(ISNUMBER(G11),G11,""))))</f>
        <v>58.257218001955323</v>
      </c>
      <c r="K11" s="26" t="str">
        <f t="shared" si="2"/>
        <v>やや優秀</v>
      </c>
      <c r="M11" s="28" t="s">
        <v>131</v>
      </c>
      <c r="N11" s="28"/>
      <c r="O11" s="28"/>
      <c r="P11" s="28"/>
      <c r="Q11" s="28"/>
      <c r="R11" s="28"/>
    </row>
    <row r="12" spans="2:18" ht="15.75" x14ac:dyDescent="0.15">
      <c r="B12" s="4">
        <f t="shared" si="0"/>
        <v>14</v>
      </c>
      <c r="C12" s="7" t="str">
        <f>IF(入力!$B11="","",入力!$B11)</f>
        <v>中納　沙織</v>
      </c>
      <c r="D12" s="27">
        <f>IF(入力!$B11="","",IF(ISNUMBER(入力!$C11),入力!$C11,""))</f>
        <v>1.3</v>
      </c>
      <c r="E12" s="27">
        <f>IF(ISNUMBER(入力!$C11),IFERROR(50+10*($C$6-入力!$C11)/$C$7,""),"")</f>
        <v>55.938113676063345</v>
      </c>
      <c r="F12" s="27">
        <f>IF(入力!$B11="","",IF(ISNUMBER(入力!$D11),入力!$D11,""))</f>
        <v>2.1</v>
      </c>
      <c r="G12" s="27">
        <f>IF(ISNUMBER(入力!$D11),IFERROR(50+10*($D$6-入力!$D11)/$D$7,""),"")</f>
        <v>41.377134340406293</v>
      </c>
      <c r="H12" s="27">
        <f>IF(AND(ISNUMBER(入力!$C11),ISNUMBER(入力!$D11)),入力!$C11+入力!$D11,"")</f>
        <v>3.4000000000000004</v>
      </c>
      <c r="I12" s="27">
        <f t="shared" si="1"/>
        <v>44.913252512656051</v>
      </c>
      <c r="J12" s="27">
        <f>IF(入力!$B11="","",IF(AND(ISNUMBER(E12),ISNUMBER(G12)),(E12+G12)/2,IF(ISNUMBER(E12),E12,IF(ISNUMBER(G12),G12,""))))</f>
        <v>48.657624008234819</v>
      </c>
      <c r="K12" s="26" t="str">
        <f t="shared" si="2"/>
        <v>標準</v>
      </c>
      <c r="M12" s="28"/>
      <c r="N12" s="28"/>
      <c r="O12" s="28"/>
      <c r="P12" s="28"/>
      <c r="Q12" s="28"/>
      <c r="R12" s="28"/>
    </row>
    <row r="13" spans="2:18" ht="15.75" x14ac:dyDescent="0.15">
      <c r="B13" s="4">
        <f t="shared" si="0"/>
        <v>13</v>
      </c>
      <c r="C13" s="7" t="str">
        <f>IF(入力!$B12="","",入力!$B12)</f>
        <v>澤田　凌</v>
      </c>
      <c r="D13" s="27">
        <f>IF(入力!$B12="","",IF(ISNUMBER(入力!$C12),入力!$C12,""))</f>
        <v>1.6</v>
      </c>
      <c r="E13" s="27">
        <f>IF(ISNUMBER(入力!$C12),IFERROR(50+10*($C$6-入力!$C12)/$C$7,""),"")</f>
        <v>48.868930728368881</v>
      </c>
      <c r="F13" s="27">
        <f>IF(入力!$B12="","",IF(ISNUMBER(入力!$D12),入力!$D12,""))</f>
        <v>1.6</v>
      </c>
      <c r="G13" s="27">
        <f>IF(ISNUMBER(入力!$D12),IFERROR(50+10*($D$6-入力!$D12)/$D$7,""),"")</f>
        <v>49.032949645653041</v>
      </c>
      <c r="H13" s="27">
        <f>IF(AND(ISNUMBER(入力!$C12),ISNUMBER(入力!$D12)),入力!$C12+入力!$D12,"")</f>
        <v>3.2</v>
      </c>
      <c r="I13" s="27">
        <f t="shared" si="1"/>
        <v>47.714649679599098</v>
      </c>
      <c r="J13" s="27">
        <f>IF(入力!$B12="","",IF(AND(ISNUMBER(E13),ISNUMBER(G13)),(E13+G13)/2,IF(ISNUMBER(E13),E13,IF(ISNUMBER(G13),G13,""))))</f>
        <v>48.950940187010957</v>
      </c>
      <c r="K13" s="26" t="str">
        <f t="shared" si="2"/>
        <v>標準</v>
      </c>
      <c r="M13" s="28" t="s">
        <v>132</v>
      </c>
      <c r="N13" s="28"/>
      <c r="O13" s="28"/>
      <c r="P13" s="28"/>
      <c r="Q13" s="28"/>
      <c r="R13" s="28"/>
    </row>
    <row r="14" spans="2:18" ht="15.75" x14ac:dyDescent="0.15">
      <c r="B14" s="4">
        <f t="shared" si="0"/>
        <v>7</v>
      </c>
      <c r="C14" s="7" t="str">
        <f>IF(入力!$B13="","",入力!$B13)</f>
        <v>佐々木　千恵</v>
      </c>
      <c r="D14" s="27">
        <f>IF(入力!$B13="","",IF(ISNUMBER(入力!$C13),入力!$C13,""))</f>
        <v>1.7</v>
      </c>
      <c r="E14" s="27">
        <f>IF(ISNUMBER(入力!$C13),IFERROR(50+10*($C$6-入力!$C13)/$C$7,""),"")</f>
        <v>46.512536412470723</v>
      </c>
      <c r="F14" s="27">
        <f>IF(入力!$B13="","",IF(ISNUMBER(入力!$D13),入力!$D13,""))</f>
        <v>0.6</v>
      </c>
      <c r="G14" s="27">
        <f>IF(ISNUMBER(入力!$D13),IFERROR(50+10*($D$6-入力!$D13)/$D$7,""),"")</f>
        <v>64.344580256146543</v>
      </c>
      <c r="H14" s="27">
        <f>IF(AND(ISNUMBER(入力!$C13),ISNUMBER(入力!$D13)),入力!$C13+入力!$D13,"")</f>
        <v>2.2999999999999998</v>
      </c>
      <c r="I14" s="27">
        <f t="shared" si="1"/>
        <v>60.320936930842805</v>
      </c>
      <c r="J14" s="27">
        <f>IF(入力!$B13="","",IF(AND(ISNUMBER(E14),ISNUMBER(G14)),(E14+G14)/2,IF(ISNUMBER(E14),E14,IF(ISNUMBER(G14),G14,""))))</f>
        <v>55.428558334308633</v>
      </c>
      <c r="K14" s="26" t="str">
        <f t="shared" si="2"/>
        <v>やや優秀</v>
      </c>
      <c r="M14" s="28" t="s">
        <v>133</v>
      </c>
      <c r="N14" s="28"/>
      <c r="O14" s="28"/>
      <c r="P14" s="28"/>
      <c r="Q14" s="28"/>
      <c r="R14" s="28"/>
    </row>
    <row r="15" spans="2:18" ht="15.75" x14ac:dyDescent="0.15">
      <c r="B15" s="4">
        <f t="shared" si="0"/>
        <v>25</v>
      </c>
      <c r="C15" s="7" t="str">
        <f>IF(入力!$B14="","",入力!$B14)</f>
        <v>片岡　達也</v>
      </c>
      <c r="D15" s="27">
        <f>IF(入力!$B14="","",IF(ISNUMBER(入力!$C14),入力!$C14,""))</f>
        <v>3.1</v>
      </c>
      <c r="E15" s="27">
        <f>IF(ISNUMBER(入力!$C14),IFERROR(50+10*($C$6-入力!$C14)/$C$7,""),"")</f>
        <v>13.523015989896543</v>
      </c>
      <c r="F15" s="27">
        <f>IF(入力!$B14="","",IF(ISNUMBER(入力!$D14),入力!$D14,""))</f>
        <v>0.6</v>
      </c>
      <c r="G15" s="27">
        <f>IF(ISNUMBER(入力!$D14),IFERROR(50+10*($D$6-入力!$D14)/$D$7,""),"")</f>
        <v>64.344580256146543</v>
      </c>
      <c r="H15" s="27">
        <f>IF(AND(ISNUMBER(入力!$C14),ISNUMBER(入力!$D14)),入力!$C14+入力!$D14,"")</f>
        <v>3.7</v>
      </c>
      <c r="I15" s="27">
        <f t="shared" si="1"/>
        <v>40.711156762241487</v>
      </c>
      <c r="J15" s="27">
        <f>IF(入力!$B14="","",IF(AND(ISNUMBER(E15),ISNUMBER(G15)),(E15+G15)/2,IF(ISNUMBER(E15),E15,IF(ISNUMBER(G15),G15,""))))</f>
        <v>38.933798123021546</v>
      </c>
      <c r="K15" s="26" t="str">
        <f t="shared" si="2"/>
        <v>要改善</v>
      </c>
      <c r="M15" s="28"/>
      <c r="N15" s="28"/>
      <c r="O15" s="28"/>
      <c r="P15" s="28"/>
      <c r="Q15" s="28"/>
      <c r="R15" s="28"/>
    </row>
    <row r="16" spans="2:18" ht="15.75" x14ac:dyDescent="0.15">
      <c r="B16" s="4">
        <f t="shared" si="0"/>
        <v>16</v>
      </c>
      <c r="C16" s="7" t="str">
        <f>IF(入力!$B15="","",入力!$B15)</f>
        <v>後藤　克行</v>
      </c>
      <c r="D16" s="27">
        <f>IF(入力!$B15="","",IF(ISNUMBER(入力!$C15),入力!$C15,""))</f>
        <v>1.5</v>
      </c>
      <c r="E16" s="27">
        <f>IF(ISNUMBER(入力!$C15),IFERROR(50+10*($C$6-入力!$C15)/$C$7,""),"")</f>
        <v>51.225325044267038</v>
      </c>
      <c r="F16" s="27">
        <f>IF(入力!$B15="","",IF(ISNUMBER(入力!$D15),入力!$D15,""))</f>
        <v>1.9</v>
      </c>
      <c r="G16" s="27">
        <f>IF(ISNUMBER(入力!$D15),IFERROR(50+10*($D$6-入力!$D15)/$D$7,""),"")</f>
        <v>44.439460462504996</v>
      </c>
      <c r="H16" s="27">
        <f>IF(AND(ISNUMBER(入力!$C15),ISNUMBER(入力!$D15)),入力!$C15+入力!$D15,"")</f>
        <v>3.4</v>
      </c>
      <c r="I16" s="27">
        <f t="shared" si="1"/>
        <v>44.913252512656058</v>
      </c>
      <c r="J16" s="27">
        <f>IF(入力!$B15="","",IF(AND(ISNUMBER(E16),ISNUMBER(G16)),(E16+G16)/2,IF(ISNUMBER(E16),E16,IF(ISNUMBER(G16),G16,""))))</f>
        <v>47.832392753386017</v>
      </c>
      <c r="K16" s="26" t="str">
        <f t="shared" si="2"/>
        <v>標準</v>
      </c>
      <c r="M16" s="28" t="s">
        <v>134</v>
      </c>
      <c r="N16" s="28"/>
      <c r="O16" s="28"/>
      <c r="P16" s="28"/>
      <c r="Q16" s="28"/>
      <c r="R16" s="28"/>
    </row>
    <row r="17" spans="2:18" ht="15.75" x14ac:dyDescent="0.15">
      <c r="B17" s="4">
        <f t="shared" si="0"/>
        <v>12</v>
      </c>
      <c r="C17" s="7" t="str">
        <f>IF(入力!$B16="","",入力!$B16)</f>
        <v>山本　祥吉</v>
      </c>
      <c r="D17" s="27">
        <f>IF(入力!$B16="","",IF(ISNUMBER(入力!$C16),入力!$C16,""))</f>
        <v>1.4</v>
      </c>
      <c r="E17" s="27">
        <f>IF(ISNUMBER(入力!$C16),IFERROR(50+10*($C$6-入力!$C16)/$C$7,""),"")</f>
        <v>53.581719360165195</v>
      </c>
      <c r="F17" s="27">
        <f>IF(入力!$B16="","",IF(ISNUMBER(入力!$D16),入力!$D16,""))</f>
        <v>1.8</v>
      </c>
      <c r="G17" s="27">
        <f>IF(ISNUMBER(入力!$D16),IFERROR(50+10*($D$6-入力!$D16)/$D$7,""),"")</f>
        <v>45.970623523554337</v>
      </c>
      <c r="H17" s="27">
        <f>IF(AND(ISNUMBER(入力!$C16),ISNUMBER(入力!$D16)),入力!$C16+入力!$D16,"")</f>
        <v>3.2</v>
      </c>
      <c r="I17" s="27">
        <f t="shared" si="1"/>
        <v>47.714649679599098</v>
      </c>
      <c r="J17" s="27">
        <f>IF(入力!$B16="","",IF(AND(ISNUMBER(E17),ISNUMBER(G17)),(E17+G17)/2,IF(ISNUMBER(E17),E17,IF(ISNUMBER(G17),G17,""))))</f>
        <v>49.776171441859766</v>
      </c>
      <c r="K17" s="26" t="str">
        <f t="shared" si="2"/>
        <v>標準</v>
      </c>
      <c r="M17" s="28"/>
      <c r="N17" s="28"/>
      <c r="O17" s="28"/>
      <c r="P17" s="28"/>
      <c r="Q17" s="28"/>
      <c r="R17" s="28"/>
    </row>
    <row r="18" spans="2:18" ht="15.75" x14ac:dyDescent="0.15">
      <c r="B18" s="4">
        <f t="shared" si="0"/>
        <v>2</v>
      </c>
      <c r="C18" s="7" t="str">
        <f>IF(入力!$B17="","",入力!$B17)</f>
        <v>本吉　有美子</v>
      </c>
      <c r="D18" s="27">
        <f>IF(入力!$B17="","",IF(ISNUMBER(入力!$C17),入力!$C17,""))</f>
        <v>1.1000000000000001</v>
      </c>
      <c r="E18" s="27">
        <f>IF(ISNUMBER(入力!$C17),IFERROR(50+10*($C$6-入力!$C17)/$C$7,""),"")</f>
        <v>60.65090230785966</v>
      </c>
      <c r="F18" s="27">
        <f>IF(入力!$B17="","",IF(ISNUMBER(入力!$D17),入力!$D17,""))</f>
        <v>1</v>
      </c>
      <c r="G18" s="27">
        <f>IF(ISNUMBER(入力!$D17),IFERROR(50+10*($D$6-入力!$D17)/$D$7,""),"")</f>
        <v>58.219928011949136</v>
      </c>
      <c r="H18" s="27">
        <f>IF(AND(ISNUMBER(入力!$C17),ISNUMBER(入力!$D17)),入力!$C17+入力!$D17,"")</f>
        <v>2.1</v>
      </c>
      <c r="I18" s="27">
        <f t="shared" si="1"/>
        <v>63.122334097785853</v>
      </c>
      <c r="J18" s="27">
        <f>IF(入力!$B17="","",IF(AND(ISNUMBER(E18),ISNUMBER(G18)),(E18+G18)/2,IF(ISNUMBER(E18),E18,IF(ISNUMBER(G18),G18,""))))</f>
        <v>59.435415159904394</v>
      </c>
      <c r="K18" s="26" t="str">
        <f t="shared" si="2"/>
        <v>やや優秀</v>
      </c>
      <c r="M18" s="28" t="s">
        <v>135</v>
      </c>
      <c r="N18" s="28" t="s">
        <v>136</v>
      </c>
      <c r="O18" s="28" t="s">
        <v>137</v>
      </c>
      <c r="P18" s="28" t="s">
        <v>138</v>
      </c>
      <c r="Q18" s="28" t="s">
        <v>139</v>
      </c>
      <c r="R18" s="28" t="s">
        <v>140</v>
      </c>
    </row>
    <row r="19" spans="2:18" ht="15.75" x14ac:dyDescent="0.15">
      <c r="B19" s="4" t="str">
        <f t="shared" si="0"/>
        <v/>
      </c>
      <c r="C19" s="7" t="str">
        <f>IF(入力!$B18="","",入力!$B18)</f>
        <v>屋宮　敬子</v>
      </c>
      <c r="D19" s="27" t="str">
        <f>IF(入力!$B18="","",IF(ISNUMBER(入力!$C18),入力!$C18,""))</f>
        <v/>
      </c>
      <c r="E19" s="27" t="str">
        <f>IF(ISNUMBER(入力!$C18),IFERROR(50+10*($C$6-入力!$C18)/$C$7,""),"")</f>
        <v/>
      </c>
      <c r="F19" s="27" t="str">
        <f>IF(入力!$B18="","",IF(ISNUMBER(入力!$D18),入力!$D18,""))</f>
        <v/>
      </c>
      <c r="G19" s="27" t="str">
        <f>IF(ISNUMBER(入力!$D18),IFERROR(50+10*($D$6-入力!$D18)/$D$7,""),"")</f>
        <v/>
      </c>
      <c r="H19" s="27" t="str">
        <f>IF(AND(ISNUMBER(入力!$C18),ISNUMBER(入力!$D18)),入力!$C18+入力!$D18,"")</f>
        <v/>
      </c>
      <c r="I19" s="27" t="str">
        <f t="shared" si="1"/>
        <v/>
      </c>
      <c r="J19" s="27" t="str">
        <f>IF(入力!$B18="","",IF(AND(ISNUMBER(E19),ISNUMBER(G19)),(E19+G19)/2,IF(ISNUMBER(E19),E19,IF(ISNUMBER(G19),G19,""))))</f>
        <v/>
      </c>
      <c r="K19" s="26" t="str">
        <f t="shared" si="2"/>
        <v/>
      </c>
      <c r="M19" s="28" t="s">
        <v>116</v>
      </c>
      <c r="N19" s="28">
        <v>25</v>
      </c>
      <c r="O19" s="28">
        <v>1.55</v>
      </c>
      <c r="P19" s="28">
        <v>0.42</v>
      </c>
      <c r="Q19" s="28" t="s">
        <v>141</v>
      </c>
      <c r="R19" s="28" t="s">
        <v>142</v>
      </c>
    </row>
    <row r="20" spans="2:18" ht="15.75" x14ac:dyDescent="0.15">
      <c r="B20" s="4">
        <f t="shared" si="0"/>
        <v>4</v>
      </c>
      <c r="C20" s="7" t="str">
        <f>IF(入力!$B19="","",入力!$B19)</f>
        <v>大江　美記子</v>
      </c>
      <c r="D20" s="27">
        <f>IF(入力!$B19="","",IF(ISNUMBER(入力!$C19),入力!$C19,""))</f>
        <v>1.2</v>
      </c>
      <c r="E20" s="27">
        <f>IF(ISNUMBER(入力!$C19),IFERROR(50+10*($C$6-入力!$C19)/$C$7,""),"")</f>
        <v>58.294507991961503</v>
      </c>
      <c r="F20" s="27">
        <f>IF(入力!$B19="","",IF(ISNUMBER(入力!$D19),入力!$D19,""))</f>
        <v>1.2</v>
      </c>
      <c r="G20" s="27">
        <f>IF(ISNUMBER(入力!$D19),IFERROR(50+10*($D$6-入力!$D19)/$D$7,""),"")</f>
        <v>55.15760188985044</v>
      </c>
      <c r="H20" s="27">
        <f>IF(AND(ISNUMBER(入力!$C19),ISNUMBER(入力!$D19)),入力!$C19+入力!$D19,"")</f>
        <v>2.4</v>
      </c>
      <c r="I20" s="27">
        <f t="shared" si="1"/>
        <v>58.920238347371281</v>
      </c>
      <c r="J20" s="27">
        <f>IF(入力!$B19="","",IF(AND(ISNUMBER(E20),ISNUMBER(G20)),(E20+G20)/2,IF(ISNUMBER(E20),E20,IF(ISNUMBER(G20),G20,""))))</f>
        <v>56.726054940905968</v>
      </c>
      <c r="K20" s="26" t="str">
        <f t="shared" si="2"/>
        <v>やや優秀</v>
      </c>
      <c r="M20" s="28" t="s">
        <v>24</v>
      </c>
      <c r="N20" s="28">
        <v>19</v>
      </c>
      <c r="O20" s="28">
        <v>1.54</v>
      </c>
      <c r="P20" s="28">
        <v>0.65</v>
      </c>
      <c r="Q20" s="28" t="s">
        <v>143</v>
      </c>
      <c r="R20" s="28" t="s">
        <v>144</v>
      </c>
    </row>
    <row r="21" spans="2:18" ht="15.75" x14ac:dyDescent="0.15">
      <c r="B21" s="4">
        <f t="shared" si="0"/>
        <v>21</v>
      </c>
      <c r="C21" s="7" t="str">
        <f>IF(入力!$B20="","",入力!$B20)</f>
        <v>木村　千鶴</v>
      </c>
      <c r="D21" s="27">
        <f>IF(入力!$B20="","",IF(ISNUMBER(入力!$C20),入力!$C20,""))</f>
        <v>1.7</v>
      </c>
      <c r="E21" s="27">
        <f>IF(ISNUMBER(入力!$C20),IFERROR(50+10*($C$6-入力!$C20)/$C$7,""),"")</f>
        <v>46.512536412470723</v>
      </c>
      <c r="F21" s="27">
        <f>IF(入力!$B20="","",IF(ISNUMBER(入力!$D20),入力!$D20,""))</f>
        <v>2.2000000000000002</v>
      </c>
      <c r="G21" s="27">
        <f>IF(ISNUMBER(入力!$D20),IFERROR(50+10*($D$6-入力!$D20)/$D$7,""),"")</f>
        <v>39.845971279356945</v>
      </c>
      <c r="H21" s="27">
        <f>IF(AND(ISNUMBER(入力!$C20),ISNUMBER(入力!$D20)),入力!$C20+入力!$D20,"")</f>
        <v>3.9000000000000004</v>
      </c>
      <c r="I21" s="27">
        <f t="shared" si="1"/>
        <v>37.909759595298439</v>
      </c>
      <c r="J21" s="27">
        <f>IF(入力!$B20="","",IF(AND(ISNUMBER(E21),ISNUMBER(G21)),(E21+G21)/2,IF(ISNUMBER(E21),E21,IF(ISNUMBER(G21),G21,""))))</f>
        <v>43.179253845913834</v>
      </c>
      <c r="K21" s="26" t="str">
        <f t="shared" si="2"/>
        <v>やや要改善</v>
      </c>
      <c r="M21" s="28" t="s">
        <v>25</v>
      </c>
      <c r="N21" s="28">
        <v>19</v>
      </c>
      <c r="O21" s="28">
        <v>3.04</v>
      </c>
      <c r="P21" s="28">
        <v>0.71</v>
      </c>
      <c r="Q21" s="28" t="s">
        <v>145</v>
      </c>
      <c r="R21" s="28" t="s">
        <v>146</v>
      </c>
    </row>
    <row r="22" spans="2:18" ht="15.75" x14ac:dyDescent="0.15">
      <c r="B22" s="4">
        <f t="shared" si="0"/>
        <v>5</v>
      </c>
      <c r="C22" s="7" t="str">
        <f>IF(入力!$B21="","",入力!$B21)</f>
        <v>晩田　恵美</v>
      </c>
      <c r="D22" s="27">
        <f>IF(入力!$B21="","",IF(ISNUMBER(入力!$C21),入力!$C21,""))</f>
        <v>1.1000000000000001</v>
      </c>
      <c r="E22" s="27">
        <f>IF(ISNUMBER(入力!$C21),IFERROR(50+10*($C$6-入力!$C21)/$C$7,""),"")</f>
        <v>60.65090230785966</v>
      </c>
      <c r="F22" s="27">
        <f>IF(入力!$B21="","",IF(ISNUMBER(入力!$D21),入力!$D21,""))</f>
        <v>1.4</v>
      </c>
      <c r="G22" s="27">
        <f>IF(ISNUMBER(入力!$D21),IFERROR(50+10*($D$6-入力!$D21)/$D$7,""),"")</f>
        <v>52.095275767751744</v>
      </c>
      <c r="H22" s="27">
        <f>IF(AND(ISNUMBER(入力!$C21),ISNUMBER(入力!$D21)),入力!$C21+入力!$D21,"")</f>
        <v>2.5</v>
      </c>
      <c r="I22" s="27">
        <f t="shared" si="1"/>
        <v>57.519539763899758</v>
      </c>
      <c r="J22" s="27">
        <f>IF(入力!$B21="","",IF(AND(ISNUMBER(E22),ISNUMBER(G22)),(E22+G22)/2,IF(ISNUMBER(E22),E22,IF(ISNUMBER(G22),G22,""))))</f>
        <v>56.373089037805698</v>
      </c>
      <c r="K22" s="26" t="str">
        <f t="shared" si="2"/>
        <v>やや優秀</v>
      </c>
      <c r="M22" s="28" t="s">
        <v>147</v>
      </c>
      <c r="N22" s="28"/>
      <c r="O22" s="28"/>
      <c r="P22" s="28"/>
      <c r="Q22" s="28"/>
      <c r="R22" s="28"/>
    </row>
    <row r="23" spans="2:18" ht="15.75" x14ac:dyDescent="0.15">
      <c r="B23" s="4">
        <f t="shared" si="0"/>
        <v>20</v>
      </c>
      <c r="C23" s="7" t="str">
        <f>IF(入力!$B22="","",入力!$B22)</f>
        <v>森田　美加</v>
      </c>
      <c r="D23" s="27">
        <f>IF(入力!$B22="","",IF(ISNUMBER(入力!$C22),入力!$C22,""))</f>
        <v>1.1000000000000001</v>
      </c>
      <c r="E23" s="27">
        <f>IF(ISNUMBER(入力!$C22),IFERROR(50+10*($C$6-入力!$C22)/$C$7,""),"")</f>
        <v>60.65090230785966</v>
      </c>
      <c r="F23" s="27">
        <f>IF(入力!$B22="","",IF(ISNUMBER(入力!$D22),入力!$D22,""))</f>
        <v>3.1</v>
      </c>
      <c r="G23" s="27">
        <f>IF(ISNUMBER(入力!$D22),IFERROR(50+10*($D$6-入力!$D22)/$D$7,""),"")</f>
        <v>26.065503729912795</v>
      </c>
      <c r="H23" s="27">
        <f>IF(AND(ISNUMBER(入力!$C22),ISNUMBER(入力!$D22)),入力!$C22+入力!$D22,"")</f>
        <v>4.2</v>
      </c>
      <c r="I23" s="27">
        <f t="shared" si="1"/>
        <v>33.707663844883868</v>
      </c>
      <c r="J23" s="27">
        <f>IF(入力!$B22="","",IF(AND(ISNUMBER(E23),ISNUMBER(G23)),(E23+G23)/2,IF(ISNUMBER(E23),E23,IF(ISNUMBER(G23),G23,""))))</f>
        <v>43.358203018886229</v>
      </c>
      <c r="K23" s="26" t="str">
        <f t="shared" si="2"/>
        <v>やや要改善</v>
      </c>
      <c r="M23" s="28"/>
      <c r="N23" s="28"/>
      <c r="O23" s="28"/>
      <c r="P23" s="28"/>
      <c r="Q23" s="28"/>
      <c r="R23" s="28"/>
    </row>
    <row r="24" spans="2:18" ht="15.75" x14ac:dyDescent="0.15">
      <c r="B24" s="4">
        <f t="shared" si="0"/>
        <v>15</v>
      </c>
      <c r="C24" s="7" t="str">
        <f>IF(入力!$B23="","",入力!$B23)</f>
        <v>飯田　由加里</v>
      </c>
      <c r="D24" s="27">
        <f>IF(入力!$B23="","",IF(ISNUMBER(入力!$C23),入力!$C23,""))</f>
        <v>1.8</v>
      </c>
      <c r="E24" s="27">
        <f>IF(ISNUMBER(入力!$C23),IFERROR(50+10*($C$6-入力!$C23)/$C$7,""),"")</f>
        <v>44.156142096572566</v>
      </c>
      <c r="F24" s="27">
        <f>IF(入力!$B23="","",IF(ISNUMBER(入力!$D23),入力!$D23,""))</f>
        <v>1.4</v>
      </c>
      <c r="G24" s="27">
        <f>IF(ISNUMBER(入力!$D23),IFERROR(50+10*($D$6-入力!$D23)/$D$7,""),"")</f>
        <v>52.095275767751744</v>
      </c>
      <c r="H24" s="27">
        <f>IF(AND(ISNUMBER(入力!$C23),ISNUMBER(入力!$D23)),入力!$C23+入力!$D23,"")</f>
        <v>3.2</v>
      </c>
      <c r="I24" s="27">
        <f t="shared" si="1"/>
        <v>47.714649679599098</v>
      </c>
      <c r="J24" s="27">
        <f>IF(入力!$B23="","",IF(AND(ISNUMBER(E24),ISNUMBER(G24)),(E24+G24)/2,IF(ISNUMBER(E24),E24,IF(ISNUMBER(G24),G24,""))))</f>
        <v>48.125708932162155</v>
      </c>
      <c r="K24" s="26" t="str">
        <f t="shared" si="2"/>
        <v>標準</v>
      </c>
      <c r="M24" s="28" t="s">
        <v>148</v>
      </c>
      <c r="N24" s="28"/>
      <c r="O24" s="28"/>
      <c r="P24" s="28"/>
      <c r="Q24" s="28"/>
      <c r="R24" s="28"/>
    </row>
    <row r="25" spans="2:18" ht="15.75" x14ac:dyDescent="0.15">
      <c r="B25" s="4">
        <f t="shared" si="0"/>
        <v>10</v>
      </c>
      <c r="C25" s="7" t="str">
        <f>IF(入力!$B24="","",入力!$B24)</f>
        <v>森本　久美</v>
      </c>
      <c r="D25" s="27">
        <f>IF(入力!$B24="","",IF(ISNUMBER(入力!$C24),入力!$C24,""))</f>
        <v>1.4</v>
      </c>
      <c r="E25" s="27">
        <f>IF(ISNUMBER(入力!$C24),IFERROR(50+10*($C$6-入力!$C24)/$C$7,""),"")</f>
        <v>53.581719360165195</v>
      </c>
      <c r="F25" s="27">
        <f>IF(入力!$B24="","",IF(ISNUMBER(入力!$D24),入力!$D24,""))</f>
        <v>1.6</v>
      </c>
      <c r="G25" s="27">
        <f>IF(ISNUMBER(入力!$D24),IFERROR(50+10*($D$6-入力!$D24)/$D$7,""),"")</f>
        <v>49.032949645653041</v>
      </c>
      <c r="H25" s="27">
        <f>IF(AND(ISNUMBER(入力!$C24),ISNUMBER(入力!$D24)),入力!$C24+入力!$D24,"")</f>
        <v>3</v>
      </c>
      <c r="I25" s="27">
        <f t="shared" si="1"/>
        <v>50.516046846542146</v>
      </c>
      <c r="J25" s="27">
        <f>IF(入力!$B24="","",IF(AND(ISNUMBER(E25),ISNUMBER(G25)),(E25+G25)/2,IF(ISNUMBER(E25),E25,IF(ISNUMBER(G25),G25,""))))</f>
        <v>51.307334502909114</v>
      </c>
      <c r="K25" s="26" t="str">
        <f t="shared" si="2"/>
        <v>標準</v>
      </c>
      <c r="M25" s="28"/>
      <c r="N25" s="28"/>
      <c r="O25" s="28"/>
      <c r="P25" s="28"/>
      <c r="Q25" s="28"/>
      <c r="R25" s="28"/>
    </row>
    <row r="26" spans="2:18" ht="15.75" x14ac:dyDescent="0.15">
      <c r="B26" s="4">
        <f t="shared" si="0"/>
        <v>17</v>
      </c>
      <c r="C26" s="7" t="str">
        <f>IF(入力!$B25="","",入力!$B25)</f>
        <v>高橋　佐織</v>
      </c>
      <c r="D26" s="27">
        <f>IF(入力!$B25="","",IF(ISNUMBER(入力!$C25),入力!$C25,""))</f>
        <v>1.8</v>
      </c>
      <c r="E26" s="27">
        <f>IF(ISNUMBER(入力!$C25),IFERROR(50+10*($C$6-入力!$C25)/$C$7,""),"")</f>
        <v>44.156142096572566</v>
      </c>
      <c r="F26" s="27">
        <f>IF(入力!$B25="","",IF(ISNUMBER(入力!$D25),入力!$D25,""))</f>
        <v>1.7</v>
      </c>
      <c r="G26" s="27">
        <f>IF(ISNUMBER(入力!$D25),IFERROR(50+10*($D$6-入力!$D25)/$D$7,""),"")</f>
        <v>47.501786584603693</v>
      </c>
      <c r="H26" s="27">
        <f>IF(AND(ISNUMBER(入力!$C25),ISNUMBER(入力!$D25)),入力!$C25+入力!$D25,"")</f>
        <v>3.5</v>
      </c>
      <c r="I26" s="27">
        <f t="shared" si="1"/>
        <v>43.512553929184534</v>
      </c>
      <c r="J26" s="27">
        <f>IF(入力!$B25="","",IF(AND(ISNUMBER(E26),ISNUMBER(G26)),(E26+G26)/2,IF(ISNUMBER(E26),E26,IF(ISNUMBER(G26),G26,""))))</f>
        <v>45.828964340588129</v>
      </c>
      <c r="K26" s="26" t="str">
        <f t="shared" si="2"/>
        <v>標準</v>
      </c>
      <c r="M26" s="28" t="s">
        <v>149</v>
      </c>
      <c r="N26" s="28"/>
      <c r="O26" s="28"/>
      <c r="P26" s="28"/>
      <c r="Q26" s="28"/>
      <c r="R26" s="28"/>
    </row>
    <row r="27" spans="2:18" ht="15.75" x14ac:dyDescent="0.15">
      <c r="B27" s="4">
        <f t="shared" si="0"/>
        <v>9</v>
      </c>
      <c r="C27" s="7" t="str">
        <f>IF(入力!$B26="","",入力!$B26)</f>
        <v>北田　倫子</v>
      </c>
      <c r="D27" s="27">
        <f>IF(入力!$B26="","",IF(ISNUMBER(入力!$C26),入力!$C26,""))</f>
        <v>1.6</v>
      </c>
      <c r="E27" s="27">
        <f>IF(ISNUMBER(入力!$C26),IFERROR(50+10*($C$6-入力!$C26)/$C$7,""),"")</f>
        <v>48.868930728368881</v>
      </c>
      <c r="F27" s="27">
        <f>IF(入力!$B26="","",IF(ISNUMBER(入力!$D26),入力!$D26,""))</f>
        <v>1.2</v>
      </c>
      <c r="G27" s="27">
        <f>IF(ISNUMBER(入力!$D26),IFERROR(50+10*($D$6-入力!$D26)/$D$7,""),"")</f>
        <v>55.15760188985044</v>
      </c>
      <c r="H27" s="27">
        <f>IF(AND(ISNUMBER(入力!$C26),ISNUMBER(入力!$D26)),入力!$C26+入力!$D26,"")</f>
        <v>2.8</v>
      </c>
      <c r="I27" s="27">
        <f t="shared" si="1"/>
        <v>53.317444013485193</v>
      </c>
      <c r="J27" s="27">
        <f>IF(入力!$B26="","",IF(AND(ISNUMBER(E27),ISNUMBER(G27)),(E27+G27)/2,IF(ISNUMBER(E27),E27,IF(ISNUMBER(G27),G27,""))))</f>
        <v>52.01326630910966</v>
      </c>
      <c r="K27" s="26" t="str">
        <f t="shared" si="2"/>
        <v>標準</v>
      </c>
      <c r="M27" s="28" t="s">
        <v>150</v>
      </c>
      <c r="N27" s="28"/>
      <c r="O27" s="28"/>
      <c r="P27" s="28"/>
      <c r="Q27" s="28"/>
      <c r="R27" s="28"/>
    </row>
    <row r="28" spans="2:18" ht="15.75" x14ac:dyDescent="0.15">
      <c r="B28" s="4">
        <f t="shared" si="0"/>
        <v>8</v>
      </c>
      <c r="C28" s="7" t="str">
        <f>IF(入力!$B27="","",入力!$B27)</f>
        <v>鈴木　香織</v>
      </c>
      <c r="D28" s="27">
        <f>IF(入力!$B27="","",IF(ISNUMBER(入力!$C27),入力!$C27,""))</f>
        <v>1.2</v>
      </c>
      <c r="E28" s="27">
        <f>IF(ISNUMBER(入力!$C27),IFERROR(50+10*($C$6-入力!$C27)/$C$7,""),"")</f>
        <v>58.294507991961503</v>
      </c>
      <c r="F28" s="27">
        <f>IF(入力!$B27="","",IF(ISNUMBER(入力!$D27),入力!$D27,""))</f>
        <v>1.8</v>
      </c>
      <c r="G28" s="27">
        <f>IF(ISNUMBER(入力!$D27),IFERROR(50+10*($D$6-入力!$D27)/$D$7,""),"")</f>
        <v>45.970623523554337</v>
      </c>
      <c r="H28" s="27">
        <f>IF(AND(ISNUMBER(入力!$C27),ISNUMBER(入力!$D27)),入力!$C27+入力!$D27,"")</f>
        <v>3</v>
      </c>
      <c r="I28" s="27">
        <f t="shared" si="1"/>
        <v>50.516046846542146</v>
      </c>
      <c r="J28" s="27">
        <f>IF(入力!$B27="","",IF(AND(ISNUMBER(E28),ISNUMBER(G28)),(E28+G28)/2,IF(ISNUMBER(E28),E28,IF(ISNUMBER(G28),G28,""))))</f>
        <v>52.132565757757916</v>
      </c>
      <c r="K28" s="26" t="str">
        <f t="shared" si="2"/>
        <v>標準</v>
      </c>
      <c r="M28" s="28"/>
      <c r="N28" s="28"/>
      <c r="O28" s="28"/>
      <c r="P28" s="28"/>
      <c r="Q28" s="28"/>
      <c r="R28" s="28"/>
    </row>
    <row r="29" spans="2:18" ht="15.75" x14ac:dyDescent="0.15">
      <c r="B29" s="4">
        <f t="shared" si="0"/>
        <v>23</v>
      </c>
      <c r="C29" s="7" t="str">
        <f>IF(入力!$B28="","",入力!$B28)</f>
        <v>菊池　敬</v>
      </c>
      <c r="D29" s="27">
        <f>IF(入力!$B28="","",IF(ISNUMBER(入力!$C28),入力!$C28,""))</f>
        <v>1.7</v>
      </c>
      <c r="E29" s="27">
        <f>IF(ISNUMBER(入力!$C28),IFERROR(50+10*($C$6-入力!$C28)/$C$7,""),"")</f>
        <v>46.512536412470723</v>
      </c>
      <c r="F29" s="27">
        <f>IF(入力!$B28="","",IF(ISNUMBER(入力!$D28),入力!$D28,""))</f>
        <v>2.5</v>
      </c>
      <c r="G29" s="27">
        <f>IF(ISNUMBER(入力!$D28),IFERROR(50+10*($D$6-入力!$D28)/$D$7,""),"")</f>
        <v>35.252482096208894</v>
      </c>
      <c r="H29" s="27">
        <f>IF(AND(ISNUMBER(入力!$C28),ISNUMBER(入力!$D28)),入力!$C28+入力!$D28,"")</f>
        <v>4.2</v>
      </c>
      <c r="I29" s="27">
        <f t="shared" si="1"/>
        <v>33.707663844883868</v>
      </c>
      <c r="J29" s="27">
        <f>IF(入力!$B28="","",IF(AND(ISNUMBER(E29),ISNUMBER(G29)),(E29+G29)/2,IF(ISNUMBER(E29),E29,IF(ISNUMBER(G29),G29,""))))</f>
        <v>40.882509254339809</v>
      </c>
      <c r="K29" s="26" t="str">
        <f t="shared" si="2"/>
        <v>やや要改善</v>
      </c>
      <c r="M29" s="28" t="s">
        <v>151</v>
      </c>
      <c r="N29" s="28"/>
      <c r="O29" s="28"/>
      <c r="P29" s="28"/>
      <c r="Q29" s="28"/>
      <c r="R29" s="28"/>
    </row>
    <row r="30" spans="2:18" ht="15.75" x14ac:dyDescent="0.15">
      <c r="B30" s="4">
        <f t="shared" si="0"/>
        <v>18</v>
      </c>
      <c r="C30" s="7" t="str">
        <f>IF(入力!$B29="","",入力!$B29)</f>
        <v>上村　和恵</v>
      </c>
      <c r="D30" s="27">
        <f>IF(入力!$B29="","",IF(ISNUMBER(入力!$C29),入力!$C29,""))</f>
        <v>1.8</v>
      </c>
      <c r="E30" s="27">
        <f>IF(ISNUMBER(入力!$C29),IFERROR(50+10*($C$6-入力!$C29)/$C$7,""),"")</f>
        <v>44.156142096572566</v>
      </c>
      <c r="F30" s="27" t="str">
        <f>IF(入力!$B29="","",IF(ISNUMBER(入力!$D29),入力!$D29,""))</f>
        <v/>
      </c>
      <c r="G30" s="27" t="str">
        <f>IF(ISNUMBER(入力!$D29),IFERROR(50+10*($D$6-入力!$D29)/$D$7,""),"")</f>
        <v/>
      </c>
      <c r="H30" s="27" t="str">
        <f>IF(AND(ISNUMBER(入力!$C29),ISNUMBER(入力!$D29)),入力!$C29+入力!$D29,"")</f>
        <v/>
      </c>
      <c r="I30" s="27" t="str">
        <f t="shared" si="1"/>
        <v/>
      </c>
      <c r="J30" s="27">
        <f>IF(入力!$B29="","",IF(AND(ISNUMBER(E30),ISNUMBER(G30)),(E30+G30)/2,IF(ISNUMBER(E30),E30,IF(ISNUMBER(G30),G30,""))))</f>
        <v>44.156142096572566</v>
      </c>
      <c r="K30" s="26" t="str">
        <f t="shared" si="2"/>
        <v>やや要改善</v>
      </c>
      <c r="M30" s="28"/>
      <c r="N30" s="28"/>
      <c r="O30" s="28"/>
      <c r="P30" s="28"/>
      <c r="Q30" s="28"/>
      <c r="R30" s="28"/>
    </row>
    <row r="31" spans="2:18" ht="15.75" x14ac:dyDescent="0.15">
      <c r="B31" s="4">
        <f t="shared" si="0"/>
        <v>18</v>
      </c>
      <c r="C31" s="7" t="str">
        <f>IF(入力!$B30="","",入力!$B30)</f>
        <v>秋草　文恵</v>
      </c>
      <c r="D31" s="27">
        <f>IF(入力!$B30="","",IF(ISNUMBER(入力!$C30),入力!$C30,""))</f>
        <v>1.8</v>
      </c>
      <c r="E31" s="27">
        <f>IF(ISNUMBER(入力!$C30),IFERROR(50+10*($C$6-入力!$C30)/$C$7,""),"")</f>
        <v>44.156142096572566</v>
      </c>
      <c r="F31" s="27" t="str">
        <f>IF(入力!$B30="","",IF(ISNUMBER(入力!$D30),入力!$D30,""))</f>
        <v/>
      </c>
      <c r="G31" s="27" t="str">
        <f>IF(ISNUMBER(入力!$D30),IFERROR(50+10*($D$6-入力!$D30)/$D$7,""),"")</f>
        <v/>
      </c>
      <c r="H31" s="27" t="str">
        <f>IF(AND(ISNUMBER(入力!$C30),ISNUMBER(入力!$D30)),入力!$C30+入力!$D30,"")</f>
        <v/>
      </c>
      <c r="I31" s="27" t="str">
        <f t="shared" si="1"/>
        <v/>
      </c>
      <c r="J31" s="27">
        <f>IF(入力!$B30="","",IF(AND(ISNUMBER(E31),ISNUMBER(G31)),(E31+G31)/2,IF(ISNUMBER(E31),E31,IF(ISNUMBER(G31),G31,""))))</f>
        <v>44.156142096572566</v>
      </c>
      <c r="K31" s="26" t="str">
        <f t="shared" si="2"/>
        <v>やや要改善</v>
      </c>
      <c r="M31" s="28" t="s">
        <v>152</v>
      </c>
      <c r="N31" s="28"/>
      <c r="O31" s="28"/>
      <c r="P31" s="28"/>
      <c r="Q31" s="28"/>
      <c r="R31" s="28"/>
    </row>
    <row r="32" spans="2:18" ht="15.75" x14ac:dyDescent="0.15">
      <c r="B32" s="4">
        <f t="shared" si="0"/>
        <v>11</v>
      </c>
      <c r="C32" s="7" t="str">
        <f>IF(入力!$B31="","",入力!$B31)</f>
        <v>向井　ひかり</v>
      </c>
      <c r="D32" s="27">
        <f>IF(入力!$B31="","",IF(ISNUMBER(入力!$C31),入力!$C31,""))</f>
        <v>1.5</v>
      </c>
      <c r="E32" s="27">
        <f>IF(ISNUMBER(入力!$C31),IFERROR(50+10*($C$6-入力!$C31)/$C$7,""),"")</f>
        <v>51.225325044267038</v>
      </c>
      <c r="F32" s="27" t="str">
        <f>IF(入力!$B31="","",IF(ISNUMBER(入力!$D31),入力!$D31,""))</f>
        <v/>
      </c>
      <c r="G32" s="27" t="str">
        <f>IF(ISNUMBER(入力!$D31),IFERROR(50+10*($D$6-入力!$D31)/$D$7,""),"")</f>
        <v/>
      </c>
      <c r="H32" s="27" t="str">
        <f>IF(AND(ISNUMBER(入力!$C31),ISNUMBER(入力!$D31)),入力!$C31+入力!$D31,"")</f>
        <v/>
      </c>
      <c r="I32" s="27" t="str">
        <f t="shared" si="1"/>
        <v/>
      </c>
      <c r="J32" s="27">
        <f>IF(入力!$B31="","",IF(AND(ISNUMBER(E32),ISNUMBER(G32)),(E32+G32)/2,IF(ISNUMBER(E32),E32,IF(ISNUMBER(G32),G32,""))))</f>
        <v>51.225325044267038</v>
      </c>
      <c r="K32" s="26" t="str">
        <f t="shared" si="2"/>
        <v>標準</v>
      </c>
      <c r="M32" s="28" t="s">
        <v>153</v>
      </c>
      <c r="N32" s="28"/>
      <c r="O32" s="28"/>
      <c r="P32" s="28"/>
      <c r="Q32" s="28"/>
      <c r="R32" s="28"/>
    </row>
    <row r="33" spans="2:18" ht="15.75" x14ac:dyDescent="0.15">
      <c r="B33" s="4">
        <f t="shared" si="0"/>
        <v>22</v>
      </c>
      <c r="C33" s="7" t="str">
        <f>IF(入力!$B32="","",入力!$B32)</f>
        <v>高橋　正美</v>
      </c>
      <c r="D33" s="27">
        <f>IF(入力!$B32="","",IF(ISNUMBER(入力!$C32),入力!$C32,""))</f>
        <v>1.9</v>
      </c>
      <c r="E33" s="27">
        <f>IF(ISNUMBER(入力!$C32),IFERROR(50+10*($C$6-入力!$C32)/$C$7,""),"")</f>
        <v>41.799747780674416</v>
      </c>
      <c r="F33" s="27" t="str">
        <f>IF(入力!$B32="","",IF(ISNUMBER(入力!$D32),入力!$D32,""))</f>
        <v/>
      </c>
      <c r="G33" s="27" t="str">
        <f>IF(ISNUMBER(入力!$D32),IFERROR(50+10*($D$6-入力!$D32)/$D$7,""),"")</f>
        <v/>
      </c>
      <c r="H33" s="27" t="str">
        <f>IF(AND(ISNUMBER(入力!$C32),ISNUMBER(入力!$D32)),入力!$C32+入力!$D32,"")</f>
        <v/>
      </c>
      <c r="I33" s="27" t="str">
        <f t="shared" si="1"/>
        <v/>
      </c>
      <c r="J33" s="27">
        <f>IF(入力!$B32="","",IF(AND(ISNUMBER(E33),ISNUMBER(G33)),(E33+G33)/2,IF(ISNUMBER(E33),E33,IF(ISNUMBER(G33),G33,""))))</f>
        <v>41.799747780674416</v>
      </c>
      <c r="K33" s="26" t="str">
        <f t="shared" si="2"/>
        <v>やや要改善</v>
      </c>
      <c r="M33" s="28" t="s">
        <v>154</v>
      </c>
      <c r="N33" s="28"/>
      <c r="O33" s="28"/>
      <c r="P33" s="28"/>
      <c r="Q33" s="28"/>
      <c r="R33" s="28"/>
    </row>
    <row r="34" spans="2:18" ht="15.75" x14ac:dyDescent="0.15">
      <c r="B34" s="4">
        <f t="shared" si="0"/>
        <v>24</v>
      </c>
      <c r="C34" s="7" t="str">
        <f>IF(入力!$B33="","",入力!$B33)</f>
        <v>廣瀬　こずえ</v>
      </c>
      <c r="D34" s="27">
        <f>IF(入力!$B33="","",IF(ISNUMBER(入力!$C33),入力!$C33,""))</f>
        <v>2</v>
      </c>
      <c r="E34" s="27">
        <f>IF(ISNUMBER(入力!$C33),IFERROR(50+10*($C$6-入力!$C33)/$C$7,""),"")</f>
        <v>39.443353464776258</v>
      </c>
      <c r="F34" s="27" t="str">
        <f>IF(入力!$B33="","",IF(ISNUMBER(入力!$D33),入力!$D33,""))</f>
        <v/>
      </c>
      <c r="G34" s="27" t="str">
        <f>IF(ISNUMBER(入力!$D33),IFERROR(50+10*($D$6-入力!$D33)/$D$7,""),"")</f>
        <v/>
      </c>
      <c r="H34" s="27" t="str">
        <f>IF(AND(ISNUMBER(入力!$C33),ISNUMBER(入力!$D33)),入力!$C33+入力!$D33,"")</f>
        <v/>
      </c>
      <c r="I34" s="27" t="str">
        <f t="shared" si="1"/>
        <v/>
      </c>
      <c r="J34" s="27">
        <f>IF(入力!$B33="","",IF(AND(ISNUMBER(E34),ISNUMBER(G34)),(E34+G34)/2,IF(ISNUMBER(E34),E34,IF(ISNUMBER(G34),G34,""))))</f>
        <v>39.443353464776258</v>
      </c>
      <c r="K34" s="26" t="str">
        <f t="shared" si="2"/>
        <v>要改善</v>
      </c>
      <c r="M34" s="28" t="s">
        <v>155</v>
      </c>
      <c r="N34" s="28"/>
      <c r="O34" s="28"/>
      <c r="P34" s="28"/>
      <c r="Q34" s="28"/>
      <c r="R34" s="28"/>
    </row>
    <row r="35" spans="2:18" ht="15.75" x14ac:dyDescent="0.15">
      <c r="B35" s="4">
        <f t="shared" si="0"/>
        <v>6</v>
      </c>
      <c r="C35" s="7" t="str">
        <f>IF(入力!$B34="","",入力!$B34)</f>
        <v>石戸谷　亜子</v>
      </c>
      <c r="D35" s="27">
        <f>IF(入力!$B34="","",IF(ISNUMBER(入力!$C34),入力!$C34,""))</f>
        <v>1.3</v>
      </c>
      <c r="E35" s="27">
        <f>IF(ISNUMBER(入力!$C34),IFERROR(50+10*($C$6-入力!$C34)/$C$7,""),"")</f>
        <v>55.938113676063345</v>
      </c>
      <c r="F35" s="27" t="str">
        <f>IF(入力!$B34="","",IF(ISNUMBER(入力!$D34),入力!$D34,""))</f>
        <v/>
      </c>
      <c r="G35" s="27" t="str">
        <f>IF(ISNUMBER(入力!$D34),IFERROR(50+10*($D$6-入力!$D34)/$D$7,""),"")</f>
        <v/>
      </c>
      <c r="H35" s="27" t="str">
        <f>IF(AND(ISNUMBER(入力!$C34),ISNUMBER(入力!$D34)),入力!$C34+入力!$D34,"")</f>
        <v/>
      </c>
      <c r="I35" s="27" t="str">
        <f t="shared" si="1"/>
        <v/>
      </c>
      <c r="J35" s="27">
        <f>IF(入力!$B34="","",IF(AND(ISNUMBER(E35),ISNUMBER(G35)),(E35+G35)/2,IF(ISNUMBER(E35),E35,IF(ISNUMBER(G35),G35,""))))</f>
        <v>55.938113676063345</v>
      </c>
      <c r="K35" s="26" t="str">
        <f t="shared" si="2"/>
        <v>やや優秀</v>
      </c>
      <c r="M35" s="28" t="s">
        <v>156</v>
      </c>
      <c r="N35" s="28"/>
      <c r="O35" s="28"/>
      <c r="P35" s="28"/>
      <c r="Q35" s="28"/>
      <c r="R35" s="28"/>
    </row>
    <row r="36" spans="2:18" ht="15.75" x14ac:dyDescent="0.15">
      <c r="B36" s="4" t="str">
        <f t="shared" si="0"/>
        <v/>
      </c>
      <c r="C36" s="7" t="str">
        <f>IF(入力!$B35="","",入力!$B35)</f>
        <v>奥野　愛海</v>
      </c>
      <c r="D36" s="27" t="str">
        <f>IF(入力!$B35="","",IF(ISNUMBER(入力!$C35),入力!$C35,""))</f>
        <v/>
      </c>
      <c r="E36" s="27" t="str">
        <f>IF(ISNUMBER(入力!$C35),IFERROR(50+10*($C$6-入力!$C35)/$C$7,""),"")</f>
        <v/>
      </c>
      <c r="F36" s="27" t="str">
        <f>IF(入力!$B35="","",IF(ISNUMBER(入力!$D35),入力!$D35,""))</f>
        <v/>
      </c>
      <c r="G36" s="27" t="str">
        <f>IF(ISNUMBER(入力!$D35),IFERROR(50+10*($D$6-入力!$D35)/$D$7,""),"")</f>
        <v/>
      </c>
      <c r="H36" s="27" t="str">
        <f>IF(AND(ISNUMBER(入力!$C35),ISNUMBER(入力!$D35)),入力!$C35+入力!$D35,"")</f>
        <v/>
      </c>
      <c r="I36" s="27" t="str">
        <f t="shared" si="1"/>
        <v/>
      </c>
      <c r="J36" s="27" t="str">
        <f>IF(入力!$B35="","",IF(AND(ISNUMBER(E36),ISNUMBER(G36)),(E36+G36)/2,IF(ISNUMBER(E36),E36,IF(ISNUMBER(G36),G36,""))))</f>
        <v/>
      </c>
      <c r="K36" s="26" t="str">
        <f t="shared" si="2"/>
        <v/>
      </c>
      <c r="M36" s="28"/>
      <c r="N36" s="28"/>
      <c r="O36" s="28"/>
      <c r="P36" s="28"/>
      <c r="Q36" s="28"/>
      <c r="R36" s="28"/>
    </row>
    <row r="37" spans="2:18" ht="15.75" x14ac:dyDescent="0.15">
      <c r="B37" s="4" t="str">
        <f t="shared" si="0"/>
        <v/>
      </c>
      <c r="C37" s="7" t="str">
        <f>IF(入力!$B36="","",入力!$B36)</f>
        <v>平田　学</v>
      </c>
      <c r="D37" s="27" t="str">
        <f>IF(入力!$B36="","",IF(ISNUMBER(入力!$C36),入力!$C36,""))</f>
        <v/>
      </c>
      <c r="E37" s="27" t="str">
        <f>IF(ISNUMBER(入力!$C36),IFERROR(50+10*($C$6-入力!$C36)/$C$7,""),"")</f>
        <v/>
      </c>
      <c r="F37" s="27" t="str">
        <f>IF(入力!$B36="","",IF(ISNUMBER(入力!$D36),入力!$D36,""))</f>
        <v/>
      </c>
      <c r="G37" s="27" t="str">
        <f>IF(ISNUMBER(入力!$D36),IFERROR(50+10*($D$6-入力!$D36)/$D$7,""),"")</f>
        <v/>
      </c>
      <c r="H37" s="27" t="str">
        <f>IF(AND(ISNUMBER(入力!$C36),ISNUMBER(入力!$D36)),入力!$C36+入力!$D36,"")</f>
        <v/>
      </c>
      <c r="I37" s="27" t="str">
        <f t="shared" si="1"/>
        <v/>
      </c>
      <c r="J37" s="27" t="str">
        <f>IF(入力!$B36="","",IF(AND(ISNUMBER(E37),ISNUMBER(G37)),(E37+G37)/2,IF(ISNUMBER(E37),E37,IF(ISNUMBER(G37),G37,""))))</f>
        <v/>
      </c>
      <c r="K37" s="26" t="str">
        <f t="shared" si="2"/>
        <v/>
      </c>
      <c r="M37" s="28" t="s">
        <v>157</v>
      </c>
      <c r="N37" s="28"/>
      <c r="O37" s="28"/>
      <c r="P37" s="28"/>
      <c r="Q37" s="28"/>
      <c r="R37" s="28"/>
    </row>
    <row r="38" spans="2:18" ht="15.75" x14ac:dyDescent="0.15">
      <c r="B38" s="4" t="str">
        <f t="shared" si="0"/>
        <v/>
      </c>
      <c r="C38" s="7" t="str">
        <f>IF(入力!$B37="","",入力!$B37)</f>
        <v/>
      </c>
      <c r="D38" s="27" t="str">
        <f>IF(入力!$B37="","",IF(ISNUMBER(入力!$C37),入力!$C37,""))</f>
        <v/>
      </c>
      <c r="E38" s="27" t="str">
        <f>IF(ISNUMBER(入力!$C37),IFERROR(50+10*($C$6-入力!$C37)/$C$7,""),"")</f>
        <v/>
      </c>
      <c r="F38" s="27" t="str">
        <f>IF(入力!$B37="","",IF(ISNUMBER(入力!$D37),入力!$D37,""))</f>
        <v/>
      </c>
      <c r="G38" s="27" t="str">
        <f>IF(ISNUMBER(入力!$D37),IFERROR(50+10*($D$6-入力!$D37)/$D$7,""),"")</f>
        <v/>
      </c>
      <c r="H38" s="27" t="str">
        <f>IF(AND(ISNUMBER(入力!$C37),ISNUMBER(入力!$D37)),入力!$C37+入力!$D37,"")</f>
        <v/>
      </c>
      <c r="I38" s="27" t="str">
        <f t="shared" si="1"/>
        <v/>
      </c>
      <c r="J38" s="27" t="str">
        <f>IF(入力!$B37="","",IF(AND(ISNUMBER(E38),ISNUMBER(G38)),(E38+G38)/2,IF(ISNUMBER(E38),E38,IF(ISNUMBER(G38),G38,""))))</f>
        <v/>
      </c>
      <c r="K38" s="26" t="str">
        <f t="shared" si="2"/>
        <v/>
      </c>
      <c r="M38" s="28" t="s">
        <v>158</v>
      </c>
      <c r="N38" s="28"/>
      <c r="O38" s="28"/>
      <c r="P38" s="28"/>
      <c r="Q38" s="28"/>
      <c r="R38" s="28"/>
    </row>
    <row r="39" spans="2:18" ht="15.75" x14ac:dyDescent="0.15">
      <c r="B39" s="4" t="str">
        <f t="shared" si="0"/>
        <v/>
      </c>
      <c r="C39" s="7" t="str">
        <f>IF(入力!$B38="","",入力!$B38)</f>
        <v/>
      </c>
      <c r="D39" s="27" t="str">
        <f>IF(入力!$B38="","",IF(ISNUMBER(入力!$C38),入力!$C38,""))</f>
        <v/>
      </c>
      <c r="E39" s="27" t="str">
        <f>IF(ISNUMBER(入力!$C38),IFERROR(50+10*($C$6-入力!$C38)/$C$7,""),"")</f>
        <v/>
      </c>
      <c r="F39" s="27" t="str">
        <f>IF(入力!$B38="","",IF(ISNUMBER(入力!$D38),入力!$D38,""))</f>
        <v/>
      </c>
      <c r="G39" s="27" t="str">
        <f>IF(ISNUMBER(入力!$D38),IFERROR(50+10*($D$6-入力!$D38)/$D$7,""),"")</f>
        <v/>
      </c>
      <c r="H39" s="27" t="str">
        <f>IF(AND(ISNUMBER(入力!$C38),ISNUMBER(入力!$D38)),入力!$C38+入力!$D38,"")</f>
        <v/>
      </c>
      <c r="I39" s="27" t="str">
        <f t="shared" si="1"/>
        <v/>
      </c>
      <c r="J39" s="27" t="str">
        <f>IF(入力!$B38="","",IF(AND(ISNUMBER(E39),ISNUMBER(G39)),(E39+G39)/2,IF(ISNUMBER(E39),E39,IF(ISNUMBER(G39),G39,""))))</f>
        <v/>
      </c>
      <c r="K39" s="26" t="str">
        <f t="shared" si="2"/>
        <v/>
      </c>
      <c r="M39" s="28"/>
      <c r="N39" s="28"/>
      <c r="O39" s="28"/>
      <c r="P39" s="28"/>
      <c r="Q39" s="28"/>
      <c r="R39" s="28"/>
    </row>
    <row r="40" spans="2:18" ht="15.75" x14ac:dyDescent="0.15">
      <c r="B40" s="4" t="str">
        <f t="shared" si="0"/>
        <v/>
      </c>
      <c r="C40" s="7" t="str">
        <f>IF(入力!$B39="","",入力!$B39)</f>
        <v/>
      </c>
      <c r="D40" s="27" t="str">
        <f>IF(入力!$B39="","",IF(ISNUMBER(入力!$C39),入力!$C39,""))</f>
        <v/>
      </c>
      <c r="E40" s="27" t="str">
        <f>IF(ISNUMBER(入力!$C39),IFERROR(50+10*($C$6-入力!$C39)/$C$7,""),"")</f>
        <v/>
      </c>
      <c r="F40" s="27" t="str">
        <f>IF(入力!$B39="","",IF(ISNUMBER(入力!$D39),入力!$D39,""))</f>
        <v/>
      </c>
      <c r="G40" s="27" t="str">
        <f>IF(ISNUMBER(入力!$D39),IFERROR(50+10*($D$6-入力!$D39)/$D$7,""),"")</f>
        <v/>
      </c>
      <c r="H40" s="27" t="str">
        <f>IF(AND(ISNUMBER(入力!$C39),ISNUMBER(入力!$D39)),入力!$C39+入力!$D39,"")</f>
        <v/>
      </c>
      <c r="I40" s="27" t="str">
        <f t="shared" si="1"/>
        <v/>
      </c>
      <c r="J40" s="27" t="str">
        <f>IF(入力!$B39="","",IF(AND(ISNUMBER(E40),ISNUMBER(G40)),(E40+G40)/2,IF(ISNUMBER(E40),E40,IF(ISNUMBER(G40),G40,""))))</f>
        <v/>
      </c>
      <c r="K40" s="26" t="str">
        <f t="shared" si="2"/>
        <v/>
      </c>
      <c r="M40" s="28" t="s">
        <v>159</v>
      </c>
      <c r="N40" s="28"/>
      <c r="O40" s="28"/>
      <c r="P40" s="28"/>
      <c r="Q40" s="28"/>
      <c r="R40" s="28"/>
    </row>
    <row r="41" spans="2:18" ht="15.75" x14ac:dyDescent="0.15">
      <c r="B41" s="4" t="str">
        <f t="shared" si="0"/>
        <v/>
      </c>
      <c r="C41" s="7" t="str">
        <f>IF(入力!$B40="","",入力!$B40)</f>
        <v/>
      </c>
      <c r="D41" s="27" t="str">
        <f>IF(入力!$B40="","",IF(ISNUMBER(入力!$C40),入力!$C40,""))</f>
        <v/>
      </c>
      <c r="E41" s="27" t="str">
        <f>IF(ISNUMBER(入力!$C40),IFERROR(50+10*($C$6-入力!$C40)/$C$7,""),"")</f>
        <v/>
      </c>
      <c r="F41" s="27" t="str">
        <f>IF(入力!$B40="","",IF(ISNUMBER(入力!$D40),入力!$D40,""))</f>
        <v/>
      </c>
      <c r="G41" s="27" t="str">
        <f>IF(ISNUMBER(入力!$D40),IFERROR(50+10*($D$6-入力!$D40)/$D$7,""),"")</f>
        <v/>
      </c>
      <c r="H41" s="27" t="str">
        <f>IF(AND(ISNUMBER(入力!$C40),ISNUMBER(入力!$D40)),入力!$C40+入力!$D40,"")</f>
        <v/>
      </c>
      <c r="I41" s="27" t="str">
        <f t="shared" si="1"/>
        <v/>
      </c>
      <c r="J41" s="27" t="str">
        <f>IF(入力!$B40="","",IF(AND(ISNUMBER(E41),ISNUMBER(G41)),(E41+G41)/2,IF(ISNUMBER(E41),E41,IF(ISNUMBER(G41),G41,""))))</f>
        <v/>
      </c>
      <c r="K41" s="26" t="str">
        <f t="shared" si="2"/>
        <v/>
      </c>
      <c r="M41" s="28"/>
      <c r="N41" s="28"/>
      <c r="O41" s="28"/>
      <c r="P41" s="28"/>
      <c r="Q41" s="28"/>
      <c r="R41" s="28"/>
    </row>
    <row r="42" spans="2:18" ht="15.75" x14ac:dyDescent="0.15">
      <c r="B42" s="4" t="str">
        <f t="shared" ref="B42:B59" si="3">IF($J42="","",RANK($J42,$J$10:$J$59,0))</f>
        <v/>
      </c>
      <c r="C42" s="7" t="str">
        <f>IF(入力!$B41="","",入力!$B41)</f>
        <v/>
      </c>
      <c r="D42" s="27" t="str">
        <f>IF(入力!$B41="","",IF(ISNUMBER(入力!$C41),入力!$C41,""))</f>
        <v/>
      </c>
      <c r="E42" s="27" t="str">
        <f>IF(ISNUMBER(入力!$C41),IFERROR(50+10*($C$6-入力!$C41)/$C$7,""),"")</f>
        <v/>
      </c>
      <c r="F42" s="27" t="str">
        <f>IF(入力!$B41="","",IF(ISNUMBER(入力!$D41),入力!$D41,""))</f>
        <v/>
      </c>
      <c r="G42" s="27" t="str">
        <f>IF(ISNUMBER(入力!$D41),IFERROR(50+10*($D$6-入力!$D41)/$D$7,""),"")</f>
        <v/>
      </c>
      <c r="H42" s="27" t="str">
        <f>IF(AND(ISNUMBER(入力!$C41),ISNUMBER(入力!$D41)),入力!$C41+入力!$D41,"")</f>
        <v/>
      </c>
      <c r="I42" s="27" t="str">
        <f t="shared" ref="I42:I59" si="4">IF(H42="","",IFERROR(50+10*($E$6-H42)/$E$7,""))</f>
        <v/>
      </c>
      <c r="J42" s="27" t="str">
        <f>IF(入力!$B41="","",IF(AND(ISNUMBER(E42),ISNUMBER(G42)),(E42+G42)/2,IF(ISNUMBER(E42),E42,IF(ISNUMBER(G42),G42,""))))</f>
        <v/>
      </c>
      <c r="K42" s="26" t="str">
        <f t="shared" ref="K42:K59" si="5">IF(J42="","",IF(J42&gt;=60,"優秀",IF(J42&gt;=55,"やや優秀",IF(J42&gt;=45,"標準",IF(J42&gt;=40,"やや要改善","要改善")))))</f>
        <v/>
      </c>
      <c r="M42" s="28" t="s">
        <v>160</v>
      </c>
      <c r="N42" s="28" t="s">
        <v>161</v>
      </c>
      <c r="O42" s="28" t="s">
        <v>162</v>
      </c>
      <c r="P42" s="28" t="s">
        <v>163</v>
      </c>
      <c r="Q42" s="28"/>
      <c r="R42" s="28"/>
    </row>
    <row r="43" spans="2:18" ht="15.75" x14ac:dyDescent="0.15">
      <c r="B43" s="4" t="str">
        <f t="shared" si="3"/>
        <v/>
      </c>
      <c r="C43" s="7" t="str">
        <f>IF(入力!$B42="","",入力!$B42)</f>
        <v/>
      </c>
      <c r="D43" s="27" t="str">
        <f>IF(入力!$B42="","",IF(ISNUMBER(入力!$C42),入力!$C42,""))</f>
        <v/>
      </c>
      <c r="E43" s="27" t="str">
        <f>IF(ISNUMBER(入力!$C42),IFERROR(50+10*($C$6-入力!$C42)/$C$7,""),"")</f>
        <v/>
      </c>
      <c r="F43" s="27" t="str">
        <f>IF(入力!$B42="","",IF(ISNUMBER(入力!$D42),入力!$D42,""))</f>
        <v/>
      </c>
      <c r="G43" s="27" t="str">
        <f>IF(ISNUMBER(入力!$D42),IFERROR(50+10*($D$6-入力!$D42)/$D$7,""),"")</f>
        <v/>
      </c>
      <c r="H43" s="27" t="str">
        <f>IF(AND(ISNUMBER(入力!$C42),ISNUMBER(入力!$D42)),入力!$C42+入力!$D42,"")</f>
        <v/>
      </c>
      <c r="I43" s="27" t="str">
        <f t="shared" si="4"/>
        <v/>
      </c>
      <c r="J43" s="27" t="str">
        <f>IF(入力!$B42="","",IF(AND(ISNUMBER(E43),ISNUMBER(G43)),(E43+G43)/2,IF(ISNUMBER(E43),E43,IF(ISNUMBER(G43),G43,""))))</f>
        <v/>
      </c>
      <c r="K43" s="26" t="str">
        <f t="shared" si="5"/>
        <v/>
      </c>
      <c r="M43" s="28" t="s">
        <v>164</v>
      </c>
      <c r="N43" s="28" t="s">
        <v>165</v>
      </c>
      <c r="O43" s="28" t="s">
        <v>166</v>
      </c>
      <c r="P43" s="28" t="s">
        <v>167</v>
      </c>
      <c r="Q43" s="28"/>
      <c r="R43" s="28"/>
    </row>
    <row r="44" spans="2:18" ht="15.75" x14ac:dyDescent="0.15">
      <c r="B44" s="4" t="str">
        <f t="shared" si="3"/>
        <v/>
      </c>
      <c r="C44" s="7" t="str">
        <f>IF(入力!$B43="","",入力!$B43)</f>
        <v/>
      </c>
      <c r="D44" s="27" t="str">
        <f>IF(入力!$B43="","",IF(ISNUMBER(入力!$C43),入力!$C43,""))</f>
        <v/>
      </c>
      <c r="E44" s="27" t="str">
        <f>IF(ISNUMBER(入力!$C43),IFERROR(50+10*($C$6-入力!$C43)/$C$7,""),"")</f>
        <v/>
      </c>
      <c r="F44" s="27" t="str">
        <f>IF(入力!$B43="","",IF(ISNUMBER(入力!$D43),入力!$D43,""))</f>
        <v/>
      </c>
      <c r="G44" s="27" t="str">
        <f>IF(ISNUMBER(入力!$D43),IFERROR(50+10*($D$6-入力!$D43)/$D$7,""),"")</f>
        <v/>
      </c>
      <c r="H44" s="27" t="str">
        <f>IF(AND(ISNUMBER(入力!$C43),ISNUMBER(入力!$D43)),入力!$C43+入力!$D43,"")</f>
        <v/>
      </c>
      <c r="I44" s="27" t="str">
        <f t="shared" si="4"/>
        <v/>
      </c>
      <c r="J44" s="27" t="str">
        <f>IF(入力!$B43="","",IF(AND(ISNUMBER(E44),ISNUMBER(G44)),(E44+G44)/2,IF(ISNUMBER(E44),E44,IF(ISNUMBER(G44),G44,""))))</f>
        <v/>
      </c>
      <c r="K44" s="26" t="str">
        <f t="shared" si="5"/>
        <v/>
      </c>
      <c r="M44" s="28" t="s">
        <v>168</v>
      </c>
      <c r="N44" s="28" t="s">
        <v>169</v>
      </c>
      <c r="O44" s="28" t="s">
        <v>170</v>
      </c>
      <c r="P44" s="28" t="s">
        <v>171</v>
      </c>
      <c r="Q44" s="28"/>
      <c r="R44" s="28"/>
    </row>
    <row r="45" spans="2:18" ht="15.75" x14ac:dyDescent="0.15">
      <c r="B45" s="4" t="str">
        <f t="shared" si="3"/>
        <v/>
      </c>
      <c r="C45" s="7" t="str">
        <f>IF(入力!$B44="","",入力!$B44)</f>
        <v/>
      </c>
      <c r="D45" s="27" t="str">
        <f>IF(入力!$B44="","",IF(ISNUMBER(入力!$C44),入力!$C44,""))</f>
        <v/>
      </c>
      <c r="E45" s="27" t="str">
        <f>IF(ISNUMBER(入力!$C44),IFERROR(50+10*($C$6-入力!$C44)/$C$7,""),"")</f>
        <v/>
      </c>
      <c r="F45" s="27" t="str">
        <f>IF(入力!$B44="","",IF(ISNUMBER(入力!$D44),入力!$D44,""))</f>
        <v/>
      </c>
      <c r="G45" s="27" t="str">
        <f>IF(ISNUMBER(入力!$D44),IFERROR(50+10*($D$6-入力!$D44)/$D$7,""),"")</f>
        <v/>
      </c>
      <c r="H45" s="27" t="str">
        <f>IF(AND(ISNUMBER(入力!$C44),ISNUMBER(入力!$D44)),入力!$C44+入力!$D44,"")</f>
        <v/>
      </c>
      <c r="I45" s="27" t="str">
        <f t="shared" si="4"/>
        <v/>
      </c>
      <c r="J45" s="27" t="str">
        <f>IF(入力!$B44="","",IF(AND(ISNUMBER(E45),ISNUMBER(G45)),(E45+G45)/2,IF(ISNUMBER(E45),E45,IF(ISNUMBER(G45),G45,""))))</f>
        <v/>
      </c>
      <c r="K45" s="26" t="str">
        <f t="shared" si="5"/>
        <v/>
      </c>
      <c r="M45" s="28" t="s">
        <v>172</v>
      </c>
      <c r="N45" s="28" t="s">
        <v>173</v>
      </c>
      <c r="O45" s="28" t="s">
        <v>174</v>
      </c>
      <c r="P45" s="28" t="s">
        <v>175</v>
      </c>
      <c r="Q45" s="28"/>
      <c r="R45" s="28"/>
    </row>
    <row r="46" spans="2:18" ht="15.75" x14ac:dyDescent="0.15">
      <c r="B46" s="4" t="str">
        <f t="shared" si="3"/>
        <v/>
      </c>
      <c r="C46" s="7" t="str">
        <f>IF(入力!$B45="","",入力!$B45)</f>
        <v/>
      </c>
      <c r="D46" s="27" t="str">
        <f>IF(入力!$B45="","",IF(ISNUMBER(入力!$C45),入力!$C45,""))</f>
        <v/>
      </c>
      <c r="E46" s="27" t="str">
        <f>IF(ISNUMBER(入力!$C45),IFERROR(50+10*($C$6-入力!$C45)/$C$7,""),"")</f>
        <v/>
      </c>
      <c r="F46" s="27" t="str">
        <f>IF(入力!$B45="","",IF(ISNUMBER(入力!$D45),入力!$D45,""))</f>
        <v/>
      </c>
      <c r="G46" s="27" t="str">
        <f>IF(ISNUMBER(入力!$D45),IFERROR(50+10*($D$6-入力!$D45)/$D$7,""),"")</f>
        <v/>
      </c>
      <c r="H46" s="27" t="str">
        <f>IF(AND(ISNUMBER(入力!$C45),ISNUMBER(入力!$D45)),入力!$C45+入力!$D45,"")</f>
        <v/>
      </c>
      <c r="I46" s="27" t="str">
        <f t="shared" si="4"/>
        <v/>
      </c>
      <c r="J46" s="27" t="str">
        <f>IF(入力!$B45="","",IF(AND(ISNUMBER(E46),ISNUMBER(G46)),(E46+G46)/2,IF(ISNUMBER(E46),E46,IF(ISNUMBER(G46),G46,""))))</f>
        <v/>
      </c>
      <c r="K46" s="26" t="str">
        <f t="shared" si="5"/>
        <v/>
      </c>
      <c r="M46" s="28" t="s">
        <v>176</v>
      </c>
      <c r="N46" s="28" t="s">
        <v>177</v>
      </c>
      <c r="O46" s="28" t="s">
        <v>178</v>
      </c>
      <c r="P46" s="28" t="s">
        <v>179</v>
      </c>
      <c r="Q46" s="28"/>
      <c r="R46" s="28"/>
    </row>
    <row r="47" spans="2:18" ht="15.75" x14ac:dyDescent="0.15">
      <c r="B47" s="4" t="str">
        <f t="shared" si="3"/>
        <v/>
      </c>
      <c r="C47" s="7" t="str">
        <f>IF(入力!$B46="","",入力!$B46)</f>
        <v/>
      </c>
      <c r="D47" s="27" t="str">
        <f>IF(入力!$B46="","",IF(ISNUMBER(入力!$C46),入力!$C46,""))</f>
        <v/>
      </c>
      <c r="E47" s="27" t="str">
        <f>IF(ISNUMBER(入力!$C46),IFERROR(50+10*($C$6-入力!$C46)/$C$7,""),"")</f>
        <v/>
      </c>
      <c r="F47" s="27" t="str">
        <f>IF(入力!$B46="","",IF(ISNUMBER(入力!$D46),入力!$D46,""))</f>
        <v/>
      </c>
      <c r="G47" s="27" t="str">
        <f>IF(ISNUMBER(入力!$D46),IFERROR(50+10*($D$6-入力!$D46)/$D$7,""),"")</f>
        <v/>
      </c>
      <c r="H47" s="27" t="str">
        <f>IF(AND(ISNUMBER(入力!$C46),ISNUMBER(入力!$D46)),入力!$C46+入力!$D46,"")</f>
        <v/>
      </c>
      <c r="I47" s="27" t="str">
        <f t="shared" si="4"/>
        <v/>
      </c>
      <c r="J47" s="27" t="str">
        <f>IF(入力!$B46="","",IF(AND(ISNUMBER(E47),ISNUMBER(G47)),(E47+G47)/2,IF(ISNUMBER(E47),E47,IF(ISNUMBER(G47),G47,""))))</f>
        <v/>
      </c>
      <c r="K47" s="26" t="str">
        <f t="shared" si="5"/>
        <v/>
      </c>
      <c r="M47" s="28" t="s">
        <v>180</v>
      </c>
      <c r="N47" s="28" t="s">
        <v>181</v>
      </c>
      <c r="O47" s="28" t="s">
        <v>182</v>
      </c>
      <c r="P47" s="28" t="s">
        <v>183</v>
      </c>
      <c r="Q47" s="28"/>
      <c r="R47" s="28"/>
    </row>
    <row r="48" spans="2:18" ht="15.75" x14ac:dyDescent="0.15">
      <c r="B48" s="4" t="str">
        <f t="shared" si="3"/>
        <v/>
      </c>
      <c r="C48" s="7" t="str">
        <f>IF(入力!$B47="","",入力!$B47)</f>
        <v/>
      </c>
      <c r="D48" s="27" t="str">
        <f>IF(入力!$B47="","",IF(ISNUMBER(入力!$C47),入力!$C47,""))</f>
        <v/>
      </c>
      <c r="E48" s="27" t="str">
        <f>IF(ISNUMBER(入力!$C47),IFERROR(50+10*($C$6-入力!$C47)/$C$7,""),"")</f>
        <v/>
      </c>
      <c r="F48" s="27" t="str">
        <f>IF(入力!$B47="","",IF(ISNUMBER(入力!$D47),入力!$D47,""))</f>
        <v/>
      </c>
      <c r="G48" s="27" t="str">
        <f>IF(ISNUMBER(入力!$D47),IFERROR(50+10*($D$6-入力!$D47)/$D$7,""),"")</f>
        <v/>
      </c>
      <c r="H48" s="27" t="str">
        <f>IF(AND(ISNUMBER(入力!$C47),ISNUMBER(入力!$D47)),入力!$C47+入力!$D47,"")</f>
        <v/>
      </c>
      <c r="I48" s="27" t="str">
        <f t="shared" si="4"/>
        <v/>
      </c>
      <c r="J48" s="27" t="str">
        <f>IF(入力!$B47="","",IF(AND(ISNUMBER(E48),ISNUMBER(G48)),(E48+G48)/2,IF(ISNUMBER(E48),E48,IF(ISNUMBER(G48),G48,""))))</f>
        <v/>
      </c>
      <c r="K48" s="26" t="str">
        <f t="shared" si="5"/>
        <v/>
      </c>
      <c r="M48" s="28" t="s">
        <v>184</v>
      </c>
      <c r="N48" s="28" t="s">
        <v>185</v>
      </c>
      <c r="O48" s="28" t="s">
        <v>186</v>
      </c>
      <c r="P48" s="28" t="s">
        <v>187</v>
      </c>
      <c r="Q48" s="28"/>
      <c r="R48" s="28"/>
    </row>
    <row r="49" spans="2:18" ht="15.75" x14ac:dyDescent="0.15">
      <c r="B49" s="4" t="str">
        <f t="shared" si="3"/>
        <v/>
      </c>
      <c r="C49" s="7" t="str">
        <f>IF(入力!$B48="","",入力!$B48)</f>
        <v/>
      </c>
      <c r="D49" s="27" t="str">
        <f>IF(入力!$B48="","",IF(ISNUMBER(入力!$C48),入力!$C48,""))</f>
        <v/>
      </c>
      <c r="E49" s="27" t="str">
        <f>IF(ISNUMBER(入力!$C48),IFERROR(50+10*($C$6-入力!$C48)/$C$7,""),"")</f>
        <v/>
      </c>
      <c r="F49" s="27" t="str">
        <f>IF(入力!$B48="","",IF(ISNUMBER(入力!$D48),入力!$D48,""))</f>
        <v/>
      </c>
      <c r="G49" s="27" t="str">
        <f>IF(ISNUMBER(入力!$D48),IFERROR(50+10*($D$6-入力!$D48)/$D$7,""),"")</f>
        <v/>
      </c>
      <c r="H49" s="27" t="str">
        <f>IF(AND(ISNUMBER(入力!$C48),ISNUMBER(入力!$D48)),入力!$C48+入力!$D48,"")</f>
        <v/>
      </c>
      <c r="I49" s="27" t="str">
        <f t="shared" si="4"/>
        <v/>
      </c>
      <c r="J49" s="27" t="str">
        <f>IF(入力!$B48="","",IF(AND(ISNUMBER(E49),ISNUMBER(G49)),(E49+G49)/2,IF(ISNUMBER(E49),E49,IF(ISNUMBER(G49),G49,""))))</f>
        <v/>
      </c>
      <c r="K49" s="26" t="str">
        <f t="shared" si="5"/>
        <v/>
      </c>
      <c r="M49" s="28" t="s">
        <v>188</v>
      </c>
      <c r="N49" s="28"/>
      <c r="O49" s="28"/>
      <c r="P49" s="28"/>
      <c r="Q49" s="28"/>
      <c r="R49" s="28"/>
    </row>
    <row r="50" spans="2:18" ht="15.75" x14ac:dyDescent="0.15">
      <c r="B50" s="4" t="str">
        <f t="shared" si="3"/>
        <v/>
      </c>
      <c r="C50" s="7" t="str">
        <f>IF(入力!$B49="","",入力!$B49)</f>
        <v/>
      </c>
      <c r="D50" s="27" t="str">
        <f>IF(入力!$B49="","",IF(ISNUMBER(入力!$C49),入力!$C49,""))</f>
        <v/>
      </c>
      <c r="E50" s="27" t="str">
        <f>IF(ISNUMBER(入力!$C49),IFERROR(50+10*($C$6-入力!$C49)/$C$7,""),"")</f>
        <v/>
      </c>
      <c r="F50" s="27" t="str">
        <f>IF(入力!$B49="","",IF(ISNUMBER(入力!$D49),入力!$D49,""))</f>
        <v/>
      </c>
      <c r="G50" s="27" t="str">
        <f>IF(ISNUMBER(入力!$D49),IFERROR(50+10*($D$6-入力!$D49)/$D$7,""),"")</f>
        <v/>
      </c>
      <c r="H50" s="27" t="str">
        <f>IF(AND(ISNUMBER(入力!$C49),ISNUMBER(入力!$D49)),入力!$C49+入力!$D49,"")</f>
        <v/>
      </c>
      <c r="I50" s="27" t="str">
        <f t="shared" si="4"/>
        <v/>
      </c>
      <c r="J50" s="27" t="str">
        <f>IF(入力!$B49="","",IF(AND(ISNUMBER(E50),ISNUMBER(G50)),(E50+G50)/2,IF(ISNUMBER(E50),E50,IF(ISNUMBER(G50),G50,""))))</f>
        <v/>
      </c>
      <c r="K50" s="26" t="str">
        <f t="shared" si="5"/>
        <v/>
      </c>
      <c r="M50" s="28" t="s">
        <v>189</v>
      </c>
      <c r="N50" s="28"/>
      <c r="O50" s="28"/>
      <c r="P50" s="28"/>
      <c r="Q50" s="28"/>
      <c r="R50" s="28"/>
    </row>
    <row r="51" spans="2:18" ht="15.75" x14ac:dyDescent="0.15">
      <c r="B51" s="4" t="str">
        <f t="shared" si="3"/>
        <v/>
      </c>
      <c r="C51" s="7" t="str">
        <f>IF(入力!$B50="","",入力!$B50)</f>
        <v/>
      </c>
      <c r="D51" s="27" t="str">
        <f>IF(入力!$B50="","",IF(ISNUMBER(入力!$C50),入力!$C50,""))</f>
        <v/>
      </c>
      <c r="E51" s="27" t="str">
        <f>IF(ISNUMBER(入力!$C50),IFERROR(50+10*($C$6-入力!$C50)/$C$7,""),"")</f>
        <v/>
      </c>
      <c r="F51" s="27" t="str">
        <f>IF(入力!$B50="","",IF(ISNUMBER(入力!$D50),入力!$D50,""))</f>
        <v/>
      </c>
      <c r="G51" s="27" t="str">
        <f>IF(ISNUMBER(入力!$D50),IFERROR(50+10*($D$6-入力!$D50)/$D$7,""),"")</f>
        <v/>
      </c>
      <c r="H51" s="27" t="str">
        <f>IF(AND(ISNUMBER(入力!$C50),ISNUMBER(入力!$D50)),入力!$C50+入力!$D50,"")</f>
        <v/>
      </c>
      <c r="I51" s="27" t="str">
        <f t="shared" si="4"/>
        <v/>
      </c>
      <c r="J51" s="27" t="str">
        <f>IF(入力!$B50="","",IF(AND(ISNUMBER(E51),ISNUMBER(G51)),(E51+G51)/2,IF(ISNUMBER(E51),E51,IF(ISNUMBER(G51),G51,""))))</f>
        <v/>
      </c>
      <c r="K51" s="26" t="str">
        <f t="shared" si="5"/>
        <v/>
      </c>
      <c r="M51" s="28" t="s">
        <v>190</v>
      </c>
      <c r="N51" s="28"/>
      <c r="O51" s="28"/>
      <c r="P51" s="28"/>
      <c r="Q51" s="28"/>
      <c r="R51" s="28"/>
    </row>
    <row r="52" spans="2:18" ht="15.75" x14ac:dyDescent="0.15">
      <c r="B52" s="4" t="str">
        <f t="shared" si="3"/>
        <v/>
      </c>
      <c r="C52" s="7" t="str">
        <f>IF(入力!$B51="","",入力!$B51)</f>
        <v/>
      </c>
      <c r="D52" s="27" t="str">
        <f>IF(入力!$B51="","",IF(ISNUMBER(入力!$C51),入力!$C51,""))</f>
        <v/>
      </c>
      <c r="E52" s="27" t="str">
        <f>IF(ISNUMBER(入力!$C51),IFERROR(50+10*($C$6-入力!$C51)/$C$7,""),"")</f>
        <v/>
      </c>
      <c r="F52" s="27" t="str">
        <f>IF(入力!$B51="","",IF(ISNUMBER(入力!$D51),入力!$D51,""))</f>
        <v/>
      </c>
      <c r="G52" s="27" t="str">
        <f>IF(ISNUMBER(入力!$D51),IFERROR(50+10*($D$6-入力!$D51)/$D$7,""),"")</f>
        <v/>
      </c>
      <c r="H52" s="27" t="str">
        <f>IF(AND(ISNUMBER(入力!$C51),ISNUMBER(入力!$D51)),入力!$C51+入力!$D51,"")</f>
        <v/>
      </c>
      <c r="I52" s="27" t="str">
        <f t="shared" si="4"/>
        <v/>
      </c>
      <c r="J52" s="27" t="str">
        <f>IF(入力!$B51="","",IF(AND(ISNUMBER(E52),ISNUMBER(G52)),(E52+G52)/2,IF(ISNUMBER(E52),E52,IF(ISNUMBER(G52),G52,""))))</f>
        <v/>
      </c>
      <c r="K52" s="26" t="str">
        <f t="shared" si="5"/>
        <v/>
      </c>
      <c r="M52" s="28" t="s">
        <v>191</v>
      </c>
      <c r="N52" s="28"/>
      <c r="O52" s="28"/>
      <c r="P52" s="28"/>
      <c r="Q52" s="28"/>
      <c r="R52" s="28"/>
    </row>
    <row r="53" spans="2:18" ht="15.75" x14ac:dyDescent="0.15">
      <c r="B53" s="4" t="str">
        <f t="shared" si="3"/>
        <v/>
      </c>
      <c r="C53" s="7" t="str">
        <f>IF(入力!$B52="","",入力!$B52)</f>
        <v/>
      </c>
      <c r="D53" s="27" t="str">
        <f>IF(入力!$B52="","",IF(ISNUMBER(入力!$C52),入力!$C52,""))</f>
        <v/>
      </c>
      <c r="E53" s="27" t="str">
        <f>IF(ISNUMBER(入力!$C52),IFERROR(50+10*($C$6-入力!$C52)/$C$7,""),"")</f>
        <v/>
      </c>
      <c r="F53" s="27" t="str">
        <f>IF(入力!$B52="","",IF(ISNUMBER(入力!$D52),入力!$D52,""))</f>
        <v/>
      </c>
      <c r="G53" s="27" t="str">
        <f>IF(ISNUMBER(入力!$D52),IFERROR(50+10*($D$6-入力!$D52)/$D$7,""),"")</f>
        <v/>
      </c>
      <c r="H53" s="27" t="str">
        <f>IF(AND(ISNUMBER(入力!$C52),ISNUMBER(入力!$D52)),入力!$C52+入力!$D52,"")</f>
        <v/>
      </c>
      <c r="I53" s="27" t="str">
        <f t="shared" si="4"/>
        <v/>
      </c>
      <c r="J53" s="27" t="str">
        <f>IF(入力!$B52="","",IF(AND(ISNUMBER(E53),ISNUMBER(G53)),(E53+G53)/2,IF(ISNUMBER(E53),E53,IF(ISNUMBER(G53),G53,""))))</f>
        <v/>
      </c>
      <c r="K53" s="26" t="str">
        <f t="shared" si="5"/>
        <v/>
      </c>
      <c r="M53" s="28"/>
      <c r="N53" s="28"/>
      <c r="O53" s="28"/>
      <c r="P53" s="28"/>
      <c r="Q53" s="28"/>
      <c r="R53" s="28"/>
    </row>
    <row r="54" spans="2:18" ht="15.75" x14ac:dyDescent="0.15">
      <c r="B54" s="4" t="str">
        <f t="shared" si="3"/>
        <v/>
      </c>
      <c r="C54" s="7" t="str">
        <f>IF(入力!$B53="","",入力!$B53)</f>
        <v/>
      </c>
      <c r="D54" s="27" t="str">
        <f>IF(入力!$B53="","",IF(ISNUMBER(入力!$C53),入力!$C53,""))</f>
        <v/>
      </c>
      <c r="E54" s="27" t="str">
        <f>IF(ISNUMBER(入力!$C53),IFERROR(50+10*($C$6-入力!$C53)/$C$7,""),"")</f>
        <v/>
      </c>
      <c r="F54" s="27" t="str">
        <f>IF(入力!$B53="","",IF(ISNUMBER(入力!$D53),入力!$D53,""))</f>
        <v/>
      </c>
      <c r="G54" s="27" t="str">
        <f>IF(ISNUMBER(入力!$D53),IFERROR(50+10*($D$6-入力!$D53)/$D$7,""),"")</f>
        <v/>
      </c>
      <c r="H54" s="27" t="str">
        <f>IF(AND(ISNUMBER(入力!$C53),ISNUMBER(入力!$D53)),入力!$C53+入力!$D53,"")</f>
        <v/>
      </c>
      <c r="I54" s="27" t="str">
        <f t="shared" si="4"/>
        <v/>
      </c>
      <c r="J54" s="27" t="str">
        <f>IF(入力!$B53="","",IF(AND(ISNUMBER(E54),ISNUMBER(G54)),(E54+G54)/2,IF(ISNUMBER(E54),E54,IF(ISNUMBER(G54),G54,""))))</f>
        <v/>
      </c>
      <c r="K54" s="26" t="str">
        <f t="shared" si="5"/>
        <v/>
      </c>
      <c r="M54" s="28" t="s">
        <v>10</v>
      </c>
      <c r="N54" s="28" t="s">
        <v>192</v>
      </c>
      <c r="O54" s="28" t="s">
        <v>193</v>
      </c>
      <c r="P54" s="28" t="s">
        <v>194</v>
      </c>
      <c r="Q54" s="28" t="s">
        <v>195</v>
      </c>
      <c r="R54" s="28" t="s">
        <v>196</v>
      </c>
    </row>
    <row r="55" spans="2:18" ht="15.75" x14ac:dyDescent="0.15">
      <c r="B55" s="4" t="str">
        <f t="shared" si="3"/>
        <v/>
      </c>
      <c r="C55" s="7" t="str">
        <f>IF(入力!$B54="","",入力!$B54)</f>
        <v/>
      </c>
      <c r="D55" s="27" t="str">
        <f>IF(入力!$B54="","",IF(ISNUMBER(入力!$C54),入力!$C54,""))</f>
        <v/>
      </c>
      <c r="E55" s="27" t="str">
        <f>IF(ISNUMBER(入力!$C54),IFERROR(50+10*($C$6-入力!$C54)/$C$7,""),"")</f>
        <v/>
      </c>
      <c r="F55" s="27" t="str">
        <f>IF(入力!$B54="","",IF(ISNUMBER(入力!$D54),入力!$D54,""))</f>
        <v/>
      </c>
      <c r="G55" s="27" t="str">
        <f>IF(ISNUMBER(入力!$D54),IFERROR(50+10*($D$6-入力!$D54)/$D$7,""),"")</f>
        <v/>
      </c>
      <c r="H55" s="27" t="str">
        <f>IF(AND(ISNUMBER(入力!$C54),ISNUMBER(入力!$D54)),入力!$C54+入力!$D54,"")</f>
        <v/>
      </c>
      <c r="I55" s="27" t="str">
        <f t="shared" si="4"/>
        <v/>
      </c>
      <c r="J55" s="27" t="str">
        <f>IF(入力!$B54="","",IF(AND(ISNUMBER(E55),ISNUMBER(G55)),(E55+G55)/2,IF(ISNUMBER(E55),E55,IF(ISNUMBER(G55),G55,""))))</f>
        <v/>
      </c>
      <c r="K55" s="26" t="str">
        <f t="shared" si="5"/>
        <v/>
      </c>
      <c r="M55" s="28" t="s">
        <v>197</v>
      </c>
      <c r="N55" s="28">
        <v>13.5</v>
      </c>
      <c r="O55" s="28">
        <v>64.3</v>
      </c>
      <c r="P55" s="28">
        <v>38.9</v>
      </c>
      <c r="Q55" s="28">
        <v>40.700000000000003</v>
      </c>
      <c r="R55" s="28" t="s">
        <v>198</v>
      </c>
    </row>
    <row r="56" spans="2:18" ht="15.75" x14ac:dyDescent="0.15">
      <c r="B56" s="4" t="str">
        <f t="shared" si="3"/>
        <v/>
      </c>
      <c r="C56" s="7" t="str">
        <f>IF(入力!$B55="","",入力!$B55)</f>
        <v/>
      </c>
      <c r="D56" s="27" t="str">
        <f>IF(入力!$B55="","",IF(ISNUMBER(入力!$C55),入力!$C55,""))</f>
        <v/>
      </c>
      <c r="E56" s="27" t="str">
        <f>IF(ISNUMBER(入力!$C55),IFERROR(50+10*($C$6-入力!$C55)/$C$7,""),"")</f>
        <v/>
      </c>
      <c r="F56" s="27" t="str">
        <f>IF(入力!$B55="","",IF(ISNUMBER(入力!$D55),入力!$D55,""))</f>
        <v/>
      </c>
      <c r="G56" s="27" t="str">
        <f>IF(ISNUMBER(入力!$D55),IFERROR(50+10*($D$6-入力!$D55)/$D$7,""),"")</f>
        <v/>
      </c>
      <c r="H56" s="27" t="str">
        <f>IF(AND(ISNUMBER(入力!$C55),ISNUMBER(入力!$D55)),入力!$C55+入力!$D55,"")</f>
        <v/>
      </c>
      <c r="I56" s="27" t="str">
        <f t="shared" si="4"/>
        <v/>
      </c>
      <c r="J56" s="27" t="str">
        <f>IF(入力!$B55="","",IF(AND(ISNUMBER(E56),ISNUMBER(G56)),(E56+G56)/2,IF(ISNUMBER(E56),E56,IF(ISNUMBER(G56),G56,""))))</f>
        <v/>
      </c>
      <c r="K56" s="26" t="str">
        <f t="shared" si="5"/>
        <v/>
      </c>
      <c r="M56" s="28" t="s">
        <v>199</v>
      </c>
      <c r="N56" s="28">
        <v>60.7</v>
      </c>
      <c r="O56" s="28">
        <v>26.1</v>
      </c>
      <c r="P56" s="28">
        <v>43.4</v>
      </c>
      <c r="Q56" s="28">
        <v>33.700000000000003</v>
      </c>
      <c r="R56" s="28" t="s">
        <v>200</v>
      </c>
    </row>
    <row r="57" spans="2:18" ht="15.75" x14ac:dyDescent="0.15">
      <c r="B57" s="4" t="str">
        <f t="shared" si="3"/>
        <v/>
      </c>
      <c r="C57" s="7" t="str">
        <f>IF(入力!$B56="","",入力!$B56)</f>
        <v/>
      </c>
      <c r="D57" s="27" t="str">
        <f>IF(入力!$B56="","",IF(ISNUMBER(入力!$C56),入力!$C56,""))</f>
        <v/>
      </c>
      <c r="E57" s="27" t="str">
        <f>IF(ISNUMBER(入力!$C56),IFERROR(50+10*($C$6-入力!$C56)/$C$7,""),"")</f>
        <v/>
      </c>
      <c r="F57" s="27" t="str">
        <f>IF(入力!$B56="","",IF(ISNUMBER(入力!$D56),入力!$D56,""))</f>
        <v/>
      </c>
      <c r="G57" s="27" t="str">
        <f>IF(ISNUMBER(入力!$D56),IFERROR(50+10*($D$6-入力!$D56)/$D$7,""),"")</f>
        <v/>
      </c>
      <c r="H57" s="27" t="str">
        <f>IF(AND(ISNUMBER(入力!$C56),ISNUMBER(入力!$D56)),入力!$C56+入力!$D56,"")</f>
        <v/>
      </c>
      <c r="I57" s="27" t="str">
        <f t="shared" si="4"/>
        <v/>
      </c>
      <c r="J57" s="27" t="str">
        <f>IF(入力!$B56="","",IF(AND(ISNUMBER(E57),ISNUMBER(G57)),(E57+G57)/2,IF(ISNUMBER(E57),E57,IF(ISNUMBER(G57),G57,""))))</f>
        <v/>
      </c>
      <c r="K57" s="26" t="str">
        <f t="shared" si="5"/>
        <v/>
      </c>
      <c r="M57" s="28" t="s">
        <v>201</v>
      </c>
      <c r="N57" s="28">
        <v>46.5</v>
      </c>
      <c r="O57" s="28">
        <v>64.3</v>
      </c>
      <c r="P57" s="28">
        <v>55.4</v>
      </c>
      <c r="Q57" s="28">
        <v>60.3</v>
      </c>
      <c r="R57" s="28" t="s">
        <v>202</v>
      </c>
    </row>
    <row r="58" spans="2:18" ht="15.75" x14ac:dyDescent="0.15">
      <c r="B58" s="4" t="str">
        <f t="shared" si="3"/>
        <v/>
      </c>
      <c r="C58" s="7" t="str">
        <f>IF(入力!$B57="","",入力!$B57)</f>
        <v/>
      </c>
      <c r="D58" s="27" t="str">
        <f>IF(入力!$B57="","",IF(ISNUMBER(入力!$C57),入力!$C57,""))</f>
        <v/>
      </c>
      <c r="E58" s="27" t="str">
        <f>IF(ISNUMBER(入力!$C57),IFERROR(50+10*($C$6-入力!$C57)/$C$7,""),"")</f>
        <v/>
      </c>
      <c r="F58" s="27" t="str">
        <f>IF(入力!$B57="","",IF(ISNUMBER(入力!$D57),入力!$D57,""))</f>
        <v/>
      </c>
      <c r="G58" s="27" t="str">
        <f>IF(ISNUMBER(入力!$D57),IFERROR(50+10*($D$6-入力!$D57)/$D$7,""),"")</f>
        <v/>
      </c>
      <c r="H58" s="27" t="str">
        <f>IF(AND(ISNUMBER(入力!$C57),ISNUMBER(入力!$D57)),入力!$C57+入力!$D57,"")</f>
        <v/>
      </c>
      <c r="I58" s="27" t="str">
        <f t="shared" si="4"/>
        <v/>
      </c>
      <c r="J58" s="27" t="str">
        <f>IF(入力!$B57="","",IF(AND(ISNUMBER(E58),ISNUMBER(G58)),(E58+G58)/2,IF(ISNUMBER(E58),E58,IF(ISNUMBER(G58),G58,""))))</f>
        <v/>
      </c>
      <c r="K58" s="26" t="str">
        <f t="shared" si="5"/>
        <v/>
      </c>
      <c r="M58" s="28" t="s">
        <v>203</v>
      </c>
      <c r="N58" s="28"/>
      <c r="O58" s="28"/>
      <c r="P58" s="28"/>
      <c r="Q58" s="28"/>
      <c r="R58" s="28"/>
    </row>
    <row r="59" spans="2:18" ht="15.75" x14ac:dyDescent="0.15">
      <c r="B59" s="4" t="str">
        <f t="shared" si="3"/>
        <v/>
      </c>
      <c r="C59" s="7" t="str">
        <f>IF(入力!$B58="","",入力!$B58)</f>
        <v/>
      </c>
      <c r="D59" s="27" t="str">
        <f>IF(入力!$B58="","",IF(ISNUMBER(入力!$C58),入力!$C58,""))</f>
        <v/>
      </c>
      <c r="E59" s="27" t="str">
        <f>IF(ISNUMBER(入力!$C58),IFERROR(50+10*($C$6-入力!$C58)/$C$7,""),"")</f>
        <v/>
      </c>
      <c r="F59" s="27" t="str">
        <f>IF(入力!$B58="","",IF(ISNUMBER(入力!$D58),入力!$D58,""))</f>
        <v/>
      </c>
      <c r="G59" s="27" t="str">
        <f>IF(ISNUMBER(入力!$D58),IFERROR(50+10*($D$6-入力!$D58)/$D$7,""),"")</f>
        <v/>
      </c>
      <c r="H59" s="27" t="str">
        <f>IF(AND(ISNUMBER(入力!$C58),ISNUMBER(入力!$D58)),入力!$C58+入力!$D58,"")</f>
        <v/>
      </c>
      <c r="I59" s="27" t="str">
        <f t="shared" si="4"/>
        <v/>
      </c>
      <c r="J59" s="27" t="str">
        <f>IF(入力!$B58="","",IF(AND(ISNUMBER(E59),ISNUMBER(G59)),(E59+G59)/2,IF(ISNUMBER(E59),E59,IF(ISNUMBER(G59),G59,""))))</f>
        <v/>
      </c>
      <c r="K59" s="26" t="str">
        <f t="shared" si="5"/>
        <v/>
      </c>
      <c r="M59" s="28"/>
      <c r="N59" s="28"/>
      <c r="O59" s="28"/>
      <c r="P59" s="28"/>
      <c r="Q59" s="28"/>
      <c r="R59" s="28"/>
    </row>
    <row r="60" spans="2:18" x14ac:dyDescent="0.15">
      <c r="M60" s="28" t="s">
        <v>204</v>
      </c>
      <c r="N60" s="28"/>
      <c r="O60" s="28"/>
      <c r="P60" s="28"/>
      <c r="Q60" s="28"/>
      <c r="R60" s="28"/>
    </row>
    <row r="61" spans="2:18" x14ac:dyDescent="0.15">
      <c r="M61" s="28" t="s">
        <v>127</v>
      </c>
      <c r="N61" s="28" t="s">
        <v>160</v>
      </c>
      <c r="O61" s="28" t="s">
        <v>205</v>
      </c>
      <c r="P61" s="28" t="s">
        <v>206</v>
      </c>
      <c r="Q61" s="28"/>
      <c r="R61" s="28"/>
    </row>
    <row r="62" spans="2:18" x14ac:dyDescent="0.15">
      <c r="M62" s="28" t="s">
        <v>171</v>
      </c>
      <c r="N62" s="28" t="s">
        <v>207</v>
      </c>
      <c r="O62" s="28" t="s">
        <v>208</v>
      </c>
      <c r="P62" s="28" t="s">
        <v>209</v>
      </c>
      <c r="Q62" s="28"/>
      <c r="R62" s="28"/>
    </row>
    <row r="63" spans="2:18" x14ac:dyDescent="0.15">
      <c r="M63" s="28" t="s">
        <v>175</v>
      </c>
      <c r="N63" s="28" t="s">
        <v>172</v>
      </c>
      <c r="O63" s="28" t="s">
        <v>210</v>
      </c>
      <c r="P63" s="28" t="s">
        <v>211</v>
      </c>
      <c r="Q63" s="28"/>
      <c r="R63" s="28"/>
    </row>
    <row r="64" spans="2:18" x14ac:dyDescent="0.15">
      <c r="M64" s="28" t="s">
        <v>179</v>
      </c>
      <c r="N64" s="28" t="s">
        <v>176</v>
      </c>
      <c r="O64" s="28" t="s">
        <v>212</v>
      </c>
      <c r="P64" s="28" t="s">
        <v>213</v>
      </c>
      <c r="Q64" s="28"/>
      <c r="R64" s="28"/>
    </row>
    <row r="65" spans="13:18" x14ac:dyDescent="0.15">
      <c r="M65" s="28" t="s">
        <v>183</v>
      </c>
      <c r="N65" s="28" t="s">
        <v>180</v>
      </c>
      <c r="O65" s="28" t="s">
        <v>210</v>
      </c>
      <c r="P65" s="28" t="s">
        <v>214</v>
      </c>
      <c r="Q65" s="28"/>
      <c r="R65" s="28"/>
    </row>
    <row r="66" spans="13:18" x14ac:dyDescent="0.15">
      <c r="M66" s="28" t="s">
        <v>187</v>
      </c>
      <c r="N66" s="28" t="s">
        <v>215</v>
      </c>
      <c r="O66" s="28" t="s">
        <v>216</v>
      </c>
      <c r="P66" s="28" t="s">
        <v>217</v>
      </c>
      <c r="Q66" s="28"/>
      <c r="R66" s="28"/>
    </row>
    <row r="67" spans="13:18" x14ac:dyDescent="0.15">
      <c r="M67" s="28" t="s">
        <v>218</v>
      </c>
      <c r="N67" s="28"/>
      <c r="O67" s="28"/>
      <c r="P67" s="28"/>
      <c r="Q67" s="28"/>
      <c r="R67" s="28"/>
    </row>
    <row r="68" spans="13:18" x14ac:dyDescent="0.15">
      <c r="M68" s="28"/>
      <c r="N68" s="28"/>
      <c r="O68" s="28"/>
      <c r="P68" s="28"/>
      <c r="Q68" s="28"/>
      <c r="R68" s="28"/>
    </row>
    <row r="69" spans="13:18" x14ac:dyDescent="0.15">
      <c r="M69" s="28" t="s">
        <v>219</v>
      </c>
      <c r="N69" s="28"/>
      <c r="O69" s="28"/>
      <c r="P69" s="28"/>
      <c r="Q69" s="28"/>
      <c r="R69" s="28"/>
    </row>
    <row r="70" spans="13:18" x14ac:dyDescent="0.15">
      <c r="M70" s="28" t="s">
        <v>220</v>
      </c>
      <c r="N70" s="28"/>
      <c r="O70" s="28"/>
      <c r="P70" s="28"/>
      <c r="Q70" s="28"/>
      <c r="R70" s="28"/>
    </row>
    <row r="71" spans="13:18" x14ac:dyDescent="0.15">
      <c r="M71" s="28"/>
      <c r="N71" s="28"/>
      <c r="O71" s="28"/>
      <c r="P71" s="28"/>
      <c r="Q71" s="28"/>
      <c r="R71" s="28"/>
    </row>
    <row r="72" spans="13:18" x14ac:dyDescent="0.15">
      <c r="M72" s="28" t="s">
        <v>221</v>
      </c>
      <c r="N72" s="28"/>
      <c r="O72" s="28"/>
      <c r="P72" s="28"/>
      <c r="Q72" s="28"/>
      <c r="R72" s="28"/>
    </row>
    <row r="73" spans="13:18" x14ac:dyDescent="0.15">
      <c r="M73" s="28" t="s">
        <v>222</v>
      </c>
      <c r="N73" s="28"/>
      <c r="O73" s="28"/>
      <c r="P73" s="28"/>
      <c r="Q73" s="28"/>
      <c r="R73" s="28"/>
    </row>
    <row r="74" spans="13:18" x14ac:dyDescent="0.15">
      <c r="M74" s="28" t="s">
        <v>223</v>
      </c>
      <c r="N74" s="28"/>
      <c r="O74" s="28"/>
      <c r="P74" s="28"/>
      <c r="Q74" s="28"/>
      <c r="R74" s="28"/>
    </row>
    <row r="75" spans="13:18" x14ac:dyDescent="0.15">
      <c r="M75" s="28"/>
      <c r="N75" s="28"/>
      <c r="O75" s="28"/>
      <c r="P75" s="28"/>
      <c r="Q75" s="28"/>
      <c r="R75" s="28"/>
    </row>
    <row r="76" spans="13:18" x14ac:dyDescent="0.15">
      <c r="M76" s="28" t="s">
        <v>224</v>
      </c>
      <c r="N76" s="28"/>
      <c r="O76" s="28"/>
      <c r="P76" s="28"/>
      <c r="Q76" s="28"/>
      <c r="R76" s="28"/>
    </row>
    <row r="77" spans="13:18" x14ac:dyDescent="0.15">
      <c r="M77" s="28" t="s">
        <v>225</v>
      </c>
      <c r="N77" s="28"/>
      <c r="O77" s="28"/>
      <c r="P77" s="28"/>
      <c r="Q77" s="28"/>
      <c r="R77" s="28"/>
    </row>
  </sheetData>
  <mergeCells count="2">
    <mergeCell ref="B1:K1"/>
    <mergeCell ref="B2:K2"/>
  </mergeCells>
  <phoneticPr fontId="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P74"/>
  <sheetViews>
    <sheetView workbookViewId="0">
      <selection activeCell="B1" sqref="B1"/>
    </sheetView>
  </sheetViews>
  <sheetFormatPr defaultRowHeight="18"/>
  <cols>
    <col min="1" max="1" width="2.5" customWidth="1"/>
    <col min="2" max="2" width="18" customWidth="1"/>
    <col min="3" max="16" width="11" customWidth="1"/>
  </cols>
  <sheetData>
    <row r="1" ht="24" customHeight="1">
      <c r="B1" s="31" t="inlineStr">
        <is>
          <t xml:space="preserve">⑥ 件数の集計と 目標到達（1個あたりの短縮）分析</t>
        </is>
      </c>
    </row>
    <row r="2" ht="16" customHeight="1">
      <c r="B2" s="35" t="inlineStr">
        <is>
          <t xml:space="preserve">目標＝1.6分/個。必要短縮＝目標到達に1個あたり縮める分。短縮効果(分)＝必要短縮×件数。追加可能件数＝短縮効果(分)÷目標1.6分/個（浮いた時間で追加処理できる件数）。</t>
        </is>
      </c>
    </row>
    <row r="4">
      <c r="B4" s="24" t="inlineStr">
        <is>
          <t xml:space="preserve">① 件数の統計</t>
        </is>
      </c>
      <c r="C4" s="25" t="inlineStr">
        <is>
          <t xml:space="preserve">ピッキング件数</t>
        </is>
      </c>
      <c r="D4" s="25" t="inlineStr">
        <is>
          <t xml:space="preserve">梱包件数</t>
        </is>
      </c>
    </row>
    <row r="5">
      <c r="B5" s="24" t="inlineStr">
        <is>
          <t xml:space="preserve">入力人数（N）</t>
        </is>
      </c>
      <c r="C5" s="4">
        <f>COUNT(入力!$O$9:$O$58)</f>
        <v>24</v>
      </c>
      <c r="D5" s="4">
        <f>COUNT(入力!$P$9:$P$58)</f>
        <v>16</v>
      </c>
    </row>
    <row r="6">
      <c r="B6" s="24" t="inlineStr">
        <is>
          <t xml:space="preserve">合計件数</t>
        </is>
      </c>
      <c r="C6" s="4">
        <f>SUM(入力!$O$9:$O$58)</f>
        <v>19739</v>
      </c>
      <c r="D6" s="4">
        <f>SUM(入力!$P$9:$P$58)</f>
        <v>20116</v>
      </c>
    </row>
    <row r="7">
      <c r="B7" s="24" t="inlineStr">
        <is>
          <t xml:space="preserve">平均値（件）</t>
        </is>
      </c>
      <c r="C7" s="5">
        <f>AVERAGE(入力!$O$9:$O$58)</f>
        <v>822.458333</v>
      </c>
      <c r="D7" s="5">
        <f>AVERAGE(入力!$P$9:$P$58)</f>
        <v>1257.25</v>
      </c>
    </row>
    <row r="8">
      <c r="B8" s="24" t="inlineStr">
        <is>
          <t xml:space="preserve">中央値（件）</t>
        </is>
      </c>
      <c r="C8" s="5">
        <f>MEDIAN(入力!$O$9:$O$58)</f>
        <v>842.5</v>
      </c>
      <c r="D8" s="5">
        <f>MEDIAN(入力!$P$9:$P$58)</f>
        <v>1122</v>
      </c>
    </row>
    <row r="10">
      <c r="B10" s="24" t="inlineStr">
        <is>
          <t xml:space="preserve">② 全体サマリー（目標到達）</t>
        </is>
      </c>
    </row>
    <row r="11">
      <c r="B11" s="25" t="inlineStr">
        <is>
          <t xml:space="preserve">項目</t>
        </is>
      </c>
      <c r="C11" s="25" t="inlineStr">
        <is>
          <t xml:space="preserve">ピッキング</t>
        </is>
      </c>
      <c r="D11" s="25" t="inlineStr">
        <is>
          <t xml:space="preserve">梱包</t>
        </is>
      </c>
      <c r="E11" s="25" t="inlineStr">
        <is>
          <t xml:space="preserve">合計</t>
        </is>
      </c>
    </row>
    <row r="12">
      <c r="B12" s="24" t="inlineStr">
        <is>
          <t xml:space="preserve">総件数</t>
        </is>
      </c>
      <c r="C12" s="4">
        <f>SUM(E22:E71)</f>
        <v>19739</v>
      </c>
      <c r="D12" s="4">
        <f>SUM(K22:K71)</f>
        <v>20116</v>
      </c>
      <c r="E12" s="4">
        <f>C12+D12</f>
        <v>39855</v>
      </c>
    </row>
    <row r="13">
      <c r="B13" s="24" t="inlineStr">
        <is>
          <t xml:space="preserve">加重平均速度（分/個）</t>
        </is>
      </c>
      <c r="C13" s="5">
        <f>IF(SUM(E22:E71)=0,"",SUM(F22:F71)/SUM(E22:E71))</f>
        <v>1.501798</v>
      </c>
      <c r="D13" s="5">
        <f>IF(SUM(K22:K71)=0,"",SUM(L22:L71)/SUM(K22:K71))</f>
        <v>1.472862</v>
      </c>
      <c r="E13" s="26" t="inlineStr">
        <is>
          <t xml:space="preserve">—</t>
        </is>
      </c>
    </row>
    <row r="14">
      <c r="B14" s="24" t="inlineStr">
        <is>
          <t xml:space="preserve">目標との差（分/個）</t>
        </is>
      </c>
      <c r="C14" s="5">
        <f>IF(C13="","",MAX(0,C13-入力!$B$5))</f>
        <v>0</v>
      </c>
      <c r="D14" s="5">
        <f>IF(D13="","",MAX(0,D13-入力!$C$5))</f>
        <v>0</v>
      </c>
      <c r="E14" s="26" t="inlineStr">
        <is>
          <t xml:space="preserve">—</t>
        </is>
      </c>
    </row>
    <row r="15">
      <c r="B15" s="24" t="inlineStr">
        <is>
          <t xml:space="preserve">総短縮効果（分）</t>
        </is>
      </c>
      <c r="C15" s="5">
        <f>SUM(G22:G71)</f>
        <v>1577</v>
      </c>
      <c r="D15" s="5">
        <f>SUM(M22:M71)</f>
        <v>2961.2</v>
      </c>
      <c r="E15" s="5">
        <f>C15+D15</f>
        <v>4538.2</v>
      </c>
    </row>
    <row r="16">
      <c r="B16" s="24" t="inlineStr">
        <is>
          <t xml:space="preserve">総追加可能件数</t>
        </is>
      </c>
      <c r="C16" s="4">
        <f>SUM(H22:H71)</f>
        <v>985</v>
      </c>
      <c r="D16" s="4">
        <f>SUM(N22:N71)</f>
        <v>1850</v>
      </c>
      <c r="E16" s="4">
        <f>C16+D16</f>
        <v>2835</v>
      </c>
    </row>
    <row r="17" ht="22" customHeight="1">
      <c r="B17" s="25" t="str">
        <f>="◎ 全員が目標(1.6分/個)に到達すると、同じ稼働時間で 合計 "&amp;TEXT(E16,"#,##0")&amp;" アイテム多く処理可能（削減できる総作業時間 "&amp;TEXT(E15,"#,##0")&amp;" 分 ≒ "&amp;TEXT(E15/60,"0.0")&amp;" 時間）"</f>
        <v>◎ 全員が目標(1.6分/個)に到達すると、同じ稼働時間で 合計 2,835 アイテム多く処理可能（削減できる総作業時間 4,538 分 ≒ 75.6 時間）</v>
      </c>
    </row>
    <row r="19" ht="16" customHeight="1">
      <c r="B19" s="35" t="inlineStr">
        <is>
          <t xml:space="preserve">③ 担当者別 明細：目標到達に必要な1個あたり短縮・短縮効果(分)・追加可能件数</t>
        </is>
      </c>
    </row>
    <row r="20">
      <c r="B20" s="25" t="inlineStr">
        <is>
          <t xml:space="preserve">担当者</t>
        </is>
      </c>
      <c r="C20" s="25" t="inlineStr">
        <is>
          <t xml:space="preserve">ピッキング（目標 1.6 分/個）</t>
        </is>
      </c>
      <c r="D20" s="25"/>
      <c r="E20" s="25"/>
      <c r="F20" s="25"/>
      <c r="G20" s="25"/>
      <c r="H20" s="25"/>
      <c r="I20" s="25" t="inlineStr">
        <is>
          <t xml:space="preserve">梱包（目標 1.6 分/個）</t>
        </is>
      </c>
      <c r="J20" s="25"/>
      <c r="K20" s="25"/>
      <c r="L20" s="25"/>
      <c r="M20" s="25"/>
      <c r="N20" s="25"/>
      <c r="O20" s="25" t="inlineStr">
        <is>
          <t xml:space="preserve">合計短縮効果(分)</t>
        </is>
      </c>
      <c r="P20" s="25" t="inlineStr">
        <is>
          <t xml:space="preserve">合計追加可能件数</t>
        </is>
      </c>
    </row>
    <row r="21" ht="26" customHeight="1">
      <c r="B21" s="25"/>
      <c r="C21" s="25" t="inlineStr">
        <is>
          <t xml:space="preserve">現状(分/個)</t>
        </is>
      </c>
      <c r="D21" s="25" t="inlineStr">
        <is>
          <t xml:space="preserve">必要短縮(分/個)</t>
        </is>
      </c>
      <c r="E21" s="25" t="inlineStr">
        <is>
          <t xml:space="preserve">件数</t>
        </is>
      </c>
      <c r="F21" s="25" t="inlineStr">
        <is>
          <t xml:space="preserve">現状総時間(分)</t>
        </is>
      </c>
      <c r="G21" s="25" t="inlineStr">
        <is>
          <t xml:space="preserve">短縮効果(分)</t>
        </is>
      </c>
      <c r="H21" s="25" t="inlineStr">
        <is>
          <t xml:space="preserve">追加可能件数</t>
        </is>
      </c>
      <c r="I21" s="25" t="inlineStr">
        <is>
          <t xml:space="preserve">現状(分/個)</t>
        </is>
      </c>
      <c r="J21" s="25" t="inlineStr">
        <is>
          <t xml:space="preserve">必要短縮(分/個)</t>
        </is>
      </c>
      <c r="K21" s="25" t="inlineStr">
        <is>
          <t xml:space="preserve">件数</t>
        </is>
      </c>
      <c r="L21" s="25" t="inlineStr">
        <is>
          <t xml:space="preserve">現状総時間(分)</t>
        </is>
      </c>
      <c r="M21" s="25" t="inlineStr">
        <is>
          <t xml:space="preserve">短縮効果(分)</t>
        </is>
      </c>
      <c r="N21" s="25" t="inlineStr">
        <is>
          <t xml:space="preserve">追加可能件数</t>
        </is>
      </c>
      <c r="O21" s="25"/>
      <c r="P21" s="25"/>
    </row>
    <row r="22">
      <c r="B22" s="7" t="str">
        <f>IF(入力!$B9="","",入力!$B9)</f>
        <v>佐藤　辰成</v>
      </c>
      <c r="C22" s="5">
        <f>IF(入力!$B9="","",IF(ISNUMBER(入力!$C9),入力!$C9,""))</f>
        <v>1</v>
      </c>
      <c r="D22" s="5">
        <f>IF(ISNUMBER(入力!$C9),MAX(0,入力!$C9-入力!$B$5),"")</f>
        <v>0</v>
      </c>
      <c r="E22" s="4">
        <f>IF(入力!$B9="","",IF(ISNUMBER(入力!$O9),入力!$O9,""))</f>
        <v>732</v>
      </c>
      <c r="F22" s="5">
        <f>IF(AND(ISNUMBER(入力!$C9),ISNUMBER(入力!$O9)),入力!$C9*入力!$O9,"")</f>
        <v>732</v>
      </c>
      <c r="G22" s="5">
        <f>IF(AND(ISNUMBER(入力!$C9),ISNUMBER(入力!$O9)),MAX(0,入力!$C9-入力!$B$5)*入力!$O9,"")</f>
        <v>0</v>
      </c>
      <c r="H22" s="4">
        <f>IF(ISNUMBER(G22),ROUND(G22/入力!$B$5,0),"")</f>
        <v>0</v>
      </c>
      <c r="I22" s="5">
        <f>IF(入力!$B9="","",IF(ISNUMBER(入力!$D9),入力!$D9,""))</f>
        <v>0.5</v>
      </c>
      <c r="J22" s="5">
        <f>IF(ISNUMBER(入力!$D9),MAX(0,入力!$D9-入力!$C$5),"")</f>
        <v>0</v>
      </c>
      <c r="K22" s="4">
        <f>IF(入力!$B9="","",IF(ISNUMBER(入力!$P9),入力!$P9,""))</f>
        <v>505</v>
      </c>
      <c r="L22" s="5">
        <f>IF(AND(ISNUMBER(入力!$D9),ISNUMBER(入力!$P9)),入力!$D9*入力!$P9,"")</f>
        <v>252.5</v>
      </c>
      <c r="M22" s="5">
        <f>IF(AND(ISNUMBER(入力!$D9),ISNUMBER(入力!$P9)),MAX(0,入力!$D9-入力!$C$5)*入力!$P9,"")</f>
        <v>0</v>
      </c>
      <c r="N22" s="4">
        <f>IF(ISNUMBER(M22),ROUND(M22/入力!$C$5,0),"")</f>
        <v>0</v>
      </c>
      <c r="O22" s="5">
        <f>IF(入力!$B9="","",IF(AND(NOT(ISNUMBER(G22)),NOT(ISNUMBER(M22))),"",IF(ISNUMBER(G22),G22,0)+IF(ISNUMBER(M22),M22,0)))</f>
        <v>0</v>
      </c>
      <c r="P22" s="4">
        <f>IF(入力!$B9="","",IF(AND(NOT(ISNUMBER(H22)),NOT(ISNUMBER(N22))),"",IF(ISNUMBER(H22),H22,0)+IF(ISNUMBER(N22),N22,0)))</f>
        <v>0</v>
      </c>
    </row>
    <row r="23">
      <c r="B23" s="7" t="str">
        <f>IF(入力!$B10="","",入力!$B10)</f>
        <v>河野　忠</v>
      </c>
      <c r="C23" s="5">
        <f>IF(入力!$B10="","",IF(ISNUMBER(入力!$C10),入力!$C10,""))</f>
        <v>1.2</v>
      </c>
      <c r="D23" s="5">
        <f>IF(ISNUMBER(入力!$C10),MAX(0,入力!$C10-入力!$B$5),"")</f>
        <v>0</v>
      </c>
      <c r="E23" s="4">
        <f>IF(入力!$B10="","",IF(ISNUMBER(入力!$O10),入力!$O10,""))</f>
        <v>365</v>
      </c>
      <c r="F23" s="5">
        <f>IF(AND(ISNUMBER(入力!$C10),ISNUMBER(入力!$O10)),入力!$C10*入力!$O10,"")</f>
        <v>438</v>
      </c>
      <c r="G23" s="5">
        <f>IF(AND(ISNUMBER(入力!$C10),ISNUMBER(入力!$O10)),MAX(0,入力!$C10-入力!$B$5)*入力!$O10,"")</f>
        <v>0</v>
      </c>
      <c r="H23" s="4">
        <f>IF(ISNUMBER(G23),ROUND(G23/入力!$B$5,0),"")</f>
        <v>0</v>
      </c>
      <c r="I23" s="5">
        <f>IF(入力!$B10="","",IF(ISNUMBER(入力!$D10),入力!$D10,""))</f>
        <v>1</v>
      </c>
      <c r="J23" s="5">
        <f>IF(ISNUMBER(入力!$D10),MAX(0,入力!$D10-入力!$C$5),"")</f>
        <v>0</v>
      </c>
      <c r="K23" s="4">
        <f>IF(入力!$B10="","",IF(ISNUMBER(入力!$P10),入力!$P10,""))</f>
        <v>656</v>
      </c>
      <c r="L23" s="5">
        <f>IF(AND(ISNUMBER(入力!$D10),ISNUMBER(入力!$P10)),入力!$D10*入力!$P10,"")</f>
        <v>656</v>
      </c>
      <c r="M23" s="5">
        <f>IF(AND(ISNUMBER(入力!$D10),ISNUMBER(入力!$P10)),MAX(0,入力!$D10-入力!$C$5)*入力!$P10,"")</f>
        <v>0</v>
      </c>
      <c r="N23" s="4">
        <f>IF(ISNUMBER(M23),ROUND(M23/入力!$C$5,0),"")</f>
        <v>0</v>
      </c>
      <c r="O23" s="5">
        <f>IF(入力!$B10="","",IF(AND(NOT(ISNUMBER(G23)),NOT(ISNUMBER(M23))),"",IF(ISNUMBER(G23),G23,0)+IF(ISNUMBER(M23),M23,0)))</f>
        <v>0</v>
      </c>
      <c r="P23" s="4">
        <f>IF(入力!$B10="","",IF(AND(NOT(ISNUMBER(H23)),NOT(ISNUMBER(N23))),"",IF(ISNUMBER(H23),H23,0)+IF(ISNUMBER(N23),N23,0)))</f>
        <v>0</v>
      </c>
    </row>
    <row r="24">
      <c r="B24" s="7" t="str">
        <f>IF(入力!$B11="","",入力!$B11)</f>
        <v>中納　沙織</v>
      </c>
      <c r="C24" s="5">
        <f>IF(入力!$B11="","",IF(ISNUMBER(入力!$C11),入力!$C11,""))</f>
        <v>1.3</v>
      </c>
      <c r="D24" s="5">
        <f>IF(ISNUMBER(入力!$C11),MAX(0,入力!$C11-入力!$B$5),"")</f>
        <v>0</v>
      </c>
      <c r="E24" s="4">
        <f>IF(入力!$B11="","",IF(ISNUMBER(入力!$O11),入力!$O11,""))</f>
        <v>1143</v>
      </c>
      <c r="F24" s="5">
        <f>IF(AND(ISNUMBER(入力!$C11),ISNUMBER(入力!$O11)),入力!$C11*入力!$O11,"")</f>
        <v>1485.9</v>
      </c>
      <c r="G24" s="5">
        <f>IF(AND(ISNUMBER(入力!$C11),ISNUMBER(入力!$O11)),MAX(0,入力!$C11-入力!$B$5)*入力!$O11,"")</f>
        <v>0</v>
      </c>
      <c r="H24" s="4">
        <f>IF(ISNUMBER(G24),ROUND(G24/入力!$B$5,0),"")</f>
        <v>0</v>
      </c>
      <c r="I24" s="5">
        <f>IF(入力!$B11="","",IF(ISNUMBER(入力!$D11),入力!$D11,""))</f>
        <v>2.1</v>
      </c>
      <c r="J24" s="5">
        <f>IF(ISNUMBER(入力!$D11),MAX(0,入力!$D11-入力!$C$5),"")</f>
        <v>0.5</v>
      </c>
      <c r="K24" s="4">
        <f>IF(入力!$B11="","",IF(ISNUMBER(入力!$P11),入力!$P11,""))</f>
        <v>224</v>
      </c>
      <c r="L24" s="5">
        <f>IF(AND(ISNUMBER(入力!$D11),ISNUMBER(入力!$P11)),入力!$D11*入力!$P11,"")</f>
        <v>470.4</v>
      </c>
      <c r="M24" s="5">
        <f>IF(AND(ISNUMBER(入力!$D11),ISNUMBER(入力!$P11)),MAX(0,入力!$D11-入力!$C$5)*入力!$P11,"")</f>
        <v>112</v>
      </c>
      <c r="N24" s="4">
        <f>IF(ISNUMBER(M24),ROUND(M24/入力!$C$5,0),"")</f>
        <v>70</v>
      </c>
      <c r="O24" s="5">
        <f>IF(入力!$B11="","",IF(AND(NOT(ISNUMBER(G24)),NOT(ISNUMBER(M24))),"",IF(ISNUMBER(G24),G24,0)+IF(ISNUMBER(M24),M24,0)))</f>
        <v>112</v>
      </c>
      <c r="P24" s="4">
        <f>IF(入力!$B11="","",IF(AND(NOT(ISNUMBER(H24)),NOT(ISNUMBER(N24))),"",IF(ISNUMBER(H24),H24,0)+IF(ISNUMBER(N24),N24,0)))</f>
        <v>70</v>
      </c>
    </row>
    <row r="25">
      <c r="B25" s="7" t="str">
        <f>IF(入力!$B12="","",入力!$B12)</f>
        <v>澤田　凌</v>
      </c>
      <c r="C25" s="5">
        <f>IF(入力!$B12="","",IF(ISNUMBER(入力!$C12),入力!$C12,""))</f>
        <v>1.6</v>
      </c>
      <c r="D25" s="5">
        <f>IF(ISNUMBER(入力!$C12),MAX(0,入力!$C12-入力!$B$5),"")</f>
        <v>0</v>
      </c>
      <c r="E25" s="4">
        <f>IF(入力!$B12="","",IF(ISNUMBER(入力!$O12),入力!$O12,""))</f>
        <v>847</v>
      </c>
      <c r="F25" s="5">
        <f>IF(AND(ISNUMBER(入力!$C12),ISNUMBER(入力!$O12)),入力!$C12*入力!$O12,"")</f>
        <v>1355.2</v>
      </c>
      <c r="G25" s="5">
        <f>IF(AND(ISNUMBER(入力!$C12),ISNUMBER(入力!$O12)),MAX(0,入力!$C12-入力!$B$5)*入力!$O12,"")</f>
        <v>0</v>
      </c>
      <c r="H25" s="4">
        <f>IF(ISNUMBER(G25),ROUND(G25/入力!$B$5,0),"")</f>
        <v>0</v>
      </c>
      <c r="I25" s="5">
        <f>IF(入力!$B12="","",IF(ISNUMBER(入力!$D12),入力!$D12,""))</f>
        <v>1.6</v>
      </c>
      <c r="J25" s="5">
        <f>IF(ISNUMBER(入力!$D12),MAX(0,入力!$D12-入力!$C$5),"")</f>
        <v>0</v>
      </c>
      <c r="K25" s="4">
        <f>IF(入力!$B12="","",IF(ISNUMBER(入力!$P12),入力!$P12,""))</f>
        <v>939</v>
      </c>
      <c r="L25" s="5">
        <f>IF(AND(ISNUMBER(入力!$D12),ISNUMBER(入力!$P12)),入力!$D12*入力!$P12,"")</f>
        <v>1502.4</v>
      </c>
      <c r="M25" s="5">
        <f>IF(AND(ISNUMBER(入力!$D12),ISNUMBER(入力!$P12)),MAX(0,入力!$D12-入力!$C$5)*入力!$P12,"")</f>
        <v>0</v>
      </c>
      <c r="N25" s="4">
        <f>IF(ISNUMBER(M25),ROUND(M25/入力!$C$5,0),"")</f>
        <v>0</v>
      </c>
      <c r="O25" s="5">
        <f>IF(入力!$B12="","",IF(AND(NOT(ISNUMBER(G25)),NOT(ISNUMBER(M25))),"",IF(ISNUMBER(G25),G25,0)+IF(ISNUMBER(M25),M25,0)))</f>
        <v>0</v>
      </c>
      <c r="P25" s="4">
        <f>IF(入力!$B12="","",IF(AND(NOT(ISNUMBER(H25)),NOT(ISNUMBER(N25))),"",IF(ISNUMBER(H25),H25,0)+IF(ISNUMBER(N25),N25,0)))</f>
        <v>0</v>
      </c>
    </row>
    <row r="26">
      <c r="B26" s="7" t="str">
        <f>IF(入力!$B13="","",入力!$B13)</f>
        <v>佐々木　千恵</v>
      </c>
      <c r="C26" s="5">
        <f>IF(入力!$B13="","",IF(ISNUMBER(入力!$C13),入力!$C13,""))</f>
        <v>1.7</v>
      </c>
      <c r="D26" s="5">
        <f>IF(ISNUMBER(入力!$C13),MAX(0,入力!$C13-入力!$B$5),"")</f>
        <v>0.1</v>
      </c>
      <c r="E26" s="4">
        <f>IF(入力!$B13="","",IF(ISNUMBER(入力!$O13),入力!$O13,""))</f>
        <v>681</v>
      </c>
      <c r="F26" s="5">
        <f>IF(AND(ISNUMBER(入力!$C13),ISNUMBER(入力!$O13)),入力!$C13*入力!$O13,"")</f>
        <v>1157.7</v>
      </c>
      <c r="G26" s="5">
        <f>IF(AND(ISNUMBER(入力!$C13),ISNUMBER(入力!$O13)),MAX(0,入力!$C13-入力!$B$5)*入力!$O13,"")</f>
        <v>68.1</v>
      </c>
      <c r="H26" s="4">
        <f>IF(ISNUMBER(G26),ROUND(G26/入力!$B$5,0),"")</f>
        <v>43</v>
      </c>
      <c r="I26" s="5">
        <f>IF(入力!$B13="","",IF(ISNUMBER(入力!$D13),入力!$D13,""))</f>
        <v>0.6</v>
      </c>
      <c r="J26" s="5">
        <f>IF(ISNUMBER(入力!$D13),MAX(0,入力!$D13-入力!$C$5),"")</f>
        <v>0</v>
      </c>
      <c r="K26" s="4">
        <f>IF(入力!$B13="","",IF(ISNUMBER(入力!$P13),入力!$P13,""))</f>
        <v>1223</v>
      </c>
      <c r="L26" s="5">
        <f>IF(AND(ISNUMBER(入力!$D13),ISNUMBER(入力!$P13)),入力!$D13*入力!$P13,"")</f>
        <v>733.8</v>
      </c>
      <c r="M26" s="5">
        <f>IF(AND(ISNUMBER(入力!$D13),ISNUMBER(入力!$P13)),MAX(0,入力!$D13-入力!$C$5)*入力!$P13,"")</f>
        <v>0</v>
      </c>
      <c r="N26" s="4">
        <f>IF(ISNUMBER(M26),ROUND(M26/入力!$C$5,0),"")</f>
        <v>0</v>
      </c>
      <c r="O26" s="5">
        <f>IF(入力!$B13="","",IF(AND(NOT(ISNUMBER(G26)),NOT(ISNUMBER(M26))),"",IF(ISNUMBER(G26),G26,0)+IF(ISNUMBER(M26),M26,0)))</f>
        <v>68.1</v>
      </c>
      <c r="P26" s="4">
        <f>IF(入力!$B13="","",IF(AND(NOT(ISNUMBER(H26)),NOT(ISNUMBER(N26))),"",IF(ISNUMBER(H26),H26,0)+IF(ISNUMBER(N26),N26,0)))</f>
        <v>43</v>
      </c>
    </row>
    <row r="27">
      <c r="B27" s="7" t="str">
        <f>IF(入力!$B14="","",入力!$B14)</f>
        <v>片岡　達也</v>
      </c>
      <c r="C27" s="5">
        <f>IF(入力!$B14="","",IF(ISNUMBER(入力!$C14),入力!$C14,""))</f>
        <v>3.1</v>
      </c>
      <c r="D27" s="5">
        <f>IF(ISNUMBER(入力!$C14),MAX(0,入力!$C14-入力!$B$5),"")</f>
        <v>1.5</v>
      </c>
      <c r="E27" s="4">
        <f>IF(入力!$B14="","",IF(ISNUMBER(入力!$O14),入力!$O14,""))</f>
        <v>66</v>
      </c>
      <c r="F27" s="5">
        <f>IF(AND(ISNUMBER(入力!$C14),ISNUMBER(入力!$O14)),入力!$C14*入力!$O14,"")</f>
        <v>204.6</v>
      </c>
      <c r="G27" s="5">
        <f>IF(AND(ISNUMBER(入力!$C14),ISNUMBER(入力!$O14)),MAX(0,入力!$C14-入力!$B$5)*入力!$O14,"")</f>
        <v>99</v>
      </c>
      <c r="H27" s="4">
        <f>IF(ISNUMBER(G27),ROUND(G27/入力!$B$5,0),"")</f>
        <v>62</v>
      </c>
      <c r="I27" s="5">
        <f>IF(入力!$B14="","",IF(ISNUMBER(入力!$D14),入力!$D14,""))</f>
        <v>0.6</v>
      </c>
      <c r="J27" s="5">
        <f>IF(ISNUMBER(入力!$D14),MAX(0,入力!$D14-入力!$C$5),"")</f>
        <v>0</v>
      </c>
      <c r="K27" s="4">
        <f>IF(入力!$B14="","",IF(ISNUMBER(入力!$P14),入力!$P14,""))</f>
        <v>16</v>
      </c>
      <c r="L27" s="5">
        <f>IF(AND(ISNUMBER(入力!$D14),ISNUMBER(入力!$P14)),入力!$D14*入力!$P14,"")</f>
        <v>9.6</v>
      </c>
      <c r="M27" s="5">
        <f>IF(AND(ISNUMBER(入力!$D14),ISNUMBER(入力!$P14)),MAX(0,入力!$D14-入力!$C$5)*入力!$P14,"")</f>
        <v>0</v>
      </c>
      <c r="N27" s="4">
        <f>IF(ISNUMBER(M27),ROUND(M27/入力!$C$5,0),"")</f>
        <v>0</v>
      </c>
      <c r="O27" s="5">
        <f>IF(入力!$B14="","",IF(AND(NOT(ISNUMBER(G27)),NOT(ISNUMBER(M27))),"",IF(ISNUMBER(G27),G27,0)+IF(ISNUMBER(M27),M27,0)))</f>
        <v>99</v>
      </c>
      <c r="P27" s="4">
        <f>IF(入力!$B14="","",IF(AND(NOT(ISNUMBER(H27)),NOT(ISNUMBER(N27))),"",IF(ISNUMBER(H27),H27,0)+IF(ISNUMBER(N27),N27,0)))</f>
        <v>62</v>
      </c>
    </row>
    <row r="28">
      <c r="B28" s="7" t="str">
        <f>IF(入力!$B15="","",入力!$B15)</f>
        <v>後藤　克行</v>
      </c>
      <c r="C28" s="5">
        <f>IF(入力!$B15="","",IF(ISNUMBER(入力!$C15),入力!$C15,""))</f>
        <v>1.5</v>
      </c>
      <c r="D28" s="5">
        <f>IF(ISNUMBER(入力!$C15),MAX(0,入力!$C15-入力!$B$5),"")</f>
        <v>0</v>
      </c>
      <c r="E28" s="4">
        <f>IF(入力!$B15="","",IF(ISNUMBER(入力!$O15),入力!$O15,""))</f>
        <v>2007</v>
      </c>
      <c r="F28" s="5">
        <f>IF(AND(ISNUMBER(入力!$C15),ISNUMBER(入力!$O15)),入力!$C15*入力!$O15,"")</f>
        <v>3010.5</v>
      </c>
      <c r="G28" s="5">
        <f>IF(AND(ISNUMBER(入力!$C15),ISNUMBER(入力!$O15)),MAX(0,入力!$C15-入力!$B$5)*入力!$O15,"")</f>
        <v>0</v>
      </c>
      <c r="H28" s="4">
        <f>IF(ISNUMBER(G28),ROUND(G28/入力!$B$5,0),"")</f>
        <v>0</v>
      </c>
      <c r="I28" s="5">
        <f>IF(入力!$B15="","",IF(ISNUMBER(入力!$D15),入力!$D15,""))</f>
        <v>1.9</v>
      </c>
      <c r="J28" s="5">
        <f>IF(ISNUMBER(入力!$D15),MAX(0,入力!$D15-入力!$C$5),"")</f>
        <v>0.3</v>
      </c>
      <c r="K28" s="4">
        <f>IF(入力!$B15="","",IF(ISNUMBER(入力!$P15),入力!$P15,""))</f>
        <v>1421</v>
      </c>
      <c r="L28" s="5">
        <f>IF(AND(ISNUMBER(入力!$D15),ISNUMBER(入力!$P15)),入力!$D15*入力!$P15,"")</f>
        <v>2699.9</v>
      </c>
      <c r="M28" s="5">
        <f>IF(AND(ISNUMBER(入力!$D15),ISNUMBER(入力!$P15)),MAX(0,入力!$D15-入力!$C$5)*入力!$P15,"")</f>
        <v>426.3</v>
      </c>
      <c r="N28" s="4">
        <f>IF(ISNUMBER(M28),ROUND(M28/入力!$C$5,0),"")</f>
        <v>266</v>
      </c>
      <c r="O28" s="5">
        <f>IF(入力!$B15="","",IF(AND(NOT(ISNUMBER(G28)),NOT(ISNUMBER(M28))),"",IF(ISNUMBER(G28),G28,0)+IF(ISNUMBER(M28),M28,0)))</f>
        <v>426.3</v>
      </c>
      <c r="P28" s="4">
        <f>IF(入力!$B15="","",IF(AND(NOT(ISNUMBER(H28)),NOT(ISNUMBER(N28))),"",IF(ISNUMBER(H28),H28,0)+IF(ISNUMBER(N28),N28,0)))</f>
        <v>266</v>
      </c>
    </row>
    <row r="29">
      <c r="B29" s="7" t="str">
        <f>IF(入力!$B16="","",入力!$B16)</f>
        <v>山本　祥吉</v>
      </c>
      <c r="C29" s="5">
        <f>IF(入力!$B16="","",IF(ISNUMBER(入力!$C16),入力!$C16,""))</f>
        <v>1.4</v>
      </c>
      <c r="D29" s="5">
        <f>IF(ISNUMBER(入力!$C16),MAX(0,入力!$C16-入力!$B$5),"")</f>
        <v>0</v>
      </c>
      <c r="E29" s="4">
        <f>IF(入力!$B16="","",IF(ISNUMBER(入力!$O16),入力!$O16,""))</f>
        <v>2129</v>
      </c>
      <c r="F29" s="5">
        <f>IF(AND(ISNUMBER(入力!$C16),ISNUMBER(入力!$O16)),入力!$C16*入力!$O16,"")</f>
        <v>2980.6</v>
      </c>
      <c r="G29" s="5">
        <f>IF(AND(ISNUMBER(入力!$C16),ISNUMBER(入力!$O16)),MAX(0,入力!$C16-入力!$B$5)*入力!$O16,"")</f>
        <v>0</v>
      </c>
      <c r="H29" s="4">
        <f>IF(ISNUMBER(G29),ROUND(G29/入力!$B$5,0),"")</f>
        <v>0</v>
      </c>
      <c r="I29" s="5">
        <f>IF(入力!$B16="","",IF(ISNUMBER(入力!$D16),入力!$D16,""))</f>
        <v>1.8</v>
      </c>
      <c r="J29" s="5">
        <f>IF(ISNUMBER(入力!$D16),MAX(0,入力!$D16-入力!$C$5),"")</f>
        <v>0.2</v>
      </c>
      <c r="K29" s="4">
        <f>IF(入力!$B16="","",IF(ISNUMBER(入力!$P16),入力!$P16,""))</f>
        <v>1548</v>
      </c>
      <c r="L29" s="5">
        <f>IF(AND(ISNUMBER(入力!$D16),ISNUMBER(入力!$P16)),入力!$D16*入力!$P16,"")</f>
        <v>2786.4</v>
      </c>
      <c r="M29" s="5">
        <f>IF(AND(ISNUMBER(入力!$D16),ISNUMBER(入力!$P16)),MAX(0,入力!$D16-入力!$C$5)*入力!$P16,"")</f>
        <v>309.6</v>
      </c>
      <c r="N29" s="4">
        <f>IF(ISNUMBER(M29),ROUND(M29/入力!$C$5,0),"")</f>
        <v>193</v>
      </c>
      <c r="O29" s="5">
        <f>IF(入力!$B16="","",IF(AND(NOT(ISNUMBER(G29)),NOT(ISNUMBER(M29))),"",IF(ISNUMBER(G29),G29,0)+IF(ISNUMBER(M29),M29,0)))</f>
        <v>309.6</v>
      </c>
      <c r="P29" s="4">
        <f>IF(入力!$B16="","",IF(AND(NOT(ISNUMBER(H29)),NOT(ISNUMBER(N29))),"",IF(ISNUMBER(H29),H29,0)+IF(ISNUMBER(N29),N29,0)))</f>
        <v>193</v>
      </c>
    </row>
    <row r="30">
      <c r="B30" s="7" t="str">
        <f>IF(入力!$B17="","",入力!$B17)</f>
        <v>本吉　有美子</v>
      </c>
      <c r="C30" s="5">
        <f>IF(入力!$B17="","",IF(ISNUMBER(入力!$C17),入力!$C17,""))</f>
        <v>1.1</v>
      </c>
      <c r="D30" s="5">
        <f>IF(ISNUMBER(入力!$C17),MAX(0,入力!$C17-入力!$B$5),"")</f>
        <v>0</v>
      </c>
      <c r="E30" s="4">
        <f>IF(入力!$B17="","",IF(ISNUMBER(入力!$O17),入力!$O17,""))</f>
        <v>1454</v>
      </c>
      <c r="F30" s="5">
        <f>IF(AND(ISNUMBER(入力!$C17),ISNUMBER(入力!$O17)),入力!$C17*入力!$O17,"")</f>
        <v>1599.4</v>
      </c>
      <c r="G30" s="5">
        <f>IF(AND(ISNUMBER(入力!$C17),ISNUMBER(入力!$O17)),MAX(0,入力!$C17-入力!$B$5)*入力!$O17,"")</f>
        <v>0</v>
      </c>
      <c r="H30" s="4">
        <f>IF(ISNUMBER(G30),ROUND(G30/入力!$B$5,0),"")</f>
        <v>0</v>
      </c>
      <c r="I30" s="5">
        <f>IF(入力!$B17="","",IF(ISNUMBER(入力!$D17),入力!$D17,""))</f>
        <v>1</v>
      </c>
      <c r="J30" s="5">
        <f>IF(ISNUMBER(入力!$D17),MAX(0,入力!$D17-入力!$C$5),"")</f>
        <v>0</v>
      </c>
      <c r="K30" s="4">
        <f>IF(入力!$B17="","",IF(ISNUMBER(入力!$P17),入力!$P17,""))</f>
        <v>2493</v>
      </c>
      <c r="L30" s="5">
        <f>IF(AND(ISNUMBER(入力!$D17),ISNUMBER(入力!$P17)),入力!$D17*入力!$P17,"")</f>
        <v>2493</v>
      </c>
      <c r="M30" s="5">
        <f>IF(AND(ISNUMBER(入力!$D17),ISNUMBER(入力!$P17)),MAX(0,入力!$D17-入力!$C$5)*入力!$P17,"")</f>
        <v>0</v>
      </c>
      <c r="N30" s="4">
        <f>IF(ISNUMBER(M30),ROUND(M30/入力!$C$5,0),"")</f>
        <v>0</v>
      </c>
      <c r="O30" s="5">
        <f>IF(入力!$B17="","",IF(AND(NOT(ISNUMBER(G30)),NOT(ISNUMBER(M30))),"",IF(ISNUMBER(G30),G30,0)+IF(ISNUMBER(M30),M30,0)))</f>
        <v>0</v>
      </c>
      <c r="P30" s="4">
        <f>IF(入力!$B17="","",IF(AND(NOT(ISNUMBER(H30)),NOT(ISNUMBER(N30))),"",IF(ISNUMBER(H30),H30,0)+IF(ISNUMBER(N30),N30,0)))</f>
        <v>0</v>
      </c>
    </row>
    <row r="31">
      <c r="B31" s="7" t="str">
        <f>IF(入力!$B18="","",入力!$B18)</f>
        <v>屋宮　敬子</v>
      </c>
      <c r="C31" s="5" t="str">
        <f>IF(入力!$B18="","",IF(ISNUMBER(入力!$C18),入力!$C18,""))</f>
        <v/>
      </c>
      <c r="D31" s="5" t="str">
        <f>IF(ISNUMBER(入力!$C18),MAX(0,入力!$C18-入力!$B$5),"")</f>
        <v/>
      </c>
      <c r="E31" s="4" t="str">
        <f>IF(入力!$B18="","",IF(ISNUMBER(入力!$O18),入力!$O18,""))</f>
        <v/>
      </c>
      <c r="F31" s="5" t="str">
        <f>IF(AND(ISNUMBER(入力!$C18),ISNUMBER(入力!$O18)),入力!$C18*入力!$O18,"")</f>
        <v/>
      </c>
      <c r="G31" s="5" t="str">
        <f>IF(AND(ISNUMBER(入力!$C18),ISNUMBER(入力!$O18)),MAX(0,入力!$C18-入力!$B$5)*入力!$O18,"")</f>
        <v/>
      </c>
      <c r="H31" s="4" t="str">
        <f>IF(ISNUMBER(G31),ROUND(G31/入力!$B$5,0),"")</f>
        <v/>
      </c>
      <c r="I31" s="5" t="str">
        <f>IF(入力!$B18="","",IF(ISNUMBER(入力!$D18),入力!$D18,""))</f>
        <v/>
      </c>
      <c r="J31" s="5" t="str">
        <f>IF(ISNUMBER(入力!$D18),MAX(0,入力!$D18-入力!$C$5),"")</f>
        <v/>
      </c>
      <c r="K31" s="4" t="str">
        <f>IF(入力!$B18="","",IF(ISNUMBER(入力!$P18),入力!$P18,""))</f>
        <v/>
      </c>
      <c r="L31" s="5" t="str">
        <f>IF(AND(ISNUMBER(入力!$D18),ISNUMBER(入力!$P18)),入力!$D18*入力!$P18,"")</f>
        <v/>
      </c>
      <c r="M31" s="5" t="str">
        <f>IF(AND(ISNUMBER(入力!$D18),ISNUMBER(入力!$P18)),MAX(0,入力!$D18-入力!$C$5)*入力!$P18,"")</f>
        <v/>
      </c>
      <c r="N31" s="4" t="str">
        <f>IF(ISNUMBER(M31),ROUND(M31/入力!$C$5,0),"")</f>
        <v/>
      </c>
      <c r="O31" s="5" t="str">
        <f>IF(入力!$B18="","",IF(AND(NOT(ISNUMBER(G31)),NOT(ISNUMBER(M31))),"",IF(ISNUMBER(G31),G31,0)+IF(ISNUMBER(M31),M31,0)))</f>
        <v/>
      </c>
      <c r="P31" s="4" t="str">
        <f>IF(入力!$B18="","",IF(AND(NOT(ISNUMBER(H31)),NOT(ISNUMBER(N31))),"",IF(ISNUMBER(H31),H31,0)+IF(ISNUMBER(N31),N31,0)))</f>
        <v/>
      </c>
    </row>
    <row r="32">
      <c r="B32" s="7" t="str">
        <f>IF(入力!$B19="","",入力!$B19)</f>
        <v>大江　美記子</v>
      </c>
      <c r="C32" s="5">
        <f>IF(入力!$B19="","",IF(ISNUMBER(入力!$C19),入力!$C19,""))</f>
        <v>1.2</v>
      </c>
      <c r="D32" s="5">
        <f>IF(ISNUMBER(入力!$C19),MAX(0,入力!$C19-入力!$B$5),"")</f>
        <v>0</v>
      </c>
      <c r="E32" s="4">
        <f>IF(入力!$B19="","",IF(ISNUMBER(入力!$O19),入力!$O19,""))</f>
        <v>1053</v>
      </c>
      <c r="F32" s="5">
        <f>IF(AND(ISNUMBER(入力!$C19),ISNUMBER(入力!$O19)),入力!$C19*入力!$O19,"")</f>
        <v>1263.6</v>
      </c>
      <c r="G32" s="5">
        <f>IF(AND(ISNUMBER(入力!$C19),ISNUMBER(入力!$O19)),MAX(0,入力!$C19-入力!$B$5)*入力!$O19,"")</f>
        <v>0</v>
      </c>
      <c r="H32" s="4">
        <f>IF(ISNUMBER(G32),ROUND(G32/入力!$B$5,0),"")</f>
        <v>0</v>
      </c>
      <c r="I32" s="5">
        <f>IF(入力!$B19="","",IF(ISNUMBER(入力!$D19),入力!$D19,""))</f>
        <v>1.2</v>
      </c>
      <c r="J32" s="5">
        <f>IF(ISNUMBER(入力!$D19),MAX(0,入力!$D19-入力!$C$5),"")</f>
        <v>0</v>
      </c>
      <c r="K32" s="4">
        <f>IF(入力!$B19="","",IF(ISNUMBER(入力!$P19),入力!$P19,""))</f>
        <v>2616</v>
      </c>
      <c r="L32" s="5">
        <f>IF(AND(ISNUMBER(入力!$D19),ISNUMBER(入力!$P19)),入力!$D19*入力!$P19,"")</f>
        <v>3139.2</v>
      </c>
      <c r="M32" s="5">
        <f>IF(AND(ISNUMBER(入力!$D19),ISNUMBER(入力!$P19)),MAX(0,入力!$D19-入力!$C$5)*入力!$P19,"")</f>
        <v>0</v>
      </c>
      <c r="N32" s="4">
        <f>IF(ISNUMBER(M32),ROUND(M32/入力!$C$5,0),"")</f>
        <v>0</v>
      </c>
      <c r="O32" s="5">
        <f>IF(入力!$B19="","",IF(AND(NOT(ISNUMBER(G32)),NOT(ISNUMBER(M32))),"",IF(ISNUMBER(G32),G32,0)+IF(ISNUMBER(M32),M32,0)))</f>
        <v>0</v>
      </c>
      <c r="P32" s="4">
        <f>IF(入力!$B19="","",IF(AND(NOT(ISNUMBER(H32)),NOT(ISNUMBER(N32))),"",IF(ISNUMBER(H32),H32,0)+IF(ISNUMBER(N32),N32,0)))</f>
        <v>0</v>
      </c>
    </row>
    <row r="33">
      <c r="B33" s="7" t="str">
        <f>IF(入力!$B20="","",入力!$B20)</f>
        <v>木村　千鶴</v>
      </c>
      <c r="C33" s="5">
        <f>IF(入力!$B20="","",IF(ISNUMBER(入力!$C20),入力!$C20,""))</f>
        <v>1.7</v>
      </c>
      <c r="D33" s="5">
        <f>IF(ISNUMBER(入力!$C20),MAX(0,入力!$C20-入力!$B$5),"")</f>
        <v>0.1</v>
      </c>
      <c r="E33" s="4">
        <f>IF(入力!$B20="","",IF(ISNUMBER(入力!$O20),入力!$O20,""))</f>
        <v>691</v>
      </c>
      <c r="F33" s="5">
        <f>IF(AND(ISNUMBER(入力!$C20),ISNUMBER(入力!$O20)),入力!$C20*入力!$O20,"")</f>
        <v>1174.7</v>
      </c>
      <c r="G33" s="5">
        <f>IF(AND(ISNUMBER(入力!$C20),ISNUMBER(入力!$O20)),MAX(0,入力!$C20-入力!$B$5)*入力!$O20,"")</f>
        <v>69.1</v>
      </c>
      <c r="H33" s="4">
        <f>IF(ISNUMBER(G33),ROUND(G33/入力!$B$5,0),"")</f>
        <v>43</v>
      </c>
      <c r="I33" s="5">
        <f>IF(入力!$B20="","",IF(ISNUMBER(入力!$D20),入力!$D20,""))</f>
        <v>2.2</v>
      </c>
      <c r="J33" s="5">
        <f>IF(ISNUMBER(入力!$D20),MAX(0,入力!$D20-入力!$C$5),"")</f>
        <v>0.6</v>
      </c>
      <c r="K33" s="4">
        <f>IF(入力!$B20="","",IF(ISNUMBER(入力!$P20),入力!$P20,""))</f>
        <v>1750</v>
      </c>
      <c r="L33" s="5">
        <f>IF(AND(ISNUMBER(入力!$D20),ISNUMBER(入力!$P20)),入力!$D20*入力!$P20,"")</f>
        <v>3850</v>
      </c>
      <c r="M33" s="5">
        <f>IF(AND(ISNUMBER(入力!$D20),ISNUMBER(入力!$P20)),MAX(0,入力!$D20-入力!$C$5)*入力!$P20,"")</f>
        <v>1050</v>
      </c>
      <c r="N33" s="4">
        <f>IF(ISNUMBER(M33),ROUND(M33/入力!$C$5,0),"")</f>
        <v>656</v>
      </c>
      <c r="O33" s="5">
        <f>IF(入力!$B20="","",IF(AND(NOT(ISNUMBER(G33)),NOT(ISNUMBER(M33))),"",IF(ISNUMBER(G33),G33,0)+IF(ISNUMBER(M33),M33,0)))</f>
        <v>1119.1</v>
      </c>
      <c r="P33" s="4">
        <f>IF(入力!$B20="","",IF(AND(NOT(ISNUMBER(H33)),NOT(ISNUMBER(N33))),"",IF(ISNUMBER(H33),H33,0)+IF(ISNUMBER(N33),N33,0)))</f>
        <v>699</v>
      </c>
    </row>
    <row r="34">
      <c r="B34" s="7" t="str">
        <f>IF(入力!$B21="","",入力!$B21)</f>
        <v>晩田　恵美</v>
      </c>
      <c r="C34" s="5">
        <f>IF(入力!$B21="","",IF(ISNUMBER(入力!$C21),入力!$C21,""))</f>
        <v>1.1</v>
      </c>
      <c r="D34" s="5">
        <f>IF(ISNUMBER(入力!$C21),MAX(0,入力!$C21-入力!$B$5),"")</f>
        <v>0</v>
      </c>
      <c r="E34" s="4">
        <f>IF(入力!$B21="","",IF(ISNUMBER(入力!$O21),入力!$O21,""))</f>
        <v>877</v>
      </c>
      <c r="F34" s="5">
        <f>IF(AND(ISNUMBER(入力!$C21),ISNUMBER(入力!$O21)),入力!$C21*入力!$O21,"")</f>
        <v>964.7</v>
      </c>
      <c r="G34" s="5">
        <f>IF(AND(ISNUMBER(入力!$C21),ISNUMBER(入力!$O21)),MAX(0,入力!$C21-入力!$B$5)*入力!$O21,"")</f>
        <v>0</v>
      </c>
      <c r="H34" s="4">
        <f>IF(ISNUMBER(G34),ROUND(G34/入力!$B$5,0),"")</f>
        <v>0</v>
      </c>
      <c r="I34" s="5">
        <f>IF(入力!$B21="","",IF(ISNUMBER(入力!$D21),入力!$D21,""))</f>
        <v>1.4</v>
      </c>
      <c r="J34" s="5">
        <f>IF(ISNUMBER(入力!$D21),MAX(0,入力!$D21-入力!$C$5),"")</f>
        <v>0</v>
      </c>
      <c r="K34" s="4">
        <f>IF(入力!$B21="","",IF(ISNUMBER(入力!$P21),入力!$P21,""))</f>
        <v>2881</v>
      </c>
      <c r="L34" s="5">
        <f>IF(AND(ISNUMBER(入力!$D21),ISNUMBER(入力!$P21)),入力!$D21*入力!$P21,"")</f>
        <v>4033.4</v>
      </c>
      <c r="M34" s="5">
        <f>IF(AND(ISNUMBER(入力!$D21),ISNUMBER(入力!$P21)),MAX(0,入力!$D21-入力!$C$5)*入力!$P21,"")</f>
        <v>0</v>
      </c>
      <c r="N34" s="4">
        <f>IF(ISNUMBER(M34),ROUND(M34/入力!$C$5,0),"")</f>
        <v>0</v>
      </c>
      <c r="O34" s="5">
        <f>IF(入力!$B21="","",IF(AND(NOT(ISNUMBER(G34)),NOT(ISNUMBER(M34))),"",IF(ISNUMBER(G34),G34,0)+IF(ISNUMBER(M34),M34,0)))</f>
        <v>0</v>
      </c>
      <c r="P34" s="4">
        <f>IF(入力!$B21="","",IF(AND(NOT(ISNUMBER(H34)),NOT(ISNUMBER(N34))),"",IF(ISNUMBER(H34),H34,0)+IF(ISNUMBER(N34),N34,0)))</f>
        <v>0</v>
      </c>
    </row>
    <row r="35">
      <c r="B35" s="7" t="str">
        <f>IF(入力!$B22="","",入力!$B22)</f>
        <v>森田　美加</v>
      </c>
      <c r="C35" s="5">
        <f>IF(入力!$B22="","",IF(ISNUMBER(入力!$C22),入力!$C22,""))</f>
        <v>1.1</v>
      </c>
      <c r="D35" s="5">
        <f>IF(ISNUMBER(入力!$C22),MAX(0,入力!$C22-入力!$B$5),"")</f>
        <v>0</v>
      </c>
      <c r="E35" s="4">
        <f>IF(入力!$B22="","",IF(ISNUMBER(入力!$O22),入力!$O22,""))</f>
        <v>233</v>
      </c>
      <c r="F35" s="5">
        <f>IF(AND(ISNUMBER(入力!$C22),ISNUMBER(入力!$O22)),入力!$C22*入力!$O22,"")</f>
        <v>256.3</v>
      </c>
      <c r="G35" s="5">
        <f>IF(AND(ISNUMBER(入力!$C22),ISNUMBER(入力!$O22)),MAX(0,入力!$C22-入力!$B$5)*入力!$O22,"")</f>
        <v>0</v>
      </c>
      <c r="H35" s="4">
        <f>IF(ISNUMBER(G35),ROUND(G35/入力!$B$5,0),"")</f>
        <v>0</v>
      </c>
      <c r="I35" s="5">
        <f>IF(入力!$B22="","",IF(ISNUMBER(入力!$D22),入力!$D22,""))</f>
        <v>3.1</v>
      </c>
      <c r="J35" s="5">
        <f>IF(ISNUMBER(入力!$D22),MAX(0,入力!$D22-入力!$C$5),"")</f>
        <v>1.5</v>
      </c>
      <c r="K35" s="4">
        <f>IF(入力!$B22="","",IF(ISNUMBER(入力!$P22),入力!$P22,""))</f>
        <v>630</v>
      </c>
      <c r="L35" s="5">
        <f>IF(AND(ISNUMBER(入力!$D22),ISNUMBER(入力!$P22)),入力!$D22*入力!$P22,"")</f>
        <v>1953</v>
      </c>
      <c r="M35" s="5">
        <f>IF(AND(ISNUMBER(入力!$D22),ISNUMBER(入力!$P22)),MAX(0,入力!$D22-入力!$C$5)*入力!$P22,"")</f>
        <v>945</v>
      </c>
      <c r="N35" s="4">
        <f>IF(ISNUMBER(M35),ROUND(M35/入力!$C$5,0),"")</f>
        <v>591</v>
      </c>
      <c r="O35" s="5">
        <f>IF(入力!$B22="","",IF(AND(NOT(ISNUMBER(G35)),NOT(ISNUMBER(M35))),"",IF(ISNUMBER(G35),G35,0)+IF(ISNUMBER(M35),M35,0)))</f>
        <v>945</v>
      </c>
      <c r="P35" s="4">
        <f>IF(入力!$B22="","",IF(AND(NOT(ISNUMBER(H35)),NOT(ISNUMBER(N35))),"",IF(ISNUMBER(H35),H35,0)+IF(ISNUMBER(N35),N35,0)))</f>
        <v>591</v>
      </c>
    </row>
    <row r="36">
      <c r="B36" s="7" t="str">
        <f>IF(入力!$B23="","",入力!$B23)</f>
        <v>飯田　由加里</v>
      </c>
      <c r="C36" s="5">
        <f>IF(入力!$B23="","",IF(ISNUMBER(入力!$C23),入力!$C23,""))</f>
        <v>1.8</v>
      </c>
      <c r="D36" s="5">
        <f>IF(ISNUMBER(入力!$C23),MAX(0,入力!$C23-入力!$B$5),"")</f>
        <v>0.2</v>
      </c>
      <c r="E36" s="4">
        <f>IF(入力!$B23="","",IF(ISNUMBER(入力!$O23),入力!$O23,""))</f>
        <v>271</v>
      </c>
      <c r="F36" s="5">
        <f>IF(AND(ISNUMBER(入力!$C23),ISNUMBER(入力!$O23)),入力!$C23*入力!$O23,"")</f>
        <v>487.8</v>
      </c>
      <c r="G36" s="5">
        <f>IF(AND(ISNUMBER(入力!$C23),ISNUMBER(入力!$O23)),MAX(0,入力!$C23-入力!$B$5)*入力!$O23,"")</f>
        <v>54.2</v>
      </c>
      <c r="H36" s="4">
        <f>IF(ISNUMBER(G36),ROUND(G36/入力!$B$5,0),"")</f>
        <v>34</v>
      </c>
      <c r="I36" s="5">
        <f>IF(入力!$B23="","",IF(ISNUMBER(入力!$D23),入力!$D23,""))</f>
        <v>1.4</v>
      </c>
      <c r="J36" s="5">
        <f>IF(ISNUMBER(入力!$D23),MAX(0,入力!$D23-入力!$C$5),"")</f>
        <v>0</v>
      </c>
      <c r="K36" s="4">
        <f>IF(入力!$B23="","",IF(ISNUMBER(入力!$P23),入力!$P23,""))</f>
        <v>1061</v>
      </c>
      <c r="L36" s="5">
        <f>IF(AND(ISNUMBER(入力!$D23),ISNUMBER(入力!$P23)),入力!$D23*入力!$P23,"")</f>
        <v>1485.4</v>
      </c>
      <c r="M36" s="5">
        <f>IF(AND(ISNUMBER(入力!$D23),ISNUMBER(入力!$P23)),MAX(0,入力!$D23-入力!$C$5)*入力!$P23,"")</f>
        <v>0</v>
      </c>
      <c r="N36" s="4">
        <f>IF(ISNUMBER(M36),ROUND(M36/入力!$C$5,0),"")</f>
        <v>0</v>
      </c>
      <c r="O36" s="5">
        <f>IF(入力!$B23="","",IF(AND(NOT(ISNUMBER(G36)),NOT(ISNUMBER(M36))),"",IF(ISNUMBER(G36),G36,0)+IF(ISNUMBER(M36),M36,0)))</f>
        <v>54.2</v>
      </c>
      <c r="P36" s="4">
        <f>IF(入力!$B23="","",IF(AND(NOT(ISNUMBER(H36)),NOT(ISNUMBER(N36))),"",IF(ISNUMBER(H36),H36,0)+IF(ISNUMBER(N36),N36,0)))</f>
        <v>34</v>
      </c>
    </row>
    <row r="37">
      <c r="B37" s="7" t="str">
        <f>IF(入力!$B24="","",入力!$B24)</f>
        <v>森本　久美</v>
      </c>
      <c r="C37" s="5">
        <f>IF(入力!$B24="","",IF(ISNUMBER(入力!$C24),入力!$C24,""))</f>
        <v>1.4</v>
      </c>
      <c r="D37" s="5">
        <f>IF(ISNUMBER(入力!$C24),MAX(0,入力!$C24-入力!$B$5),"")</f>
        <v>0</v>
      </c>
      <c r="E37" s="4">
        <f>IF(入力!$B24="","",IF(ISNUMBER(入力!$O24),入力!$O24,""))</f>
        <v>335</v>
      </c>
      <c r="F37" s="5">
        <f>IF(AND(ISNUMBER(入力!$C24),ISNUMBER(入力!$O24)),入力!$C24*入力!$O24,"")</f>
        <v>469</v>
      </c>
      <c r="G37" s="5">
        <f>IF(AND(ISNUMBER(入力!$C24),ISNUMBER(入力!$O24)),MAX(0,入力!$C24-入力!$B$5)*入力!$O24,"")</f>
        <v>0</v>
      </c>
      <c r="H37" s="4">
        <f>IF(ISNUMBER(G37),ROUND(G37/入力!$B$5,0),"")</f>
        <v>0</v>
      </c>
      <c r="I37" s="5">
        <f>IF(入力!$B24="","",IF(ISNUMBER(入力!$D24),入力!$D24,""))</f>
        <v>1.6</v>
      </c>
      <c r="J37" s="5">
        <f>IF(ISNUMBER(入力!$D24),MAX(0,入力!$D24-入力!$C$5),"")</f>
        <v>0</v>
      </c>
      <c r="K37" s="4">
        <f>IF(入力!$B24="","",IF(ISNUMBER(入力!$P24),入力!$P24,""))</f>
        <v>970</v>
      </c>
      <c r="L37" s="5">
        <f>IF(AND(ISNUMBER(入力!$D24),ISNUMBER(入力!$P24)),入力!$D24*入力!$P24,"")</f>
        <v>1552</v>
      </c>
      <c r="M37" s="5">
        <f>IF(AND(ISNUMBER(入力!$D24),ISNUMBER(入力!$P24)),MAX(0,入力!$D24-入力!$C$5)*入力!$P24,"")</f>
        <v>0</v>
      </c>
      <c r="N37" s="4">
        <f>IF(ISNUMBER(M37),ROUND(M37/入力!$C$5,0),"")</f>
        <v>0</v>
      </c>
      <c r="O37" s="5">
        <f>IF(入力!$B24="","",IF(AND(NOT(ISNUMBER(G37)),NOT(ISNUMBER(M37))),"",IF(ISNUMBER(G37),G37,0)+IF(ISNUMBER(M37),M37,0)))</f>
        <v>0</v>
      </c>
      <c r="P37" s="4">
        <f>IF(入力!$B24="","",IF(AND(NOT(ISNUMBER(H37)),NOT(ISNUMBER(N37))),"",IF(ISNUMBER(H37),H37,0)+IF(ISNUMBER(N37),N37,0)))</f>
        <v>0</v>
      </c>
    </row>
    <row r="38">
      <c r="B38" s="7" t="str">
        <f>IF(入力!$B25="","",入力!$B25)</f>
        <v>高橋　佐織</v>
      </c>
      <c r="C38" s="5">
        <f>IF(入力!$B25="","",IF(ISNUMBER(入力!$C25),入力!$C25,""))</f>
        <v>1.8</v>
      </c>
      <c r="D38" s="5">
        <f>IF(ISNUMBER(入力!$C25),MAX(0,入力!$C25-入力!$B$5),"")</f>
        <v>0.2</v>
      </c>
      <c r="E38" s="4">
        <f>IF(入力!$B25="","",IF(ISNUMBER(入力!$O25),入力!$O25,""))</f>
        <v>941</v>
      </c>
      <c r="F38" s="5">
        <f>IF(AND(ISNUMBER(入力!$C25),ISNUMBER(入力!$O25)),入力!$C25*入力!$O25,"")</f>
        <v>1693.8</v>
      </c>
      <c r="G38" s="5">
        <f>IF(AND(ISNUMBER(入力!$C25),ISNUMBER(入力!$O25)),MAX(0,入力!$C25-入力!$B$5)*入力!$O25,"")</f>
        <v>188.2</v>
      </c>
      <c r="H38" s="4">
        <f>IF(ISNUMBER(G38),ROUND(G38/入力!$B$5,0),"")</f>
        <v>118</v>
      </c>
      <c r="I38" s="5">
        <f>IF(入力!$B25="","",IF(ISNUMBER(入力!$D25),入力!$D25,""))</f>
        <v>1.7</v>
      </c>
      <c r="J38" s="5">
        <f>IF(ISNUMBER(入力!$D25),MAX(0,入力!$D25-入力!$C$5),"")</f>
        <v>0.1</v>
      </c>
      <c r="K38" s="4">
        <f>IF(入力!$B25="","",IF(ISNUMBER(入力!$P25),入力!$P25,""))</f>
        <v>1183</v>
      </c>
      <c r="L38" s="5">
        <f>IF(AND(ISNUMBER(入力!$D25),ISNUMBER(入力!$P25)),入力!$D25*入力!$P25,"")</f>
        <v>2011.1</v>
      </c>
      <c r="M38" s="5">
        <f>IF(AND(ISNUMBER(入力!$D25),ISNUMBER(入力!$P25)),MAX(0,入力!$D25-入力!$C$5)*入力!$P25,"")</f>
        <v>118.3</v>
      </c>
      <c r="N38" s="4">
        <f>IF(ISNUMBER(M38),ROUND(M38/入力!$C$5,0),"")</f>
        <v>74</v>
      </c>
      <c r="O38" s="5">
        <f>IF(入力!$B25="","",IF(AND(NOT(ISNUMBER(G38)),NOT(ISNUMBER(M38))),"",IF(ISNUMBER(G38),G38,0)+IF(ISNUMBER(M38),M38,0)))</f>
        <v>306.5</v>
      </c>
      <c r="P38" s="4">
        <f>IF(入力!$B25="","",IF(AND(NOT(ISNUMBER(H38)),NOT(ISNUMBER(N38))),"",IF(ISNUMBER(H38),H38,0)+IF(ISNUMBER(N38),N38,0)))</f>
        <v>192</v>
      </c>
    </row>
    <row r="39">
      <c r="B39" s="7" t="str">
        <f>IF(入力!$B26="","",入力!$B26)</f>
        <v>北田　倫子</v>
      </c>
      <c r="C39" s="5">
        <f>IF(入力!$B26="","",IF(ISNUMBER(入力!$C26),入力!$C26,""))</f>
        <v>1.6</v>
      </c>
      <c r="D39" s="5">
        <f>IF(ISNUMBER(入力!$C26),MAX(0,入力!$C26-入力!$B$5),"")</f>
        <v>0</v>
      </c>
      <c r="E39" s="4">
        <f>IF(入力!$B26="","",IF(ISNUMBER(入力!$O26),入力!$O26,""))</f>
        <v>468</v>
      </c>
      <c r="F39" s="5">
        <f>IF(AND(ISNUMBER(入力!$C26),ISNUMBER(入力!$O26)),入力!$C26*入力!$O26,"")</f>
        <v>748.8</v>
      </c>
      <c r="G39" s="5">
        <f>IF(AND(ISNUMBER(入力!$C26),ISNUMBER(入力!$O26)),MAX(0,入力!$C26-入力!$B$5)*入力!$O26,"")</f>
        <v>0</v>
      </c>
      <c r="H39" s="4">
        <f>IF(ISNUMBER(G39),ROUND(G39/入力!$B$5,0),"")</f>
        <v>0</v>
      </c>
      <c r="I39" s="5">
        <f>IF(入力!$B26="","",IF(ISNUMBER(入力!$D26),入力!$D26,""))</f>
        <v>1.2</v>
      </c>
      <c r="J39" s="5">
        <f>IF(ISNUMBER(入力!$D26),MAX(0,入力!$D26-入力!$C$5),"")</f>
        <v>0</v>
      </c>
      <c r="K39" s="4" t="str">
        <f>IF(入力!$B26="","",IF(ISNUMBER(入力!$P26),入力!$P26,""))</f>
        <v/>
      </c>
      <c r="L39" s="5" t="str">
        <f>IF(AND(ISNUMBER(入力!$D26),ISNUMBER(入力!$P26)),入力!$D26*入力!$P26,"")</f>
        <v/>
      </c>
      <c r="M39" s="5" t="str">
        <f>IF(AND(ISNUMBER(入力!$D26),ISNUMBER(入力!$P26)),MAX(0,入力!$D26-入力!$C$5)*入力!$P26,"")</f>
        <v/>
      </c>
      <c r="N39" s="4" t="str">
        <f>IF(ISNUMBER(M39),ROUND(M39/入力!$C$5,0),"")</f>
        <v/>
      </c>
      <c r="O39" s="5">
        <f>IF(入力!$B26="","",IF(AND(NOT(ISNUMBER(G39)),NOT(ISNUMBER(M39))),"",IF(ISNUMBER(G39),G39,0)+IF(ISNUMBER(M39),M39,0)))</f>
        <v>0</v>
      </c>
      <c r="P39" s="4">
        <f>IF(入力!$B26="","",IF(AND(NOT(ISNUMBER(H39)),NOT(ISNUMBER(N39))),"",IF(ISNUMBER(H39),H39,0)+IF(ISNUMBER(N39),N39,0)))</f>
        <v>0</v>
      </c>
    </row>
    <row r="40">
      <c r="B40" s="7" t="str">
        <f>IF(入力!$B27="","",入力!$B27)</f>
        <v>鈴木　香織</v>
      </c>
      <c r="C40" s="5">
        <f>IF(入力!$B27="","",IF(ISNUMBER(入力!$C27),入力!$C27,""))</f>
        <v>1.2</v>
      </c>
      <c r="D40" s="5">
        <f>IF(ISNUMBER(入力!$C27),MAX(0,入力!$C27-入力!$B$5),"")</f>
        <v>0</v>
      </c>
      <c r="E40" s="4">
        <f>IF(入力!$B27="","",IF(ISNUMBER(入力!$O27),入力!$O27,""))</f>
        <v>260</v>
      </c>
      <c r="F40" s="5">
        <f>IF(AND(ISNUMBER(入力!$C27),ISNUMBER(入力!$O27)),入力!$C27*入力!$O27,"")</f>
        <v>312</v>
      </c>
      <c r="G40" s="5">
        <f>IF(AND(ISNUMBER(入力!$C27),ISNUMBER(入力!$O27)),MAX(0,入力!$C27-入力!$B$5)*入力!$O27,"")</f>
        <v>0</v>
      </c>
      <c r="H40" s="4">
        <f>IF(ISNUMBER(G40),ROUND(G40/入力!$B$5,0),"")</f>
        <v>0</v>
      </c>
      <c r="I40" s="5">
        <f>IF(入力!$B27="","",IF(ISNUMBER(入力!$D27),入力!$D27,""))</f>
        <v>1.8</v>
      </c>
      <c r="J40" s="5">
        <f>IF(ISNUMBER(入力!$D27),MAX(0,入力!$D27-入力!$C$5),"")</f>
        <v>0.2</v>
      </c>
      <c r="K40" s="4" t="str">
        <f>IF(入力!$B27="","",IF(ISNUMBER(入力!$P27),入力!$P27,""))</f>
        <v/>
      </c>
      <c r="L40" s="5" t="str">
        <f>IF(AND(ISNUMBER(入力!$D27),ISNUMBER(入力!$P27)),入力!$D27*入力!$P27,"")</f>
        <v/>
      </c>
      <c r="M40" s="5" t="str">
        <f>IF(AND(ISNUMBER(入力!$D27),ISNUMBER(入力!$P27)),MAX(0,入力!$D27-入力!$C$5)*入力!$P27,"")</f>
        <v/>
      </c>
      <c r="N40" s="4" t="str">
        <f>IF(ISNUMBER(M40),ROUND(M40/入力!$C$5,0),"")</f>
        <v/>
      </c>
      <c r="O40" s="5">
        <f>IF(入力!$B27="","",IF(AND(NOT(ISNUMBER(G40)),NOT(ISNUMBER(M40))),"",IF(ISNUMBER(G40),G40,0)+IF(ISNUMBER(M40),M40,0)))</f>
        <v>0</v>
      </c>
      <c r="P40" s="4">
        <f>IF(入力!$B27="","",IF(AND(NOT(ISNUMBER(H40)),NOT(ISNUMBER(N40))),"",IF(ISNUMBER(H40),H40,0)+IF(ISNUMBER(N40),N40,0)))</f>
        <v>0</v>
      </c>
    </row>
    <row r="41">
      <c r="B41" s="7" t="str">
        <f>IF(入力!$B28="","",入力!$B28)</f>
        <v>菊池　敬</v>
      </c>
      <c r="C41" s="5">
        <f>IF(入力!$B28="","",IF(ISNUMBER(入力!$C28),入力!$C28,""))</f>
        <v>1.7</v>
      </c>
      <c r="D41" s="5">
        <f>IF(ISNUMBER(入力!$C28),MAX(0,入力!$C28-入力!$B$5),"")</f>
        <v>0.1</v>
      </c>
      <c r="E41" s="4">
        <f>IF(入力!$B28="","",IF(ISNUMBER(入力!$O28),入力!$O28,""))</f>
        <v>422</v>
      </c>
      <c r="F41" s="5">
        <f>IF(AND(ISNUMBER(入力!$C28),ISNUMBER(入力!$O28)),入力!$C28*入力!$O28,"")</f>
        <v>717.4</v>
      </c>
      <c r="G41" s="5">
        <f>IF(AND(ISNUMBER(入力!$C28),ISNUMBER(入力!$O28)),MAX(0,入力!$C28-入力!$B$5)*入力!$O28,"")</f>
        <v>42.2</v>
      </c>
      <c r="H41" s="4">
        <f>IF(ISNUMBER(G41),ROUND(G41/入力!$B$5,0),"")</f>
        <v>26</v>
      </c>
      <c r="I41" s="5">
        <f>IF(入力!$B28="","",IF(ISNUMBER(入力!$D28),入力!$D28,""))</f>
        <v>2.5</v>
      </c>
      <c r="J41" s="5">
        <f>IF(ISNUMBER(入力!$D28),MAX(0,入力!$D28-入力!$C$5),"")</f>
        <v>0.9</v>
      </c>
      <c r="K41" s="4" t="str">
        <f>IF(入力!$B28="","",IF(ISNUMBER(入力!$P28),入力!$P28,""))</f>
        <v/>
      </c>
      <c r="L41" s="5" t="str">
        <f>IF(AND(ISNUMBER(入力!$D28),ISNUMBER(入力!$P28)),入力!$D28*入力!$P28,"")</f>
        <v/>
      </c>
      <c r="M41" s="5" t="str">
        <f>IF(AND(ISNUMBER(入力!$D28),ISNUMBER(入力!$P28)),MAX(0,入力!$D28-入力!$C$5)*入力!$P28,"")</f>
        <v/>
      </c>
      <c r="N41" s="4" t="str">
        <f>IF(ISNUMBER(M41),ROUND(M41/入力!$C$5,0),"")</f>
        <v/>
      </c>
      <c r="O41" s="5">
        <f>IF(入力!$B28="","",IF(AND(NOT(ISNUMBER(G41)),NOT(ISNUMBER(M41))),"",IF(ISNUMBER(G41),G41,0)+IF(ISNUMBER(M41),M41,0)))</f>
        <v>42.2</v>
      </c>
      <c r="P41" s="4">
        <f>IF(入力!$B28="","",IF(AND(NOT(ISNUMBER(H41)),NOT(ISNUMBER(N41))),"",IF(ISNUMBER(H41),H41,0)+IF(ISNUMBER(N41),N41,0)))</f>
        <v>26</v>
      </c>
    </row>
    <row r="42">
      <c r="B42" s="7" t="str">
        <f>IF(入力!$B29="","",入力!$B29)</f>
        <v>上村　和恵</v>
      </c>
      <c r="C42" s="5">
        <f>IF(入力!$B29="","",IF(ISNUMBER(入力!$C29),入力!$C29,""))</f>
        <v>1.8</v>
      </c>
      <c r="D42" s="5">
        <f>IF(ISNUMBER(入力!$C29),MAX(0,入力!$C29-入力!$B$5),"")</f>
        <v>0.2</v>
      </c>
      <c r="E42" s="4">
        <f>IF(入力!$B29="","",IF(ISNUMBER(入力!$O29),入力!$O29,""))</f>
        <v>1112</v>
      </c>
      <c r="F42" s="5">
        <f>IF(AND(ISNUMBER(入力!$C29),ISNUMBER(入力!$O29)),入力!$C29*入力!$O29,"")</f>
        <v>2001.6</v>
      </c>
      <c r="G42" s="5">
        <f>IF(AND(ISNUMBER(入力!$C29),ISNUMBER(入力!$O29)),MAX(0,入力!$C29-入力!$B$5)*入力!$O29,"")</f>
        <v>222.4</v>
      </c>
      <c r="H42" s="4">
        <f>IF(ISNUMBER(G42),ROUND(G42/入力!$B$5,0),"")</f>
        <v>139</v>
      </c>
      <c r="I42" s="5" t="str">
        <f>IF(入力!$B29="","",IF(ISNUMBER(入力!$D29),入力!$D29,""))</f>
        <v/>
      </c>
      <c r="J42" s="5" t="str">
        <f>IF(ISNUMBER(入力!$D29),MAX(0,入力!$D29-入力!$C$5),"")</f>
        <v/>
      </c>
      <c r="K42" s="4" t="str">
        <f>IF(入力!$B29="","",IF(ISNUMBER(入力!$P29),入力!$P29,""))</f>
        <v/>
      </c>
      <c r="L42" s="5" t="str">
        <f>IF(AND(ISNUMBER(入力!$D29),ISNUMBER(入力!$P29)),入力!$D29*入力!$P29,"")</f>
        <v/>
      </c>
      <c r="M42" s="5" t="str">
        <f>IF(AND(ISNUMBER(入力!$D29),ISNUMBER(入力!$P29)),MAX(0,入力!$D29-入力!$C$5)*入力!$P29,"")</f>
        <v/>
      </c>
      <c r="N42" s="4" t="str">
        <f>IF(ISNUMBER(M42),ROUND(M42/入力!$C$5,0),"")</f>
        <v/>
      </c>
      <c r="O42" s="5">
        <f>IF(入力!$B29="","",IF(AND(NOT(ISNUMBER(G42)),NOT(ISNUMBER(M42))),"",IF(ISNUMBER(G42),G42,0)+IF(ISNUMBER(M42),M42,0)))</f>
        <v>222.4</v>
      </c>
      <c r="P42" s="4">
        <f>IF(入力!$B29="","",IF(AND(NOT(ISNUMBER(H42)),NOT(ISNUMBER(N42))),"",IF(ISNUMBER(H42),H42,0)+IF(ISNUMBER(N42),N42,0)))</f>
        <v>139</v>
      </c>
    </row>
    <row r="43">
      <c r="B43" s="7" t="str">
        <f>IF(入力!$B30="","",入力!$B30)</f>
        <v>秋草　文恵</v>
      </c>
      <c r="C43" s="5">
        <f>IF(入力!$B30="","",IF(ISNUMBER(入力!$C30),入力!$C30,""))</f>
        <v>1.8</v>
      </c>
      <c r="D43" s="5">
        <f>IF(ISNUMBER(入力!$C30),MAX(0,入力!$C30-入力!$B$5),"")</f>
        <v>0.2</v>
      </c>
      <c r="E43" s="4">
        <f>IF(入力!$B30="","",IF(ISNUMBER(入力!$O30),入力!$O30,""))</f>
        <v>858</v>
      </c>
      <c r="F43" s="5">
        <f>IF(AND(ISNUMBER(入力!$C30),ISNUMBER(入力!$O30)),入力!$C30*入力!$O30,"")</f>
        <v>1544.4</v>
      </c>
      <c r="G43" s="5">
        <f>IF(AND(ISNUMBER(入力!$C30),ISNUMBER(入力!$O30)),MAX(0,入力!$C30-入力!$B$5)*入力!$O30,"")</f>
        <v>171.6</v>
      </c>
      <c r="H43" s="4">
        <f>IF(ISNUMBER(G43),ROUND(G43/入力!$B$5,0),"")</f>
        <v>107</v>
      </c>
      <c r="I43" s="5" t="str">
        <f>IF(入力!$B30="","",IF(ISNUMBER(入力!$D30),入力!$D30,""))</f>
        <v/>
      </c>
      <c r="J43" s="5" t="str">
        <f>IF(ISNUMBER(入力!$D30),MAX(0,入力!$D30-入力!$C$5),"")</f>
        <v/>
      </c>
      <c r="K43" s="4" t="str">
        <f>IF(入力!$B30="","",IF(ISNUMBER(入力!$P30),入力!$P30,""))</f>
        <v/>
      </c>
      <c r="L43" s="5" t="str">
        <f>IF(AND(ISNUMBER(入力!$D30),ISNUMBER(入力!$P30)),入力!$D30*入力!$P30,"")</f>
        <v/>
      </c>
      <c r="M43" s="5" t="str">
        <f>IF(AND(ISNUMBER(入力!$D30),ISNUMBER(入力!$P30)),MAX(0,入力!$D30-入力!$C$5)*入力!$P30,"")</f>
        <v/>
      </c>
      <c r="N43" s="4" t="str">
        <f>IF(ISNUMBER(M43),ROUND(M43/入力!$C$5,0),"")</f>
        <v/>
      </c>
      <c r="O43" s="5">
        <f>IF(入力!$B30="","",IF(AND(NOT(ISNUMBER(G43)),NOT(ISNUMBER(M43))),"",IF(ISNUMBER(G43),G43,0)+IF(ISNUMBER(M43),M43,0)))</f>
        <v>171.6</v>
      </c>
      <c r="P43" s="4">
        <f>IF(入力!$B30="","",IF(AND(NOT(ISNUMBER(H43)),NOT(ISNUMBER(N43))),"",IF(ISNUMBER(H43),H43,0)+IF(ISNUMBER(N43),N43,0)))</f>
        <v>107</v>
      </c>
    </row>
    <row r="44">
      <c r="B44" s="7" t="str">
        <f>IF(入力!$B31="","",入力!$B31)</f>
        <v>向井　ひかり</v>
      </c>
      <c r="C44" s="5">
        <f>IF(入力!$B31="","",IF(ISNUMBER(入力!$C31),入力!$C31,""))</f>
        <v>1.5</v>
      </c>
      <c r="D44" s="5">
        <f>IF(ISNUMBER(入力!$C31),MAX(0,入力!$C31-入力!$B$5),"")</f>
        <v>0</v>
      </c>
      <c r="E44" s="4">
        <f>IF(入力!$B31="","",IF(ISNUMBER(入力!$O31),入力!$O31,""))</f>
        <v>866</v>
      </c>
      <c r="F44" s="5">
        <f>IF(AND(ISNUMBER(入力!$C31),ISNUMBER(入力!$O31)),入力!$C31*入力!$O31,"")</f>
        <v>1299</v>
      </c>
      <c r="G44" s="5">
        <f>IF(AND(ISNUMBER(入力!$C31),ISNUMBER(入力!$O31)),MAX(0,入力!$C31-入力!$B$5)*入力!$O31,"")</f>
        <v>0</v>
      </c>
      <c r="H44" s="4">
        <f>IF(ISNUMBER(G44),ROUND(G44/入力!$B$5,0),"")</f>
        <v>0</v>
      </c>
      <c r="I44" s="5" t="str">
        <f>IF(入力!$B31="","",IF(ISNUMBER(入力!$D31),入力!$D31,""))</f>
        <v/>
      </c>
      <c r="J44" s="5" t="str">
        <f>IF(ISNUMBER(入力!$D31),MAX(0,入力!$D31-入力!$C$5),"")</f>
        <v/>
      </c>
      <c r="K44" s="4" t="str">
        <f>IF(入力!$B31="","",IF(ISNUMBER(入力!$P31),入力!$P31,""))</f>
        <v/>
      </c>
      <c r="L44" s="5" t="str">
        <f>IF(AND(ISNUMBER(入力!$D31),ISNUMBER(入力!$P31)),入力!$D31*入力!$P31,"")</f>
        <v/>
      </c>
      <c r="M44" s="5" t="str">
        <f>IF(AND(ISNUMBER(入力!$D31),ISNUMBER(入力!$P31)),MAX(0,入力!$D31-入力!$C$5)*入力!$P31,"")</f>
        <v/>
      </c>
      <c r="N44" s="4" t="str">
        <f>IF(ISNUMBER(M44),ROUND(M44/入力!$C$5,0),"")</f>
        <v/>
      </c>
      <c r="O44" s="5">
        <f>IF(入力!$B31="","",IF(AND(NOT(ISNUMBER(G44)),NOT(ISNUMBER(M44))),"",IF(ISNUMBER(G44),G44,0)+IF(ISNUMBER(M44),M44,0)))</f>
        <v>0</v>
      </c>
      <c r="P44" s="4">
        <f>IF(入力!$B31="","",IF(AND(NOT(ISNUMBER(H44)),NOT(ISNUMBER(N44))),"",IF(ISNUMBER(H44),H44,0)+IF(ISNUMBER(N44),N44,0)))</f>
        <v>0</v>
      </c>
    </row>
    <row r="45">
      <c r="B45" s="7" t="str">
        <f>IF(入力!$B32="","",入力!$B32)</f>
        <v>高橋　正美</v>
      </c>
      <c r="C45" s="5">
        <f>IF(入力!$B32="","",IF(ISNUMBER(入力!$C32),入力!$C32,""))</f>
        <v>1.9</v>
      </c>
      <c r="D45" s="5">
        <f>IF(ISNUMBER(入力!$C32),MAX(0,入力!$C32-入力!$B$5),"")</f>
        <v>0.3</v>
      </c>
      <c r="E45" s="4">
        <f>IF(入力!$B32="","",IF(ISNUMBER(入力!$O32),入力!$O32,""))</f>
        <v>1090</v>
      </c>
      <c r="F45" s="5">
        <f>IF(AND(ISNUMBER(入力!$C32),ISNUMBER(入力!$O32)),入力!$C32*入力!$O32,"")</f>
        <v>2071</v>
      </c>
      <c r="G45" s="5">
        <f>IF(AND(ISNUMBER(入力!$C32),ISNUMBER(入力!$O32)),MAX(0,入力!$C32-入力!$B$5)*入力!$O32,"")</f>
        <v>327</v>
      </c>
      <c r="H45" s="4">
        <f>IF(ISNUMBER(G45),ROUND(G45/入力!$B$5,0),"")</f>
        <v>204</v>
      </c>
      <c r="I45" s="5" t="str">
        <f>IF(入力!$B32="","",IF(ISNUMBER(入力!$D32),入力!$D32,""))</f>
        <v/>
      </c>
      <c r="J45" s="5" t="str">
        <f>IF(ISNUMBER(入力!$D32),MAX(0,入力!$D32-入力!$C$5),"")</f>
        <v/>
      </c>
      <c r="K45" s="4" t="str">
        <f>IF(入力!$B32="","",IF(ISNUMBER(入力!$P32),入力!$P32,""))</f>
        <v/>
      </c>
      <c r="L45" s="5" t="str">
        <f>IF(AND(ISNUMBER(入力!$D32),ISNUMBER(入力!$P32)),入力!$D32*入力!$P32,"")</f>
        <v/>
      </c>
      <c r="M45" s="5" t="str">
        <f>IF(AND(ISNUMBER(入力!$D32),ISNUMBER(入力!$P32)),MAX(0,入力!$D32-入力!$C$5)*入力!$P32,"")</f>
        <v/>
      </c>
      <c r="N45" s="4" t="str">
        <f>IF(ISNUMBER(M45),ROUND(M45/入力!$C$5,0),"")</f>
        <v/>
      </c>
      <c r="O45" s="5">
        <f>IF(入力!$B32="","",IF(AND(NOT(ISNUMBER(G45)),NOT(ISNUMBER(M45))),"",IF(ISNUMBER(G45),G45,0)+IF(ISNUMBER(M45),M45,0)))</f>
        <v>327</v>
      </c>
      <c r="P45" s="4">
        <f>IF(入力!$B32="","",IF(AND(NOT(ISNUMBER(H45)),NOT(ISNUMBER(N45))),"",IF(ISNUMBER(H45),H45,0)+IF(ISNUMBER(N45),N45,0)))</f>
        <v>204</v>
      </c>
    </row>
    <row r="46">
      <c r="B46" s="7" t="str">
        <f>IF(入力!$B33="","",入力!$B33)</f>
        <v>廣瀬　こずえ</v>
      </c>
      <c r="C46" s="5">
        <f>IF(入力!$B33="","",IF(ISNUMBER(入力!$C33),入力!$C33,""))</f>
        <v>2</v>
      </c>
      <c r="D46" s="5">
        <f>IF(ISNUMBER(入力!$C33),MAX(0,入力!$C33-入力!$B$5),"")</f>
        <v>0.4</v>
      </c>
      <c r="E46" s="4">
        <f>IF(入力!$B33="","",IF(ISNUMBER(入力!$O33),入力!$O33,""))</f>
        <v>838</v>
      </c>
      <c r="F46" s="5">
        <f>IF(AND(ISNUMBER(入力!$C33),ISNUMBER(入力!$O33)),入力!$C33*入力!$O33,"")</f>
        <v>1676</v>
      </c>
      <c r="G46" s="5">
        <f>IF(AND(ISNUMBER(入力!$C33),ISNUMBER(入力!$O33)),MAX(0,入力!$C33-入力!$B$5)*入力!$O33,"")</f>
        <v>335.2</v>
      </c>
      <c r="H46" s="4">
        <f>IF(ISNUMBER(G46),ROUND(G46/入力!$B$5,0),"")</f>
        <v>209</v>
      </c>
      <c r="I46" s="5" t="str">
        <f>IF(入力!$B33="","",IF(ISNUMBER(入力!$D33),入力!$D33,""))</f>
        <v/>
      </c>
      <c r="J46" s="5" t="str">
        <f>IF(ISNUMBER(入力!$D33),MAX(0,入力!$D33-入力!$C$5),"")</f>
        <v/>
      </c>
      <c r="K46" s="4" t="str">
        <f>IF(入力!$B33="","",IF(ISNUMBER(入力!$P33),入力!$P33,""))</f>
        <v/>
      </c>
      <c r="L46" s="5" t="str">
        <f>IF(AND(ISNUMBER(入力!$D33),ISNUMBER(入力!$P33)),入力!$D33*入力!$P33,"")</f>
        <v/>
      </c>
      <c r="M46" s="5" t="str">
        <f>IF(AND(ISNUMBER(入力!$D33),ISNUMBER(入力!$P33)),MAX(0,入力!$D33-入力!$C$5)*入力!$P33,"")</f>
        <v/>
      </c>
      <c r="N46" s="4" t="str">
        <f>IF(ISNUMBER(M46),ROUND(M46/入力!$C$5,0),"")</f>
        <v/>
      </c>
      <c r="O46" s="5">
        <f>IF(入力!$B33="","",IF(AND(NOT(ISNUMBER(G46)),NOT(ISNUMBER(M46))),"",IF(ISNUMBER(G46),G46,0)+IF(ISNUMBER(M46),M46,0)))</f>
        <v>335.2</v>
      </c>
      <c r="P46" s="4">
        <f>IF(入力!$B33="","",IF(AND(NOT(ISNUMBER(H46)),NOT(ISNUMBER(N46))),"",IF(ISNUMBER(H46),H46,0)+IF(ISNUMBER(N46),N46,0)))</f>
        <v>209</v>
      </c>
    </row>
    <row r="47">
      <c r="B47" s="7" t="str">
        <f>IF(入力!$B34="","",入力!$B34)</f>
        <v>石戸谷　亜子</v>
      </c>
      <c r="C47" s="5">
        <f>IF(入力!$B34="","",IF(ISNUMBER(入力!$C34),入力!$C34,""))</f>
        <v>1.3</v>
      </c>
      <c r="D47" s="5">
        <f>IF(ISNUMBER(入力!$C34),MAX(0,入力!$C34-入力!$B$5),"")</f>
        <v>0</v>
      </c>
      <c r="E47" s="4" t="str">
        <f>IF(入力!$B34="","",IF(ISNUMBER(入力!$O34),入力!$O34,""))</f>
        <v/>
      </c>
      <c r="F47" s="5" t="str">
        <f>IF(AND(ISNUMBER(入力!$C34),ISNUMBER(入力!$O34)),入力!$C34*入力!$O34,"")</f>
        <v/>
      </c>
      <c r="G47" s="5" t="str">
        <f>IF(AND(ISNUMBER(入力!$C34),ISNUMBER(入力!$O34)),MAX(0,入力!$C34-入力!$B$5)*入力!$O34,"")</f>
        <v/>
      </c>
      <c r="H47" s="4" t="str">
        <f>IF(ISNUMBER(G47),ROUND(G47/入力!$B$5,0),"")</f>
        <v/>
      </c>
      <c r="I47" s="5" t="str">
        <f>IF(入力!$B34="","",IF(ISNUMBER(入力!$D34),入力!$D34,""))</f>
        <v/>
      </c>
      <c r="J47" s="5" t="str">
        <f>IF(ISNUMBER(入力!$D34),MAX(0,入力!$D34-入力!$C$5),"")</f>
        <v/>
      </c>
      <c r="K47" s="4" t="str">
        <f>IF(入力!$B34="","",IF(ISNUMBER(入力!$P34),入力!$P34,""))</f>
        <v/>
      </c>
      <c r="L47" s="5" t="str">
        <f>IF(AND(ISNUMBER(入力!$D34),ISNUMBER(入力!$P34)),入力!$D34*入力!$P34,"")</f>
        <v/>
      </c>
      <c r="M47" s="5" t="str">
        <f>IF(AND(ISNUMBER(入力!$D34),ISNUMBER(入力!$P34)),MAX(0,入力!$D34-入力!$C$5)*入力!$P34,"")</f>
        <v/>
      </c>
      <c r="N47" s="4" t="str">
        <f>IF(ISNUMBER(M47),ROUND(M47/入力!$C$5,0),"")</f>
        <v/>
      </c>
      <c r="O47" s="5" t="str">
        <f>IF(入力!$B34="","",IF(AND(NOT(ISNUMBER(G47)),NOT(ISNUMBER(M47))),"",IF(ISNUMBER(G47),G47,0)+IF(ISNUMBER(M47),M47,0)))</f>
        <v/>
      </c>
      <c r="P47" s="4" t="str">
        <f>IF(入力!$B34="","",IF(AND(NOT(ISNUMBER(H47)),NOT(ISNUMBER(N47))),"",IF(ISNUMBER(H47),H47,0)+IF(ISNUMBER(N47),N47,0)))</f>
        <v/>
      </c>
    </row>
    <row r="48">
      <c r="B48" s="7" t="str">
        <f>IF(入力!$B35="","",入力!$B35)</f>
        <v>奥野　愛海</v>
      </c>
      <c r="C48" s="5" t="str">
        <f>IF(入力!$B35="","",IF(ISNUMBER(入力!$C35),入力!$C35,""))</f>
        <v/>
      </c>
      <c r="D48" s="5" t="str">
        <f>IF(ISNUMBER(入力!$C35),MAX(0,入力!$C35-入力!$B$5),"")</f>
        <v/>
      </c>
      <c r="E48" s="4" t="str">
        <f>IF(入力!$B35="","",IF(ISNUMBER(入力!$O35),入力!$O35,""))</f>
        <v/>
      </c>
      <c r="F48" s="5" t="str">
        <f>IF(AND(ISNUMBER(入力!$C35),ISNUMBER(入力!$O35)),入力!$C35*入力!$O35,"")</f>
        <v/>
      </c>
      <c r="G48" s="5" t="str">
        <f>IF(AND(ISNUMBER(入力!$C35),ISNUMBER(入力!$O35)),MAX(0,入力!$C35-入力!$B$5)*入力!$O35,"")</f>
        <v/>
      </c>
      <c r="H48" s="4" t="str">
        <f>IF(ISNUMBER(G48),ROUND(G48/入力!$B$5,0),"")</f>
        <v/>
      </c>
      <c r="I48" s="5" t="str">
        <f>IF(入力!$B35="","",IF(ISNUMBER(入力!$D35),入力!$D35,""))</f>
        <v/>
      </c>
      <c r="J48" s="5" t="str">
        <f>IF(ISNUMBER(入力!$D35),MAX(0,入力!$D35-入力!$C$5),"")</f>
        <v/>
      </c>
      <c r="K48" s="4" t="str">
        <f>IF(入力!$B35="","",IF(ISNUMBER(入力!$P35),入力!$P35,""))</f>
        <v/>
      </c>
      <c r="L48" s="5" t="str">
        <f>IF(AND(ISNUMBER(入力!$D35),ISNUMBER(入力!$P35)),入力!$D35*入力!$P35,"")</f>
        <v/>
      </c>
      <c r="M48" s="5" t="str">
        <f>IF(AND(ISNUMBER(入力!$D35),ISNUMBER(入力!$P35)),MAX(0,入力!$D35-入力!$C$5)*入力!$P35,"")</f>
        <v/>
      </c>
      <c r="N48" s="4" t="str">
        <f>IF(ISNUMBER(M48),ROUND(M48/入力!$C$5,0),"")</f>
        <v/>
      </c>
      <c r="O48" s="5" t="str">
        <f>IF(入力!$B35="","",IF(AND(NOT(ISNUMBER(G48)),NOT(ISNUMBER(M48))),"",IF(ISNUMBER(G48),G48,0)+IF(ISNUMBER(M48),M48,0)))</f>
        <v/>
      </c>
      <c r="P48" s="4" t="str">
        <f>IF(入力!$B35="","",IF(AND(NOT(ISNUMBER(H48)),NOT(ISNUMBER(N48))),"",IF(ISNUMBER(H48),H48,0)+IF(ISNUMBER(N48),N48,0)))</f>
        <v/>
      </c>
    </row>
    <row r="49">
      <c r="B49" s="7" t="str">
        <f>IF(入力!$B36="","",入力!$B36)</f>
        <v>平田　学</v>
      </c>
      <c r="C49" s="5" t="str">
        <f>IF(入力!$B36="","",IF(ISNUMBER(入力!$C36),入力!$C36,""))</f>
        <v/>
      </c>
      <c r="D49" s="5" t="str">
        <f>IF(ISNUMBER(入力!$C36),MAX(0,入力!$C36-入力!$B$5),"")</f>
        <v/>
      </c>
      <c r="E49" s="4" t="str">
        <f>IF(入力!$B36="","",IF(ISNUMBER(入力!$O36),入力!$O36,""))</f>
        <v/>
      </c>
      <c r="F49" s="5" t="str">
        <f>IF(AND(ISNUMBER(入力!$C36),ISNUMBER(入力!$O36)),入力!$C36*入力!$O36,"")</f>
        <v/>
      </c>
      <c r="G49" s="5" t="str">
        <f>IF(AND(ISNUMBER(入力!$C36),ISNUMBER(入力!$O36)),MAX(0,入力!$C36-入力!$B$5)*入力!$O36,"")</f>
        <v/>
      </c>
      <c r="H49" s="4" t="str">
        <f>IF(ISNUMBER(G49),ROUND(G49/入力!$B$5,0),"")</f>
        <v/>
      </c>
      <c r="I49" s="5" t="str">
        <f>IF(入力!$B36="","",IF(ISNUMBER(入力!$D36),入力!$D36,""))</f>
        <v/>
      </c>
      <c r="J49" s="5" t="str">
        <f>IF(ISNUMBER(入力!$D36),MAX(0,入力!$D36-入力!$C$5),"")</f>
        <v/>
      </c>
      <c r="K49" s="4" t="str">
        <f>IF(入力!$B36="","",IF(ISNUMBER(入力!$P36),入力!$P36,""))</f>
        <v/>
      </c>
      <c r="L49" s="5" t="str">
        <f>IF(AND(ISNUMBER(入力!$D36),ISNUMBER(入力!$P36)),入力!$D36*入力!$P36,"")</f>
        <v/>
      </c>
      <c r="M49" s="5" t="str">
        <f>IF(AND(ISNUMBER(入力!$D36),ISNUMBER(入力!$P36)),MAX(0,入力!$D36-入力!$C$5)*入力!$P36,"")</f>
        <v/>
      </c>
      <c r="N49" s="4" t="str">
        <f>IF(ISNUMBER(M49),ROUND(M49/入力!$C$5,0),"")</f>
        <v/>
      </c>
      <c r="O49" s="5" t="str">
        <f>IF(入力!$B36="","",IF(AND(NOT(ISNUMBER(G49)),NOT(ISNUMBER(M49))),"",IF(ISNUMBER(G49),G49,0)+IF(ISNUMBER(M49),M49,0)))</f>
        <v/>
      </c>
      <c r="P49" s="4" t="str">
        <f>IF(入力!$B36="","",IF(AND(NOT(ISNUMBER(H49)),NOT(ISNUMBER(N49))),"",IF(ISNUMBER(H49),H49,0)+IF(ISNUMBER(N49),N49,0)))</f>
        <v/>
      </c>
    </row>
    <row r="50">
      <c r="B50" s="7" t="str">
        <f>IF(入力!$B37="","",入力!$B37)</f>
        <v/>
      </c>
      <c r="C50" s="5" t="str">
        <f>IF(入力!$B37="","",IF(ISNUMBER(入力!$C37),入力!$C37,""))</f>
        <v/>
      </c>
      <c r="D50" s="5" t="str">
        <f>IF(ISNUMBER(入力!$C37),MAX(0,入力!$C37-入力!$B$5),"")</f>
        <v/>
      </c>
      <c r="E50" s="4" t="str">
        <f>IF(入力!$B37="","",IF(ISNUMBER(入力!$O37),入力!$O37,""))</f>
        <v/>
      </c>
      <c r="F50" s="5" t="str">
        <f>IF(AND(ISNUMBER(入力!$C37),ISNUMBER(入力!$O37)),入力!$C37*入力!$O37,"")</f>
        <v/>
      </c>
      <c r="G50" s="5" t="str">
        <f>IF(AND(ISNUMBER(入力!$C37),ISNUMBER(入力!$O37)),MAX(0,入力!$C37-入力!$B$5)*入力!$O37,"")</f>
        <v/>
      </c>
      <c r="H50" s="4" t="str">
        <f>IF(ISNUMBER(G50),ROUND(G50/入力!$B$5,0),"")</f>
        <v/>
      </c>
      <c r="I50" s="5" t="str">
        <f>IF(入力!$B37="","",IF(ISNUMBER(入力!$D37),入力!$D37,""))</f>
        <v/>
      </c>
      <c r="J50" s="5" t="str">
        <f>IF(ISNUMBER(入力!$D37),MAX(0,入力!$D37-入力!$C$5),"")</f>
        <v/>
      </c>
      <c r="K50" s="4" t="str">
        <f>IF(入力!$B37="","",IF(ISNUMBER(入力!$P37),入力!$P37,""))</f>
        <v/>
      </c>
      <c r="L50" s="5" t="str">
        <f>IF(AND(ISNUMBER(入力!$D37),ISNUMBER(入力!$P37)),入力!$D37*入力!$P37,"")</f>
        <v/>
      </c>
      <c r="M50" s="5" t="str">
        <f>IF(AND(ISNUMBER(入力!$D37),ISNUMBER(入力!$P37)),MAX(0,入力!$D37-入力!$C$5)*入力!$P37,"")</f>
        <v/>
      </c>
      <c r="N50" s="4" t="str">
        <f>IF(ISNUMBER(M50),ROUND(M50/入力!$C$5,0),"")</f>
        <v/>
      </c>
      <c r="O50" s="5" t="str">
        <f>IF(入力!$B37="","",IF(AND(NOT(ISNUMBER(G50)),NOT(ISNUMBER(M50))),"",IF(ISNUMBER(G50),G50,0)+IF(ISNUMBER(M50),M50,0)))</f>
        <v/>
      </c>
      <c r="P50" s="4" t="str">
        <f>IF(入力!$B37="","",IF(AND(NOT(ISNUMBER(H50)),NOT(ISNUMBER(N50))),"",IF(ISNUMBER(H50),H50,0)+IF(ISNUMBER(N50),N50,0)))</f>
        <v/>
      </c>
    </row>
    <row r="51">
      <c r="B51" s="7" t="str">
        <f>IF(入力!$B38="","",入力!$B38)</f>
        <v/>
      </c>
      <c r="C51" s="5" t="str">
        <f>IF(入力!$B38="","",IF(ISNUMBER(入力!$C38),入力!$C38,""))</f>
        <v/>
      </c>
      <c r="D51" s="5" t="str">
        <f>IF(ISNUMBER(入力!$C38),MAX(0,入力!$C38-入力!$B$5),"")</f>
        <v/>
      </c>
      <c r="E51" s="4" t="str">
        <f>IF(入力!$B38="","",IF(ISNUMBER(入力!$O38),入力!$O38,""))</f>
        <v/>
      </c>
      <c r="F51" s="5" t="str">
        <f>IF(AND(ISNUMBER(入力!$C38),ISNUMBER(入力!$O38)),入力!$C38*入力!$O38,"")</f>
        <v/>
      </c>
      <c r="G51" s="5" t="str">
        <f>IF(AND(ISNUMBER(入力!$C38),ISNUMBER(入力!$O38)),MAX(0,入力!$C38-入力!$B$5)*入力!$O38,"")</f>
        <v/>
      </c>
      <c r="H51" s="4" t="str">
        <f>IF(ISNUMBER(G51),ROUND(G51/入力!$B$5,0),"")</f>
        <v/>
      </c>
      <c r="I51" s="5" t="str">
        <f>IF(入力!$B38="","",IF(ISNUMBER(入力!$D38),入力!$D38,""))</f>
        <v/>
      </c>
      <c r="J51" s="5" t="str">
        <f>IF(ISNUMBER(入力!$D38),MAX(0,入力!$D38-入力!$C$5),"")</f>
        <v/>
      </c>
      <c r="K51" s="4" t="str">
        <f>IF(入力!$B38="","",IF(ISNUMBER(入力!$P38),入力!$P38,""))</f>
        <v/>
      </c>
      <c r="L51" s="5" t="str">
        <f>IF(AND(ISNUMBER(入力!$D38),ISNUMBER(入力!$P38)),入力!$D38*入力!$P38,"")</f>
        <v/>
      </c>
      <c r="M51" s="5" t="str">
        <f>IF(AND(ISNUMBER(入力!$D38),ISNUMBER(入力!$P38)),MAX(0,入力!$D38-入力!$C$5)*入力!$P38,"")</f>
        <v/>
      </c>
      <c r="N51" s="4" t="str">
        <f>IF(ISNUMBER(M51),ROUND(M51/入力!$C$5,0),"")</f>
        <v/>
      </c>
      <c r="O51" s="5" t="str">
        <f>IF(入力!$B38="","",IF(AND(NOT(ISNUMBER(G51)),NOT(ISNUMBER(M51))),"",IF(ISNUMBER(G51),G51,0)+IF(ISNUMBER(M51),M51,0)))</f>
        <v/>
      </c>
      <c r="P51" s="4" t="str">
        <f>IF(入力!$B38="","",IF(AND(NOT(ISNUMBER(H51)),NOT(ISNUMBER(N51))),"",IF(ISNUMBER(H51),H51,0)+IF(ISNUMBER(N51),N51,0)))</f>
        <v/>
      </c>
    </row>
    <row r="52">
      <c r="B52" s="7" t="str">
        <f>IF(入力!$B39="","",入力!$B39)</f>
        <v/>
      </c>
      <c r="C52" s="5" t="str">
        <f>IF(入力!$B39="","",IF(ISNUMBER(入力!$C39),入力!$C39,""))</f>
        <v/>
      </c>
      <c r="D52" s="5" t="str">
        <f>IF(ISNUMBER(入力!$C39),MAX(0,入力!$C39-入力!$B$5),"")</f>
        <v/>
      </c>
      <c r="E52" s="4" t="str">
        <f>IF(入力!$B39="","",IF(ISNUMBER(入力!$O39),入力!$O39,""))</f>
        <v/>
      </c>
      <c r="F52" s="5" t="str">
        <f>IF(AND(ISNUMBER(入力!$C39),ISNUMBER(入力!$O39)),入力!$C39*入力!$O39,"")</f>
        <v/>
      </c>
      <c r="G52" s="5" t="str">
        <f>IF(AND(ISNUMBER(入力!$C39),ISNUMBER(入力!$O39)),MAX(0,入力!$C39-入力!$B$5)*入力!$O39,"")</f>
        <v/>
      </c>
      <c r="H52" s="4" t="str">
        <f>IF(ISNUMBER(G52),ROUND(G52/入力!$B$5,0),"")</f>
        <v/>
      </c>
      <c r="I52" s="5" t="str">
        <f>IF(入力!$B39="","",IF(ISNUMBER(入力!$D39),入力!$D39,""))</f>
        <v/>
      </c>
      <c r="J52" s="5" t="str">
        <f>IF(ISNUMBER(入力!$D39),MAX(0,入力!$D39-入力!$C$5),"")</f>
        <v/>
      </c>
      <c r="K52" s="4" t="str">
        <f>IF(入力!$B39="","",IF(ISNUMBER(入力!$P39),入力!$P39,""))</f>
        <v/>
      </c>
      <c r="L52" s="5" t="str">
        <f>IF(AND(ISNUMBER(入力!$D39),ISNUMBER(入力!$P39)),入力!$D39*入力!$P39,"")</f>
        <v/>
      </c>
      <c r="M52" s="5" t="str">
        <f>IF(AND(ISNUMBER(入力!$D39),ISNUMBER(入力!$P39)),MAX(0,入力!$D39-入力!$C$5)*入力!$P39,"")</f>
        <v/>
      </c>
      <c r="N52" s="4" t="str">
        <f>IF(ISNUMBER(M52),ROUND(M52/入力!$C$5,0),"")</f>
        <v/>
      </c>
      <c r="O52" s="5" t="str">
        <f>IF(入力!$B39="","",IF(AND(NOT(ISNUMBER(G52)),NOT(ISNUMBER(M52))),"",IF(ISNUMBER(G52),G52,0)+IF(ISNUMBER(M52),M52,0)))</f>
        <v/>
      </c>
      <c r="P52" s="4" t="str">
        <f>IF(入力!$B39="","",IF(AND(NOT(ISNUMBER(H52)),NOT(ISNUMBER(N52))),"",IF(ISNUMBER(H52),H52,0)+IF(ISNUMBER(N52),N52,0)))</f>
        <v/>
      </c>
    </row>
    <row r="53">
      <c r="B53" s="7" t="str">
        <f>IF(入力!$B40="","",入力!$B40)</f>
        <v/>
      </c>
      <c r="C53" s="5" t="str">
        <f>IF(入力!$B40="","",IF(ISNUMBER(入力!$C40),入力!$C40,""))</f>
        <v/>
      </c>
      <c r="D53" s="5" t="str">
        <f>IF(ISNUMBER(入力!$C40),MAX(0,入力!$C40-入力!$B$5),"")</f>
        <v/>
      </c>
      <c r="E53" s="4" t="str">
        <f>IF(入力!$B40="","",IF(ISNUMBER(入力!$O40),入力!$O40,""))</f>
        <v/>
      </c>
      <c r="F53" s="5" t="str">
        <f>IF(AND(ISNUMBER(入力!$C40),ISNUMBER(入力!$O40)),入力!$C40*入力!$O40,"")</f>
        <v/>
      </c>
      <c r="G53" s="5" t="str">
        <f>IF(AND(ISNUMBER(入力!$C40),ISNUMBER(入力!$O40)),MAX(0,入力!$C40-入力!$B$5)*入力!$O40,"")</f>
        <v/>
      </c>
      <c r="H53" s="4" t="str">
        <f>IF(ISNUMBER(G53),ROUND(G53/入力!$B$5,0),"")</f>
        <v/>
      </c>
      <c r="I53" s="5" t="str">
        <f>IF(入力!$B40="","",IF(ISNUMBER(入力!$D40),入力!$D40,""))</f>
        <v/>
      </c>
      <c r="J53" s="5" t="str">
        <f>IF(ISNUMBER(入力!$D40),MAX(0,入力!$D40-入力!$C$5),"")</f>
        <v/>
      </c>
      <c r="K53" s="4" t="str">
        <f>IF(入力!$B40="","",IF(ISNUMBER(入力!$P40),入力!$P40,""))</f>
        <v/>
      </c>
      <c r="L53" s="5" t="str">
        <f>IF(AND(ISNUMBER(入力!$D40),ISNUMBER(入力!$P40)),入力!$D40*入力!$P40,"")</f>
        <v/>
      </c>
      <c r="M53" s="5" t="str">
        <f>IF(AND(ISNUMBER(入力!$D40),ISNUMBER(入力!$P40)),MAX(0,入力!$D40-入力!$C$5)*入力!$P40,"")</f>
        <v/>
      </c>
      <c r="N53" s="4" t="str">
        <f>IF(ISNUMBER(M53),ROUND(M53/入力!$C$5,0),"")</f>
        <v/>
      </c>
      <c r="O53" s="5" t="str">
        <f>IF(入力!$B40="","",IF(AND(NOT(ISNUMBER(G53)),NOT(ISNUMBER(M53))),"",IF(ISNUMBER(G53),G53,0)+IF(ISNUMBER(M53),M53,0)))</f>
        <v/>
      </c>
      <c r="P53" s="4" t="str">
        <f>IF(入力!$B40="","",IF(AND(NOT(ISNUMBER(H53)),NOT(ISNUMBER(N53))),"",IF(ISNUMBER(H53),H53,0)+IF(ISNUMBER(N53),N53,0)))</f>
        <v/>
      </c>
    </row>
    <row r="54">
      <c r="B54" s="7" t="str">
        <f>IF(入力!$B41="","",入力!$B41)</f>
        <v/>
      </c>
      <c r="C54" s="5" t="str">
        <f>IF(入力!$B41="","",IF(ISNUMBER(入力!$C41),入力!$C41,""))</f>
        <v/>
      </c>
      <c r="D54" s="5" t="str">
        <f>IF(ISNUMBER(入力!$C41),MAX(0,入力!$C41-入力!$B$5),"")</f>
        <v/>
      </c>
      <c r="E54" s="4" t="str">
        <f>IF(入力!$B41="","",IF(ISNUMBER(入力!$O41),入力!$O41,""))</f>
        <v/>
      </c>
      <c r="F54" s="5" t="str">
        <f>IF(AND(ISNUMBER(入力!$C41),ISNUMBER(入力!$O41)),入力!$C41*入力!$O41,"")</f>
        <v/>
      </c>
      <c r="G54" s="5" t="str">
        <f>IF(AND(ISNUMBER(入力!$C41),ISNUMBER(入力!$O41)),MAX(0,入力!$C41-入力!$B$5)*入力!$O41,"")</f>
        <v/>
      </c>
      <c r="H54" s="4" t="str">
        <f>IF(ISNUMBER(G54),ROUND(G54/入力!$B$5,0),"")</f>
        <v/>
      </c>
      <c r="I54" s="5" t="str">
        <f>IF(入力!$B41="","",IF(ISNUMBER(入力!$D41),入力!$D41,""))</f>
        <v/>
      </c>
      <c r="J54" s="5" t="str">
        <f>IF(ISNUMBER(入力!$D41),MAX(0,入力!$D41-入力!$C$5),"")</f>
        <v/>
      </c>
      <c r="K54" s="4" t="str">
        <f>IF(入力!$B41="","",IF(ISNUMBER(入力!$P41),入力!$P41,""))</f>
        <v/>
      </c>
      <c r="L54" s="5" t="str">
        <f>IF(AND(ISNUMBER(入力!$D41),ISNUMBER(入力!$P41)),入力!$D41*入力!$P41,"")</f>
        <v/>
      </c>
      <c r="M54" s="5" t="str">
        <f>IF(AND(ISNUMBER(入力!$D41),ISNUMBER(入力!$P41)),MAX(0,入力!$D41-入力!$C$5)*入力!$P41,"")</f>
        <v/>
      </c>
      <c r="N54" s="4" t="str">
        <f>IF(ISNUMBER(M54),ROUND(M54/入力!$C$5,0),"")</f>
        <v/>
      </c>
      <c r="O54" s="5" t="str">
        <f>IF(入力!$B41="","",IF(AND(NOT(ISNUMBER(G54)),NOT(ISNUMBER(M54))),"",IF(ISNUMBER(G54),G54,0)+IF(ISNUMBER(M54),M54,0)))</f>
        <v/>
      </c>
      <c r="P54" s="4" t="str">
        <f>IF(入力!$B41="","",IF(AND(NOT(ISNUMBER(H54)),NOT(ISNUMBER(N54))),"",IF(ISNUMBER(H54),H54,0)+IF(ISNUMBER(N54),N54,0)))</f>
        <v/>
      </c>
    </row>
    <row r="55">
      <c r="B55" s="7" t="str">
        <f>IF(入力!$B42="","",入力!$B42)</f>
        <v/>
      </c>
      <c r="C55" s="5" t="str">
        <f>IF(入力!$B42="","",IF(ISNUMBER(入力!$C42),入力!$C42,""))</f>
        <v/>
      </c>
      <c r="D55" s="5" t="str">
        <f>IF(ISNUMBER(入力!$C42),MAX(0,入力!$C42-入力!$B$5),"")</f>
        <v/>
      </c>
      <c r="E55" s="4" t="str">
        <f>IF(入力!$B42="","",IF(ISNUMBER(入力!$O42),入力!$O42,""))</f>
        <v/>
      </c>
      <c r="F55" s="5" t="str">
        <f>IF(AND(ISNUMBER(入力!$C42),ISNUMBER(入力!$O42)),入力!$C42*入力!$O42,"")</f>
        <v/>
      </c>
      <c r="G55" s="5" t="str">
        <f>IF(AND(ISNUMBER(入力!$C42),ISNUMBER(入力!$O42)),MAX(0,入力!$C42-入力!$B$5)*入力!$O42,"")</f>
        <v/>
      </c>
      <c r="H55" s="4" t="str">
        <f>IF(ISNUMBER(G55),ROUND(G55/入力!$B$5,0),"")</f>
        <v/>
      </c>
      <c r="I55" s="5" t="str">
        <f>IF(入力!$B42="","",IF(ISNUMBER(入力!$D42),入力!$D42,""))</f>
        <v/>
      </c>
      <c r="J55" s="5" t="str">
        <f>IF(ISNUMBER(入力!$D42),MAX(0,入力!$D42-入力!$C$5),"")</f>
        <v/>
      </c>
      <c r="K55" s="4" t="str">
        <f>IF(入力!$B42="","",IF(ISNUMBER(入力!$P42),入力!$P42,""))</f>
        <v/>
      </c>
      <c r="L55" s="5" t="str">
        <f>IF(AND(ISNUMBER(入力!$D42),ISNUMBER(入力!$P42)),入力!$D42*入力!$P42,"")</f>
        <v/>
      </c>
      <c r="M55" s="5" t="str">
        <f>IF(AND(ISNUMBER(入力!$D42),ISNUMBER(入力!$P42)),MAX(0,入力!$D42-入力!$C$5)*入力!$P42,"")</f>
        <v/>
      </c>
      <c r="N55" s="4" t="str">
        <f>IF(ISNUMBER(M55),ROUND(M55/入力!$C$5,0),"")</f>
        <v/>
      </c>
      <c r="O55" s="5" t="str">
        <f>IF(入力!$B42="","",IF(AND(NOT(ISNUMBER(G55)),NOT(ISNUMBER(M55))),"",IF(ISNUMBER(G55),G55,0)+IF(ISNUMBER(M55),M55,0)))</f>
        <v/>
      </c>
      <c r="P55" s="4" t="str">
        <f>IF(入力!$B42="","",IF(AND(NOT(ISNUMBER(H55)),NOT(ISNUMBER(N55))),"",IF(ISNUMBER(H55),H55,0)+IF(ISNUMBER(N55),N55,0)))</f>
        <v/>
      </c>
    </row>
    <row r="56">
      <c r="B56" s="7" t="str">
        <f>IF(入力!$B43="","",入力!$B43)</f>
        <v/>
      </c>
      <c r="C56" s="5" t="str">
        <f>IF(入力!$B43="","",IF(ISNUMBER(入力!$C43),入力!$C43,""))</f>
        <v/>
      </c>
      <c r="D56" s="5" t="str">
        <f>IF(ISNUMBER(入力!$C43),MAX(0,入力!$C43-入力!$B$5),"")</f>
        <v/>
      </c>
      <c r="E56" s="4" t="str">
        <f>IF(入力!$B43="","",IF(ISNUMBER(入力!$O43),入力!$O43,""))</f>
        <v/>
      </c>
      <c r="F56" s="5" t="str">
        <f>IF(AND(ISNUMBER(入力!$C43),ISNUMBER(入力!$O43)),入力!$C43*入力!$O43,"")</f>
        <v/>
      </c>
      <c r="G56" s="5" t="str">
        <f>IF(AND(ISNUMBER(入力!$C43),ISNUMBER(入力!$O43)),MAX(0,入力!$C43-入力!$B$5)*入力!$O43,"")</f>
        <v/>
      </c>
      <c r="H56" s="4" t="str">
        <f>IF(ISNUMBER(G56),ROUND(G56/入力!$B$5,0),"")</f>
        <v/>
      </c>
      <c r="I56" s="5" t="str">
        <f>IF(入力!$B43="","",IF(ISNUMBER(入力!$D43),入力!$D43,""))</f>
        <v/>
      </c>
      <c r="J56" s="5" t="str">
        <f>IF(ISNUMBER(入力!$D43),MAX(0,入力!$D43-入力!$C$5),"")</f>
        <v/>
      </c>
      <c r="K56" s="4" t="str">
        <f>IF(入力!$B43="","",IF(ISNUMBER(入力!$P43),入力!$P43,""))</f>
        <v/>
      </c>
      <c r="L56" s="5" t="str">
        <f>IF(AND(ISNUMBER(入力!$D43),ISNUMBER(入力!$P43)),入力!$D43*入力!$P43,"")</f>
        <v/>
      </c>
      <c r="M56" s="5" t="str">
        <f>IF(AND(ISNUMBER(入力!$D43),ISNUMBER(入力!$P43)),MAX(0,入力!$D43-入力!$C$5)*入力!$P43,"")</f>
        <v/>
      </c>
      <c r="N56" s="4" t="str">
        <f>IF(ISNUMBER(M56),ROUND(M56/入力!$C$5,0),"")</f>
        <v/>
      </c>
      <c r="O56" s="5" t="str">
        <f>IF(入力!$B43="","",IF(AND(NOT(ISNUMBER(G56)),NOT(ISNUMBER(M56))),"",IF(ISNUMBER(G56),G56,0)+IF(ISNUMBER(M56),M56,0)))</f>
        <v/>
      </c>
      <c r="P56" s="4" t="str">
        <f>IF(入力!$B43="","",IF(AND(NOT(ISNUMBER(H56)),NOT(ISNUMBER(N56))),"",IF(ISNUMBER(H56),H56,0)+IF(ISNUMBER(N56),N56,0)))</f>
        <v/>
      </c>
    </row>
    <row r="57">
      <c r="B57" s="7" t="str">
        <f>IF(入力!$B44="","",入力!$B44)</f>
        <v/>
      </c>
      <c r="C57" s="5" t="str">
        <f>IF(入力!$B44="","",IF(ISNUMBER(入力!$C44),入力!$C44,""))</f>
        <v/>
      </c>
      <c r="D57" s="5" t="str">
        <f>IF(ISNUMBER(入力!$C44),MAX(0,入力!$C44-入力!$B$5),"")</f>
        <v/>
      </c>
      <c r="E57" s="4" t="str">
        <f>IF(入力!$B44="","",IF(ISNUMBER(入力!$O44),入力!$O44,""))</f>
        <v/>
      </c>
      <c r="F57" s="5" t="str">
        <f>IF(AND(ISNUMBER(入力!$C44),ISNUMBER(入力!$O44)),入力!$C44*入力!$O44,"")</f>
        <v/>
      </c>
      <c r="G57" s="5" t="str">
        <f>IF(AND(ISNUMBER(入力!$C44),ISNUMBER(入力!$O44)),MAX(0,入力!$C44-入力!$B$5)*入力!$O44,"")</f>
        <v/>
      </c>
      <c r="H57" s="4" t="str">
        <f>IF(ISNUMBER(G57),ROUND(G57/入力!$B$5,0),"")</f>
        <v/>
      </c>
      <c r="I57" s="5" t="str">
        <f>IF(入力!$B44="","",IF(ISNUMBER(入力!$D44),入力!$D44,""))</f>
        <v/>
      </c>
      <c r="J57" s="5" t="str">
        <f>IF(ISNUMBER(入力!$D44),MAX(0,入力!$D44-入力!$C$5),"")</f>
        <v/>
      </c>
      <c r="K57" s="4" t="str">
        <f>IF(入力!$B44="","",IF(ISNUMBER(入力!$P44),入力!$P44,""))</f>
        <v/>
      </c>
      <c r="L57" s="5" t="str">
        <f>IF(AND(ISNUMBER(入力!$D44),ISNUMBER(入力!$P44)),入力!$D44*入力!$P44,"")</f>
        <v/>
      </c>
      <c r="M57" s="5" t="str">
        <f>IF(AND(ISNUMBER(入力!$D44),ISNUMBER(入力!$P44)),MAX(0,入力!$D44-入力!$C$5)*入力!$P44,"")</f>
        <v/>
      </c>
      <c r="N57" s="4" t="str">
        <f>IF(ISNUMBER(M57),ROUND(M57/入力!$C$5,0),"")</f>
        <v/>
      </c>
      <c r="O57" s="5" t="str">
        <f>IF(入力!$B44="","",IF(AND(NOT(ISNUMBER(G57)),NOT(ISNUMBER(M57))),"",IF(ISNUMBER(G57),G57,0)+IF(ISNUMBER(M57),M57,0)))</f>
        <v/>
      </c>
      <c r="P57" s="4" t="str">
        <f>IF(入力!$B44="","",IF(AND(NOT(ISNUMBER(H57)),NOT(ISNUMBER(N57))),"",IF(ISNUMBER(H57),H57,0)+IF(ISNUMBER(N57),N57,0)))</f>
        <v/>
      </c>
    </row>
    <row r="58">
      <c r="B58" s="7" t="str">
        <f>IF(入力!$B45="","",入力!$B45)</f>
        <v/>
      </c>
      <c r="C58" s="5" t="str">
        <f>IF(入力!$B45="","",IF(ISNUMBER(入力!$C45),入力!$C45,""))</f>
        <v/>
      </c>
      <c r="D58" s="5" t="str">
        <f>IF(ISNUMBER(入力!$C45),MAX(0,入力!$C45-入力!$B$5),"")</f>
        <v/>
      </c>
      <c r="E58" s="4" t="str">
        <f>IF(入力!$B45="","",IF(ISNUMBER(入力!$O45),入力!$O45,""))</f>
        <v/>
      </c>
      <c r="F58" s="5" t="str">
        <f>IF(AND(ISNUMBER(入力!$C45),ISNUMBER(入力!$O45)),入力!$C45*入力!$O45,"")</f>
        <v/>
      </c>
      <c r="G58" s="5" t="str">
        <f>IF(AND(ISNUMBER(入力!$C45),ISNUMBER(入力!$O45)),MAX(0,入力!$C45-入力!$B$5)*入力!$O45,"")</f>
        <v/>
      </c>
      <c r="H58" s="4" t="str">
        <f>IF(ISNUMBER(G58),ROUND(G58/入力!$B$5,0),"")</f>
        <v/>
      </c>
      <c r="I58" s="5" t="str">
        <f>IF(入力!$B45="","",IF(ISNUMBER(入力!$D45),入力!$D45,""))</f>
        <v/>
      </c>
      <c r="J58" s="5" t="str">
        <f>IF(ISNUMBER(入力!$D45),MAX(0,入力!$D45-入力!$C$5),"")</f>
        <v/>
      </c>
      <c r="K58" s="4" t="str">
        <f>IF(入力!$B45="","",IF(ISNUMBER(入力!$P45),入力!$P45,""))</f>
        <v/>
      </c>
      <c r="L58" s="5" t="str">
        <f>IF(AND(ISNUMBER(入力!$D45),ISNUMBER(入力!$P45)),入力!$D45*入力!$P45,"")</f>
        <v/>
      </c>
      <c r="M58" s="5" t="str">
        <f>IF(AND(ISNUMBER(入力!$D45),ISNUMBER(入力!$P45)),MAX(0,入力!$D45-入力!$C$5)*入力!$P45,"")</f>
        <v/>
      </c>
      <c r="N58" s="4" t="str">
        <f>IF(ISNUMBER(M58),ROUND(M58/入力!$C$5,0),"")</f>
        <v/>
      </c>
      <c r="O58" s="5" t="str">
        <f>IF(入力!$B45="","",IF(AND(NOT(ISNUMBER(G58)),NOT(ISNUMBER(M58))),"",IF(ISNUMBER(G58),G58,0)+IF(ISNUMBER(M58),M58,0)))</f>
        <v/>
      </c>
      <c r="P58" s="4" t="str">
        <f>IF(入力!$B45="","",IF(AND(NOT(ISNUMBER(H58)),NOT(ISNUMBER(N58))),"",IF(ISNUMBER(H58),H58,0)+IF(ISNUMBER(N58),N58,0)))</f>
        <v/>
      </c>
    </row>
    <row r="59">
      <c r="B59" s="7" t="str">
        <f>IF(入力!$B46="","",入力!$B46)</f>
        <v/>
      </c>
      <c r="C59" s="5" t="str">
        <f>IF(入力!$B46="","",IF(ISNUMBER(入力!$C46),入力!$C46,""))</f>
        <v/>
      </c>
      <c r="D59" s="5" t="str">
        <f>IF(ISNUMBER(入力!$C46),MAX(0,入力!$C46-入力!$B$5),"")</f>
        <v/>
      </c>
      <c r="E59" s="4" t="str">
        <f>IF(入力!$B46="","",IF(ISNUMBER(入力!$O46),入力!$O46,""))</f>
        <v/>
      </c>
      <c r="F59" s="5" t="str">
        <f>IF(AND(ISNUMBER(入力!$C46),ISNUMBER(入力!$O46)),入力!$C46*入力!$O46,"")</f>
        <v/>
      </c>
      <c r="G59" s="5" t="str">
        <f>IF(AND(ISNUMBER(入力!$C46),ISNUMBER(入力!$O46)),MAX(0,入力!$C46-入力!$B$5)*入力!$O46,"")</f>
        <v/>
      </c>
      <c r="H59" s="4" t="str">
        <f>IF(ISNUMBER(G59),ROUND(G59/入力!$B$5,0),"")</f>
        <v/>
      </c>
      <c r="I59" s="5" t="str">
        <f>IF(入力!$B46="","",IF(ISNUMBER(入力!$D46),入力!$D46,""))</f>
        <v/>
      </c>
      <c r="J59" s="5" t="str">
        <f>IF(ISNUMBER(入力!$D46),MAX(0,入力!$D46-入力!$C$5),"")</f>
        <v/>
      </c>
      <c r="K59" s="4" t="str">
        <f>IF(入力!$B46="","",IF(ISNUMBER(入力!$P46),入力!$P46,""))</f>
        <v/>
      </c>
      <c r="L59" s="5" t="str">
        <f>IF(AND(ISNUMBER(入力!$D46),ISNUMBER(入力!$P46)),入力!$D46*入力!$P46,"")</f>
        <v/>
      </c>
      <c r="M59" s="5" t="str">
        <f>IF(AND(ISNUMBER(入力!$D46),ISNUMBER(入力!$P46)),MAX(0,入力!$D46-入力!$C$5)*入力!$P46,"")</f>
        <v/>
      </c>
      <c r="N59" s="4" t="str">
        <f>IF(ISNUMBER(M59),ROUND(M59/入力!$C$5,0),"")</f>
        <v/>
      </c>
      <c r="O59" s="5" t="str">
        <f>IF(入力!$B46="","",IF(AND(NOT(ISNUMBER(G59)),NOT(ISNUMBER(M59))),"",IF(ISNUMBER(G59),G59,0)+IF(ISNUMBER(M59),M59,0)))</f>
        <v/>
      </c>
      <c r="P59" s="4" t="str">
        <f>IF(入力!$B46="","",IF(AND(NOT(ISNUMBER(H59)),NOT(ISNUMBER(N59))),"",IF(ISNUMBER(H59),H59,0)+IF(ISNUMBER(N59),N59,0)))</f>
        <v/>
      </c>
    </row>
    <row r="60">
      <c r="B60" s="7" t="str">
        <f>IF(入力!$B47="","",入力!$B47)</f>
        <v/>
      </c>
      <c r="C60" s="5" t="str">
        <f>IF(入力!$B47="","",IF(ISNUMBER(入力!$C47),入力!$C47,""))</f>
        <v/>
      </c>
      <c r="D60" s="5" t="str">
        <f>IF(ISNUMBER(入力!$C47),MAX(0,入力!$C47-入力!$B$5),"")</f>
        <v/>
      </c>
      <c r="E60" s="4" t="str">
        <f>IF(入力!$B47="","",IF(ISNUMBER(入力!$O47),入力!$O47,""))</f>
        <v/>
      </c>
      <c r="F60" s="5" t="str">
        <f>IF(AND(ISNUMBER(入力!$C47),ISNUMBER(入力!$O47)),入力!$C47*入力!$O47,"")</f>
        <v/>
      </c>
      <c r="G60" s="5" t="str">
        <f>IF(AND(ISNUMBER(入力!$C47),ISNUMBER(入力!$O47)),MAX(0,入力!$C47-入力!$B$5)*入力!$O47,"")</f>
        <v/>
      </c>
      <c r="H60" s="4" t="str">
        <f>IF(ISNUMBER(G60),ROUND(G60/入力!$B$5,0),"")</f>
        <v/>
      </c>
      <c r="I60" s="5" t="str">
        <f>IF(入力!$B47="","",IF(ISNUMBER(入力!$D47),入力!$D47,""))</f>
        <v/>
      </c>
      <c r="J60" s="5" t="str">
        <f>IF(ISNUMBER(入力!$D47),MAX(0,入力!$D47-入力!$C$5),"")</f>
        <v/>
      </c>
      <c r="K60" s="4" t="str">
        <f>IF(入力!$B47="","",IF(ISNUMBER(入力!$P47),入力!$P47,""))</f>
        <v/>
      </c>
      <c r="L60" s="5" t="str">
        <f>IF(AND(ISNUMBER(入力!$D47),ISNUMBER(入力!$P47)),入力!$D47*入力!$P47,"")</f>
        <v/>
      </c>
      <c r="M60" s="5" t="str">
        <f>IF(AND(ISNUMBER(入力!$D47),ISNUMBER(入力!$P47)),MAX(0,入力!$D47-入力!$C$5)*入力!$P47,"")</f>
        <v/>
      </c>
      <c r="N60" s="4" t="str">
        <f>IF(ISNUMBER(M60),ROUND(M60/入力!$C$5,0),"")</f>
        <v/>
      </c>
      <c r="O60" s="5" t="str">
        <f>IF(入力!$B47="","",IF(AND(NOT(ISNUMBER(G60)),NOT(ISNUMBER(M60))),"",IF(ISNUMBER(G60),G60,0)+IF(ISNUMBER(M60),M60,0)))</f>
        <v/>
      </c>
      <c r="P60" s="4" t="str">
        <f>IF(入力!$B47="","",IF(AND(NOT(ISNUMBER(H60)),NOT(ISNUMBER(N60))),"",IF(ISNUMBER(H60),H60,0)+IF(ISNUMBER(N60),N60,0)))</f>
        <v/>
      </c>
    </row>
    <row r="61">
      <c r="B61" s="7" t="str">
        <f>IF(入力!$B48="","",入力!$B48)</f>
        <v/>
      </c>
      <c r="C61" s="5" t="str">
        <f>IF(入力!$B48="","",IF(ISNUMBER(入力!$C48),入力!$C48,""))</f>
        <v/>
      </c>
      <c r="D61" s="5" t="str">
        <f>IF(ISNUMBER(入力!$C48),MAX(0,入力!$C48-入力!$B$5),"")</f>
        <v/>
      </c>
      <c r="E61" s="4" t="str">
        <f>IF(入力!$B48="","",IF(ISNUMBER(入力!$O48),入力!$O48,""))</f>
        <v/>
      </c>
      <c r="F61" s="5" t="str">
        <f>IF(AND(ISNUMBER(入力!$C48),ISNUMBER(入力!$O48)),入力!$C48*入力!$O48,"")</f>
        <v/>
      </c>
      <c r="G61" s="5" t="str">
        <f>IF(AND(ISNUMBER(入力!$C48),ISNUMBER(入力!$O48)),MAX(0,入力!$C48-入力!$B$5)*入力!$O48,"")</f>
        <v/>
      </c>
      <c r="H61" s="4" t="str">
        <f>IF(ISNUMBER(G61),ROUND(G61/入力!$B$5,0),"")</f>
        <v/>
      </c>
      <c r="I61" s="5" t="str">
        <f>IF(入力!$B48="","",IF(ISNUMBER(入力!$D48),入力!$D48,""))</f>
        <v/>
      </c>
      <c r="J61" s="5" t="str">
        <f>IF(ISNUMBER(入力!$D48),MAX(0,入力!$D48-入力!$C$5),"")</f>
        <v/>
      </c>
      <c r="K61" s="4" t="str">
        <f>IF(入力!$B48="","",IF(ISNUMBER(入力!$P48),入力!$P48,""))</f>
        <v/>
      </c>
      <c r="L61" s="5" t="str">
        <f>IF(AND(ISNUMBER(入力!$D48),ISNUMBER(入力!$P48)),入力!$D48*入力!$P48,"")</f>
        <v/>
      </c>
      <c r="M61" s="5" t="str">
        <f>IF(AND(ISNUMBER(入力!$D48),ISNUMBER(入力!$P48)),MAX(0,入力!$D48-入力!$C$5)*入力!$P48,"")</f>
        <v/>
      </c>
      <c r="N61" s="4" t="str">
        <f>IF(ISNUMBER(M61),ROUND(M61/入力!$C$5,0),"")</f>
        <v/>
      </c>
      <c r="O61" s="5" t="str">
        <f>IF(入力!$B48="","",IF(AND(NOT(ISNUMBER(G61)),NOT(ISNUMBER(M61))),"",IF(ISNUMBER(G61),G61,0)+IF(ISNUMBER(M61),M61,0)))</f>
        <v/>
      </c>
      <c r="P61" s="4" t="str">
        <f>IF(入力!$B48="","",IF(AND(NOT(ISNUMBER(H61)),NOT(ISNUMBER(N61))),"",IF(ISNUMBER(H61),H61,0)+IF(ISNUMBER(N61),N61,0)))</f>
        <v/>
      </c>
    </row>
    <row r="62">
      <c r="B62" s="7" t="str">
        <f>IF(入力!$B49="","",入力!$B49)</f>
        <v/>
      </c>
      <c r="C62" s="5" t="str">
        <f>IF(入力!$B49="","",IF(ISNUMBER(入力!$C49),入力!$C49,""))</f>
        <v/>
      </c>
      <c r="D62" s="5" t="str">
        <f>IF(ISNUMBER(入力!$C49),MAX(0,入力!$C49-入力!$B$5),"")</f>
        <v/>
      </c>
      <c r="E62" s="4" t="str">
        <f>IF(入力!$B49="","",IF(ISNUMBER(入力!$O49),入力!$O49,""))</f>
        <v/>
      </c>
      <c r="F62" s="5" t="str">
        <f>IF(AND(ISNUMBER(入力!$C49),ISNUMBER(入力!$O49)),入力!$C49*入力!$O49,"")</f>
        <v/>
      </c>
      <c r="G62" s="5" t="str">
        <f>IF(AND(ISNUMBER(入力!$C49),ISNUMBER(入力!$O49)),MAX(0,入力!$C49-入力!$B$5)*入力!$O49,"")</f>
        <v/>
      </c>
      <c r="H62" s="4" t="str">
        <f>IF(ISNUMBER(G62),ROUND(G62/入力!$B$5,0),"")</f>
        <v/>
      </c>
      <c r="I62" s="5" t="str">
        <f>IF(入力!$B49="","",IF(ISNUMBER(入力!$D49),入力!$D49,""))</f>
        <v/>
      </c>
      <c r="J62" s="5" t="str">
        <f>IF(ISNUMBER(入力!$D49),MAX(0,入力!$D49-入力!$C$5),"")</f>
        <v/>
      </c>
      <c r="K62" s="4" t="str">
        <f>IF(入力!$B49="","",IF(ISNUMBER(入力!$P49),入力!$P49,""))</f>
        <v/>
      </c>
      <c r="L62" s="5" t="str">
        <f>IF(AND(ISNUMBER(入力!$D49),ISNUMBER(入力!$P49)),入力!$D49*入力!$P49,"")</f>
        <v/>
      </c>
      <c r="M62" s="5" t="str">
        <f>IF(AND(ISNUMBER(入力!$D49),ISNUMBER(入力!$P49)),MAX(0,入力!$D49-入力!$C$5)*入力!$P49,"")</f>
        <v/>
      </c>
      <c r="N62" s="4" t="str">
        <f>IF(ISNUMBER(M62),ROUND(M62/入力!$C$5,0),"")</f>
        <v/>
      </c>
      <c r="O62" s="5" t="str">
        <f>IF(入力!$B49="","",IF(AND(NOT(ISNUMBER(G62)),NOT(ISNUMBER(M62))),"",IF(ISNUMBER(G62),G62,0)+IF(ISNUMBER(M62),M62,0)))</f>
        <v/>
      </c>
      <c r="P62" s="4" t="str">
        <f>IF(入力!$B49="","",IF(AND(NOT(ISNUMBER(H62)),NOT(ISNUMBER(N62))),"",IF(ISNUMBER(H62),H62,0)+IF(ISNUMBER(N62),N62,0)))</f>
        <v/>
      </c>
    </row>
    <row r="63">
      <c r="B63" s="7" t="str">
        <f>IF(入力!$B50="","",入力!$B50)</f>
        <v/>
      </c>
      <c r="C63" s="5" t="str">
        <f>IF(入力!$B50="","",IF(ISNUMBER(入力!$C50),入力!$C50,""))</f>
        <v/>
      </c>
      <c r="D63" s="5" t="str">
        <f>IF(ISNUMBER(入力!$C50),MAX(0,入力!$C50-入力!$B$5),"")</f>
        <v/>
      </c>
      <c r="E63" s="4" t="str">
        <f>IF(入力!$B50="","",IF(ISNUMBER(入力!$O50),入力!$O50,""))</f>
        <v/>
      </c>
      <c r="F63" s="5" t="str">
        <f>IF(AND(ISNUMBER(入力!$C50),ISNUMBER(入力!$O50)),入力!$C50*入力!$O50,"")</f>
        <v/>
      </c>
      <c r="G63" s="5" t="str">
        <f>IF(AND(ISNUMBER(入力!$C50),ISNUMBER(入力!$O50)),MAX(0,入力!$C50-入力!$B$5)*入力!$O50,"")</f>
        <v/>
      </c>
      <c r="H63" s="4" t="str">
        <f>IF(ISNUMBER(G63),ROUND(G63/入力!$B$5,0),"")</f>
        <v/>
      </c>
      <c r="I63" s="5" t="str">
        <f>IF(入力!$B50="","",IF(ISNUMBER(入力!$D50),入力!$D50,""))</f>
        <v/>
      </c>
      <c r="J63" s="5" t="str">
        <f>IF(ISNUMBER(入力!$D50),MAX(0,入力!$D50-入力!$C$5),"")</f>
        <v/>
      </c>
      <c r="K63" s="4" t="str">
        <f>IF(入力!$B50="","",IF(ISNUMBER(入力!$P50),入力!$P50,""))</f>
        <v/>
      </c>
      <c r="L63" s="5" t="str">
        <f>IF(AND(ISNUMBER(入力!$D50),ISNUMBER(入力!$P50)),入力!$D50*入力!$P50,"")</f>
        <v/>
      </c>
      <c r="M63" s="5" t="str">
        <f>IF(AND(ISNUMBER(入力!$D50),ISNUMBER(入力!$P50)),MAX(0,入力!$D50-入力!$C$5)*入力!$P50,"")</f>
        <v/>
      </c>
      <c r="N63" s="4" t="str">
        <f>IF(ISNUMBER(M63),ROUND(M63/入力!$C$5,0),"")</f>
        <v/>
      </c>
      <c r="O63" s="5" t="str">
        <f>IF(入力!$B50="","",IF(AND(NOT(ISNUMBER(G63)),NOT(ISNUMBER(M63))),"",IF(ISNUMBER(G63),G63,0)+IF(ISNUMBER(M63),M63,0)))</f>
        <v/>
      </c>
      <c r="P63" s="4" t="str">
        <f>IF(入力!$B50="","",IF(AND(NOT(ISNUMBER(H63)),NOT(ISNUMBER(N63))),"",IF(ISNUMBER(H63),H63,0)+IF(ISNUMBER(N63),N63,0)))</f>
        <v/>
      </c>
    </row>
    <row r="64">
      <c r="B64" s="7" t="str">
        <f>IF(入力!$B51="","",入力!$B51)</f>
        <v/>
      </c>
      <c r="C64" s="5" t="str">
        <f>IF(入力!$B51="","",IF(ISNUMBER(入力!$C51),入力!$C51,""))</f>
        <v/>
      </c>
      <c r="D64" s="5" t="str">
        <f>IF(ISNUMBER(入力!$C51),MAX(0,入力!$C51-入力!$B$5),"")</f>
        <v/>
      </c>
      <c r="E64" s="4" t="str">
        <f>IF(入力!$B51="","",IF(ISNUMBER(入力!$O51),入力!$O51,""))</f>
        <v/>
      </c>
      <c r="F64" s="5" t="str">
        <f>IF(AND(ISNUMBER(入力!$C51),ISNUMBER(入力!$O51)),入力!$C51*入力!$O51,"")</f>
        <v/>
      </c>
      <c r="G64" s="5" t="str">
        <f>IF(AND(ISNUMBER(入力!$C51),ISNUMBER(入力!$O51)),MAX(0,入力!$C51-入力!$B$5)*入力!$O51,"")</f>
        <v/>
      </c>
      <c r="H64" s="4" t="str">
        <f>IF(ISNUMBER(G64),ROUND(G64/入力!$B$5,0),"")</f>
        <v/>
      </c>
      <c r="I64" s="5" t="str">
        <f>IF(入力!$B51="","",IF(ISNUMBER(入力!$D51),入力!$D51,""))</f>
        <v/>
      </c>
      <c r="J64" s="5" t="str">
        <f>IF(ISNUMBER(入力!$D51),MAX(0,入力!$D51-入力!$C$5),"")</f>
        <v/>
      </c>
      <c r="K64" s="4" t="str">
        <f>IF(入力!$B51="","",IF(ISNUMBER(入力!$P51),入力!$P51,""))</f>
        <v/>
      </c>
      <c r="L64" s="5" t="str">
        <f>IF(AND(ISNUMBER(入力!$D51),ISNUMBER(入力!$P51)),入力!$D51*入力!$P51,"")</f>
        <v/>
      </c>
      <c r="M64" s="5" t="str">
        <f>IF(AND(ISNUMBER(入力!$D51),ISNUMBER(入力!$P51)),MAX(0,入力!$D51-入力!$C$5)*入力!$P51,"")</f>
        <v/>
      </c>
      <c r="N64" s="4" t="str">
        <f>IF(ISNUMBER(M64),ROUND(M64/入力!$C$5,0),"")</f>
        <v/>
      </c>
      <c r="O64" s="5" t="str">
        <f>IF(入力!$B51="","",IF(AND(NOT(ISNUMBER(G64)),NOT(ISNUMBER(M64))),"",IF(ISNUMBER(G64),G64,0)+IF(ISNUMBER(M64),M64,0)))</f>
        <v/>
      </c>
      <c r="P64" s="4" t="str">
        <f>IF(入力!$B51="","",IF(AND(NOT(ISNUMBER(H64)),NOT(ISNUMBER(N64))),"",IF(ISNUMBER(H64),H64,0)+IF(ISNUMBER(N64),N64,0)))</f>
        <v/>
      </c>
    </row>
    <row r="65">
      <c r="B65" s="7" t="str">
        <f>IF(入力!$B52="","",入力!$B52)</f>
        <v/>
      </c>
      <c r="C65" s="5" t="str">
        <f>IF(入力!$B52="","",IF(ISNUMBER(入力!$C52),入力!$C52,""))</f>
        <v/>
      </c>
      <c r="D65" s="5" t="str">
        <f>IF(ISNUMBER(入力!$C52),MAX(0,入力!$C52-入力!$B$5),"")</f>
        <v/>
      </c>
      <c r="E65" s="4" t="str">
        <f>IF(入力!$B52="","",IF(ISNUMBER(入力!$O52),入力!$O52,""))</f>
        <v/>
      </c>
      <c r="F65" s="5" t="str">
        <f>IF(AND(ISNUMBER(入力!$C52),ISNUMBER(入力!$O52)),入力!$C52*入力!$O52,"")</f>
        <v/>
      </c>
      <c r="G65" s="5" t="str">
        <f>IF(AND(ISNUMBER(入力!$C52),ISNUMBER(入力!$O52)),MAX(0,入力!$C52-入力!$B$5)*入力!$O52,"")</f>
        <v/>
      </c>
      <c r="H65" s="4" t="str">
        <f>IF(ISNUMBER(G65),ROUND(G65/入力!$B$5,0),"")</f>
        <v/>
      </c>
      <c r="I65" s="5" t="str">
        <f>IF(入力!$B52="","",IF(ISNUMBER(入力!$D52),入力!$D52,""))</f>
        <v/>
      </c>
      <c r="J65" s="5" t="str">
        <f>IF(ISNUMBER(入力!$D52),MAX(0,入力!$D52-入力!$C$5),"")</f>
        <v/>
      </c>
      <c r="K65" s="4" t="str">
        <f>IF(入力!$B52="","",IF(ISNUMBER(入力!$P52),入力!$P52,""))</f>
        <v/>
      </c>
      <c r="L65" s="5" t="str">
        <f>IF(AND(ISNUMBER(入力!$D52),ISNUMBER(入力!$P52)),入力!$D52*入力!$P52,"")</f>
        <v/>
      </c>
      <c r="M65" s="5" t="str">
        <f>IF(AND(ISNUMBER(入力!$D52),ISNUMBER(入力!$P52)),MAX(0,入力!$D52-入力!$C$5)*入力!$P52,"")</f>
        <v/>
      </c>
      <c r="N65" s="4" t="str">
        <f>IF(ISNUMBER(M65),ROUND(M65/入力!$C$5,0),"")</f>
        <v/>
      </c>
      <c r="O65" s="5" t="str">
        <f>IF(入力!$B52="","",IF(AND(NOT(ISNUMBER(G65)),NOT(ISNUMBER(M65))),"",IF(ISNUMBER(G65),G65,0)+IF(ISNUMBER(M65),M65,0)))</f>
        <v/>
      </c>
      <c r="P65" s="4" t="str">
        <f>IF(入力!$B52="","",IF(AND(NOT(ISNUMBER(H65)),NOT(ISNUMBER(N65))),"",IF(ISNUMBER(H65),H65,0)+IF(ISNUMBER(N65),N65,0)))</f>
        <v/>
      </c>
    </row>
    <row r="66">
      <c r="B66" s="7" t="str">
        <f>IF(入力!$B53="","",入力!$B53)</f>
        <v/>
      </c>
      <c r="C66" s="5" t="str">
        <f>IF(入力!$B53="","",IF(ISNUMBER(入力!$C53),入力!$C53,""))</f>
        <v/>
      </c>
      <c r="D66" s="5" t="str">
        <f>IF(ISNUMBER(入力!$C53),MAX(0,入力!$C53-入力!$B$5),"")</f>
        <v/>
      </c>
      <c r="E66" s="4" t="str">
        <f>IF(入力!$B53="","",IF(ISNUMBER(入力!$O53),入力!$O53,""))</f>
        <v/>
      </c>
      <c r="F66" s="5" t="str">
        <f>IF(AND(ISNUMBER(入力!$C53),ISNUMBER(入力!$O53)),入力!$C53*入力!$O53,"")</f>
        <v/>
      </c>
      <c r="G66" s="5" t="str">
        <f>IF(AND(ISNUMBER(入力!$C53),ISNUMBER(入力!$O53)),MAX(0,入力!$C53-入力!$B$5)*入力!$O53,"")</f>
        <v/>
      </c>
      <c r="H66" s="4" t="str">
        <f>IF(ISNUMBER(G66),ROUND(G66/入力!$B$5,0),"")</f>
        <v/>
      </c>
      <c r="I66" s="5" t="str">
        <f>IF(入力!$B53="","",IF(ISNUMBER(入力!$D53),入力!$D53,""))</f>
        <v/>
      </c>
      <c r="J66" s="5" t="str">
        <f>IF(ISNUMBER(入力!$D53),MAX(0,入力!$D53-入力!$C$5),"")</f>
        <v/>
      </c>
      <c r="K66" s="4" t="str">
        <f>IF(入力!$B53="","",IF(ISNUMBER(入力!$P53),入力!$P53,""))</f>
        <v/>
      </c>
      <c r="L66" s="5" t="str">
        <f>IF(AND(ISNUMBER(入力!$D53),ISNUMBER(入力!$P53)),入力!$D53*入力!$P53,"")</f>
        <v/>
      </c>
      <c r="M66" s="5" t="str">
        <f>IF(AND(ISNUMBER(入力!$D53),ISNUMBER(入力!$P53)),MAX(0,入力!$D53-入力!$C$5)*入力!$P53,"")</f>
        <v/>
      </c>
      <c r="N66" s="4" t="str">
        <f>IF(ISNUMBER(M66),ROUND(M66/入力!$C$5,0),"")</f>
        <v/>
      </c>
      <c r="O66" s="5" t="str">
        <f>IF(入力!$B53="","",IF(AND(NOT(ISNUMBER(G66)),NOT(ISNUMBER(M66))),"",IF(ISNUMBER(G66),G66,0)+IF(ISNUMBER(M66),M66,0)))</f>
        <v/>
      </c>
      <c r="P66" s="4" t="str">
        <f>IF(入力!$B53="","",IF(AND(NOT(ISNUMBER(H66)),NOT(ISNUMBER(N66))),"",IF(ISNUMBER(H66),H66,0)+IF(ISNUMBER(N66),N66,0)))</f>
        <v/>
      </c>
    </row>
    <row r="67">
      <c r="B67" s="7" t="str">
        <f>IF(入力!$B54="","",入力!$B54)</f>
        <v/>
      </c>
      <c r="C67" s="5" t="str">
        <f>IF(入力!$B54="","",IF(ISNUMBER(入力!$C54),入力!$C54,""))</f>
        <v/>
      </c>
      <c r="D67" s="5" t="str">
        <f>IF(ISNUMBER(入力!$C54),MAX(0,入力!$C54-入力!$B$5),"")</f>
        <v/>
      </c>
      <c r="E67" s="4" t="str">
        <f>IF(入力!$B54="","",IF(ISNUMBER(入力!$O54),入力!$O54,""))</f>
        <v/>
      </c>
      <c r="F67" s="5" t="str">
        <f>IF(AND(ISNUMBER(入力!$C54),ISNUMBER(入力!$O54)),入力!$C54*入力!$O54,"")</f>
        <v/>
      </c>
      <c r="G67" s="5" t="str">
        <f>IF(AND(ISNUMBER(入力!$C54),ISNUMBER(入力!$O54)),MAX(0,入力!$C54-入力!$B$5)*入力!$O54,"")</f>
        <v/>
      </c>
      <c r="H67" s="4" t="str">
        <f>IF(ISNUMBER(G67),ROUND(G67/入力!$B$5,0),"")</f>
        <v/>
      </c>
      <c r="I67" s="5" t="str">
        <f>IF(入力!$B54="","",IF(ISNUMBER(入力!$D54),入力!$D54,""))</f>
        <v/>
      </c>
      <c r="J67" s="5" t="str">
        <f>IF(ISNUMBER(入力!$D54),MAX(0,入力!$D54-入力!$C$5),"")</f>
        <v/>
      </c>
      <c r="K67" s="4" t="str">
        <f>IF(入力!$B54="","",IF(ISNUMBER(入力!$P54),入力!$P54,""))</f>
        <v/>
      </c>
      <c r="L67" s="5" t="str">
        <f>IF(AND(ISNUMBER(入力!$D54),ISNUMBER(入力!$P54)),入力!$D54*入力!$P54,"")</f>
        <v/>
      </c>
      <c r="M67" s="5" t="str">
        <f>IF(AND(ISNUMBER(入力!$D54),ISNUMBER(入力!$P54)),MAX(0,入力!$D54-入力!$C$5)*入力!$P54,"")</f>
        <v/>
      </c>
      <c r="N67" s="4" t="str">
        <f>IF(ISNUMBER(M67),ROUND(M67/入力!$C$5,0),"")</f>
        <v/>
      </c>
      <c r="O67" s="5" t="str">
        <f>IF(入力!$B54="","",IF(AND(NOT(ISNUMBER(G67)),NOT(ISNUMBER(M67))),"",IF(ISNUMBER(G67),G67,0)+IF(ISNUMBER(M67),M67,0)))</f>
        <v/>
      </c>
      <c r="P67" s="4" t="str">
        <f>IF(入力!$B54="","",IF(AND(NOT(ISNUMBER(H67)),NOT(ISNUMBER(N67))),"",IF(ISNUMBER(H67),H67,0)+IF(ISNUMBER(N67),N67,0)))</f>
        <v/>
      </c>
    </row>
    <row r="68">
      <c r="B68" s="7" t="str">
        <f>IF(入力!$B55="","",入力!$B55)</f>
        <v/>
      </c>
      <c r="C68" s="5" t="str">
        <f>IF(入力!$B55="","",IF(ISNUMBER(入力!$C55),入力!$C55,""))</f>
        <v/>
      </c>
      <c r="D68" s="5" t="str">
        <f>IF(ISNUMBER(入力!$C55),MAX(0,入力!$C55-入力!$B$5),"")</f>
        <v/>
      </c>
      <c r="E68" s="4" t="str">
        <f>IF(入力!$B55="","",IF(ISNUMBER(入力!$O55),入力!$O55,""))</f>
        <v/>
      </c>
      <c r="F68" s="5" t="str">
        <f>IF(AND(ISNUMBER(入力!$C55),ISNUMBER(入力!$O55)),入力!$C55*入力!$O55,"")</f>
        <v/>
      </c>
      <c r="G68" s="5" t="str">
        <f>IF(AND(ISNUMBER(入力!$C55),ISNUMBER(入力!$O55)),MAX(0,入力!$C55-入力!$B$5)*入力!$O55,"")</f>
        <v/>
      </c>
      <c r="H68" s="4" t="str">
        <f>IF(ISNUMBER(G68),ROUND(G68/入力!$B$5,0),"")</f>
        <v/>
      </c>
      <c r="I68" s="5" t="str">
        <f>IF(入力!$B55="","",IF(ISNUMBER(入力!$D55),入力!$D55,""))</f>
        <v/>
      </c>
      <c r="J68" s="5" t="str">
        <f>IF(ISNUMBER(入力!$D55),MAX(0,入力!$D55-入力!$C$5),"")</f>
        <v/>
      </c>
      <c r="K68" s="4" t="str">
        <f>IF(入力!$B55="","",IF(ISNUMBER(入力!$P55),入力!$P55,""))</f>
        <v/>
      </c>
      <c r="L68" s="5" t="str">
        <f>IF(AND(ISNUMBER(入力!$D55),ISNUMBER(入力!$P55)),入力!$D55*入力!$P55,"")</f>
        <v/>
      </c>
      <c r="M68" s="5" t="str">
        <f>IF(AND(ISNUMBER(入力!$D55),ISNUMBER(入力!$P55)),MAX(0,入力!$D55-入力!$C$5)*入力!$P55,"")</f>
        <v/>
      </c>
      <c r="N68" s="4" t="str">
        <f>IF(ISNUMBER(M68),ROUND(M68/入力!$C$5,0),"")</f>
        <v/>
      </c>
      <c r="O68" s="5" t="str">
        <f>IF(入力!$B55="","",IF(AND(NOT(ISNUMBER(G68)),NOT(ISNUMBER(M68))),"",IF(ISNUMBER(G68),G68,0)+IF(ISNUMBER(M68),M68,0)))</f>
        <v/>
      </c>
      <c r="P68" s="4" t="str">
        <f>IF(入力!$B55="","",IF(AND(NOT(ISNUMBER(H68)),NOT(ISNUMBER(N68))),"",IF(ISNUMBER(H68),H68,0)+IF(ISNUMBER(N68),N68,0)))</f>
        <v/>
      </c>
    </row>
    <row r="69">
      <c r="B69" s="7" t="str">
        <f>IF(入力!$B56="","",入力!$B56)</f>
        <v/>
      </c>
      <c r="C69" s="5" t="str">
        <f>IF(入力!$B56="","",IF(ISNUMBER(入力!$C56),入力!$C56,""))</f>
        <v/>
      </c>
      <c r="D69" s="5" t="str">
        <f>IF(ISNUMBER(入力!$C56),MAX(0,入力!$C56-入力!$B$5),"")</f>
        <v/>
      </c>
      <c r="E69" s="4" t="str">
        <f>IF(入力!$B56="","",IF(ISNUMBER(入力!$O56),入力!$O56,""))</f>
        <v/>
      </c>
      <c r="F69" s="5" t="str">
        <f>IF(AND(ISNUMBER(入力!$C56),ISNUMBER(入力!$O56)),入力!$C56*入力!$O56,"")</f>
        <v/>
      </c>
      <c r="G69" s="5" t="str">
        <f>IF(AND(ISNUMBER(入力!$C56),ISNUMBER(入力!$O56)),MAX(0,入力!$C56-入力!$B$5)*入力!$O56,"")</f>
        <v/>
      </c>
      <c r="H69" s="4" t="str">
        <f>IF(ISNUMBER(G69),ROUND(G69/入力!$B$5,0),"")</f>
        <v/>
      </c>
      <c r="I69" s="5" t="str">
        <f>IF(入力!$B56="","",IF(ISNUMBER(入力!$D56),入力!$D56,""))</f>
        <v/>
      </c>
      <c r="J69" s="5" t="str">
        <f>IF(ISNUMBER(入力!$D56),MAX(0,入力!$D56-入力!$C$5),"")</f>
        <v/>
      </c>
      <c r="K69" s="4" t="str">
        <f>IF(入力!$B56="","",IF(ISNUMBER(入力!$P56),入力!$P56,""))</f>
        <v/>
      </c>
      <c r="L69" s="5" t="str">
        <f>IF(AND(ISNUMBER(入力!$D56),ISNUMBER(入力!$P56)),入力!$D56*入力!$P56,"")</f>
        <v/>
      </c>
      <c r="M69" s="5" t="str">
        <f>IF(AND(ISNUMBER(入力!$D56),ISNUMBER(入力!$P56)),MAX(0,入力!$D56-入力!$C$5)*入力!$P56,"")</f>
        <v/>
      </c>
      <c r="N69" s="4" t="str">
        <f>IF(ISNUMBER(M69),ROUND(M69/入力!$C$5,0),"")</f>
        <v/>
      </c>
      <c r="O69" s="5" t="str">
        <f>IF(入力!$B56="","",IF(AND(NOT(ISNUMBER(G69)),NOT(ISNUMBER(M69))),"",IF(ISNUMBER(G69),G69,0)+IF(ISNUMBER(M69),M69,0)))</f>
        <v/>
      </c>
      <c r="P69" s="4" t="str">
        <f>IF(入力!$B56="","",IF(AND(NOT(ISNUMBER(H69)),NOT(ISNUMBER(N69))),"",IF(ISNUMBER(H69),H69,0)+IF(ISNUMBER(N69),N69,0)))</f>
        <v/>
      </c>
    </row>
    <row r="70">
      <c r="B70" s="7" t="str">
        <f>IF(入力!$B57="","",入力!$B57)</f>
        <v/>
      </c>
      <c r="C70" s="5" t="str">
        <f>IF(入力!$B57="","",IF(ISNUMBER(入力!$C57),入力!$C57,""))</f>
        <v/>
      </c>
      <c r="D70" s="5" t="str">
        <f>IF(ISNUMBER(入力!$C57),MAX(0,入力!$C57-入力!$B$5),"")</f>
        <v/>
      </c>
      <c r="E70" s="4" t="str">
        <f>IF(入力!$B57="","",IF(ISNUMBER(入力!$O57),入力!$O57,""))</f>
        <v/>
      </c>
      <c r="F70" s="5" t="str">
        <f>IF(AND(ISNUMBER(入力!$C57),ISNUMBER(入力!$O57)),入力!$C57*入力!$O57,"")</f>
        <v/>
      </c>
      <c r="G70" s="5" t="str">
        <f>IF(AND(ISNUMBER(入力!$C57),ISNUMBER(入力!$O57)),MAX(0,入力!$C57-入力!$B$5)*入力!$O57,"")</f>
        <v/>
      </c>
      <c r="H70" s="4" t="str">
        <f>IF(ISNUMBER(G70),ROUND(G70/入力!$B$5,0),"")</f>
        <v/>
      </c>
      <c r="I70" s="5" t="str">
        <f>IF(入力!$B57="","",IF(ISNUMBER(入力!$D57),入力!$D57,""))</f>
        <v/>
      </c>
      <c r="J70" s="5" t="str">
        <f>IF(ISNUMBER(入力!$D57),MAX(0,入力!$D57-入力!$C$5),"")</f>
        <v/>
      </c>
      <c r="K70" s="4" t="str">
        <f>IF(入力!$B57="","",IF(ISNUMBER(入力!$P57),入力!$P57,""))</f>
        <v/>
      </c>
      <c r="L70" s="5" t="str">
        <f>IF(AND(ISNUMBER(入力!$D57),ISNUMBER(入力!$P57)),入力!$D57*入力!$P57,"")</f>
        <v/>
      </c>
      <c r="M70" s="5" t="str">
        <f>IF(AND(ISNUMBER(入力!$D57),ISNUMBER(入力!$P57)),MAX(0,入力!$D57-入力!$C$5)*入力!$P57,"")</f>
        <v/>
      </c>
      <c r="N70" s="4" t="str">
        <f>IF(ISNUMBER(M70),ROUND(M70/入力!$C$5,0),"")</f>
        <v/>
      </c>
      <c r="O70" s="5" t="str">
        <f>IF(入力!$B57="","",IF(AND(NOT(ISNUMBER(G70)),NOT(ISNUMBER(M70))),"",IF(ISNUMBER(G70),G70,0)+IF(ISNUMBER(M70),M70,0)))</f>
        <v/>
      </c>
      <c r="P70" s="4" t="str">
        <f>IF(入力!$B57="","",IF(AND(NOT(ISNUMBER(H70)),NOT(ISNUMBER(N70))),"",IF(ISNUMBER(H70),H70,0)+IF(ISNUMBER(N70),N70,0)))</f>
        <v/>
      </c>
    </row>
    <row r="71">
      <c r="B71" s="7" t="str">
        <f>IF(入力!$B58="","",入力!$B58)</f>
        <v/>
      </c>
      <c r="C71" s="5" t="str">
        <f>IF(入力!$B58="","",IF(ISNUMBER(入力!$C58),入力!$C58,""))</f>
        <v/>
      </c>
      <c r="D71" s="5" t="str">
        <f>IF(ISNUMBER(入力!$C58),MAX(0,入力!$C58-入力!$B$5),"")</f>
        <v/>
      </c>
      <c r="E71" s="4" t="str">
        <f>IF(入力!$B58="","",IF(ISNUMBER(入力!$O58),入力!$O58,""))</f>
        <v/>
      </c>
      <c r="F71" s="5" t="str">
        <f>IF(AND(ISNUMBER(入力!$C58),ISNUMBER(入力!$O58)),入力!$C58*入力!$O58,"")</f>
        <v/>
      </c>
      <c r="G71" s="5" t="str">
        <f>IF(AND(ISNUMBER(入力!$C58),ISNUMBER(入力!$O58)),MAX(0,入力!$C58-入力!$B$5)*入力!$O58,"")</f>
        <v/>
      </c>
      <c r="H71" s="4" t="str">
        <f>IF(ISNUMBER(G71),ROUND(G71/入力!$B$5,0),"")</f>
        <v/>
      </c>
      <c r="I71" s="5" t="str">
        <f>IF(入力!$B58="","",IF(ISNUMBER(入力!$D58),入力!$D58,""))</f>
        <v/>
      </c>
      <c r="J71" s="5" t="str">
        <f>IF(ISNUMBER(入力!$D58),MAX(0,入力!$D58-入力!$C$5),"")</f>
        <v/>
      </c>
      <c r="K71" s="4" t="str">
        <f>IF(入力!$B58="","",IF(ISNUMBER(入力!$P58),入力!$P58,""))</f>
        <v/>
      </c>
      <c r="L71" s="5" t="str">
        <f>IF(AND(ISNUMBER(入力!$D58),ISNUMBER(入力!$P58)),入力!$D58*入力!$P58,"")</f>
        <v/>
      </c>
      <c r="M71" s="5" t="str">
        <f>IF(AND(ISNUMBER(入力!$D58),ISNUMBER(入力!$P58)),MAX(0,入力!$D58-入力!$C$5)*入力!$P58,"")</f>
        <v/>
      </c>
      <c r="N71" s="4" t="str">
        <f>IF(ISNUMBER(M71),ROUND(M71/入力!$C$5,0),"")</f>
        <v/>
      </c>
      <c r="O71" s="5" t="str">
        <f>IF(入力!$B58="","",IF(AND(NOT(ISNUMBER(G71)),NOT(ISNUMBER(M71))),"",IF(ISNUMBER(G71),G71,0)+IF(ISNUMBER(M71),M71,0)))</f>
        <v/>
      </c>
      <c r="P71" s="4" t="str">
        <f>IF(入力!$B58="","",IF(AND(NOT(ISNUMBER(H71)),NOT(ISNUMBER(N71))),"",IF(ISNUMBER(H71),H71,0)+IF(ISNUMBER(N71),N71,0)))</f>
        <v/>
      </c>
    </row>
    <row r="72">
      <c r="B72" s="24" t="inlineStr">
        <is>
          <t xml:space="preserve">合計 / 加重平均</t>
        </is>
      </c>
      <c r="C72" s="5">
        <f>IF(SUM(E22:E71)=0,"",SUM(F22:F71)/SUM(E22:E71))</f>
        <v>1.501798</v>
      </c>
      <c r="D72" s="5">
        <f>IF(C72="","",MAX(0,C72-入力!$B$5))</f>
        <v>0</v>
      </c>
      <c r="E72" s="4">
        <f>SUM(E22:E71)</f>
        <v>19739</v>
      </c>
      <c r="F72" s="5">
        <f>SUM(F22:F71)</f>
        <v>29644</v>
      </c>
      <c r="G72" s="5">
        <f>SUM(G22:G71)</f>
        <v>1577</v>
      </c>
      <c r="H72" s="4">
        <f>SUM(H22:H71)</f>
        <v>985</v>
      </c>
      <c r="I72" s="5">
        <f>IF(SUM(K22:K71)=0,"",SUM(L22:L71)/SUM(K22:K71))</f>
        <v>1.472862</v>
      </c>
      <c r="J72" s="5">
        <f>IF(I72="","",MAX(0,I72-入力!$C$5))</f>
        <v>0</v>
      </c>
      <c r="K72" s="4">
        <f>SUM(K22:K71)</f>
        <v>20116</v>
      </c>
      <c r="L72" s="5">
        <f>SUM(L22:L71)</f>
        <v>29628.1</v>
      </c>
      <c r="M72" s="5">
        <f>SUM(M22:M71)</f>
        <v>2961.2</v>
      </c>
      <c r="N72" s="4">
        <f>SUM(N22:N71)</f>
        <v>1850</v>
      </c>
      <c r="O72" s="5">
        <f>SUM(O22:O71)</f>
        <v>4538.2</v>
      </c>
      <c r="P72" s="4">
        <f>SUM(P22:P71)</f>
        <v>2835</v>
      </c>
    </row>
    <row r="74">
      <c r="B74" s="35" t="inlineStr">
        <is>
          <t xml:space="preserve">※ 加重平均＝件数で重み付けした平均速度。追加可能件数＝短縮効果(分)÷目標1.6分/個（目標達成で浮いた時間に追加処理できる件数の目安、四捨五入）。全体サマリーは明細の合計。</t>
        </is>
      </c>
    </row>
  </sheetData>
  <mergeCells count="11">
    <mergeCell ref="B1:P1"/>
    <mergeCell ref="B2:P2"/>
    <mergeCell ref="B10:E10"/>
    <mergeCell ref="B11:B11"/>
    <mergeCell ref="B17:P17"/>
    <mergeCell ref="B19:P19"/>
    <mergeCell ref="B20:B21"/>
    <mergeCell ref="C20:H20"/>
    <mergeCell ref="I20:N20"/>
    <mergeCell ref="O20:O21"/>
    <mergeCell ref="P20:P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ダッシュボード</vt:lpstr>
      <vt:lpstr>入力</vt:lpstr>
      <vt:lpstr>集計用</vt:lpstr>
      <vt:lpstr>使い方</vt:lpstr>
      <vt:lpstr>偏差値</vt:lpstr>
      <vt:lpstr>目標到達分析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PCC03032</dc:creator>
  <cp:lastModifiedBy>PCC03032</cp:lastModifiedBy>
  <dcterms:created xsi:type="dcterms:W3CDTF">2026-07-07T05:49:41Z</dcterms:created>
  <dcterms:modified xsi:type="dcterms:W3CDTF">2026-07-21T01:36:55Z</dcterms:modified>
</cp:coreProperties>
</file>