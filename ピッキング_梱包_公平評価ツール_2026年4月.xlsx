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1_{AAA2497A-5009-499A-A557-7DDCF1E958F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印刷用!$A$1:$AA$63</definedName>
    <definedName name="_xlnm.Print_Titles" localSheetId="1">印刷用!$4:$4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<sst xmlns="http://schemas.openxmlformats.org/spreadsheetml/2006/main" count="633" uniqueCount="454">
  <si>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</si>
  <si>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</si>
  <si>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</si>
  <si>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</si>
  <si>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</si>
  <si>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</si>
  <si>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</si>
  <si>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</si>
  <si>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</si>
  <si>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</si>
  <si>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</si>
  <si>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</si>
  <si>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</si>
  <si>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</si>
  <si>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</si>
  <si>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</si>
  <si>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</si>
  <si>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</si>
  <si>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</si>
  <si>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</si>
  <si>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</si>
  <si>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</si>
  <si>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</si>
  <si>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</si>
  <si>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</si>
  <si>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</si>
  <si>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</si>
  <si>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</si>
  <si>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</si>
  <si>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</si>
  <si>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</si>
  <si>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</si>
  <si>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</si>
  <si>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</si>
  <si>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</si>
  <si>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</si>
  <si>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</si>
  <si>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</si>
  <si>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</si>
  <si>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</si>
  <si>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</si>
  <si>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</si>
  <si>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</si>
  <si>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</si>
  <si>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</si>
  <si>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</si>
  <si>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</si>
  <si>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</si>
  <si>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</si>
  <si>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</si>
  <si>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</si>
  <si>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</si>
  <si>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</si>
  <si>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</si>
  <si>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</si>
  <si>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</si>
  <si>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</si>
  <si>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</si>
  <si>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</si>
  <si>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</si>
  <si>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</si>
  <si>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</si>
  <si>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</si>
  <si>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</si>
  <si>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</si>
  <si>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</si>
  <si>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</si>
  <si>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</si>
  <si>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</si>
  <si>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</si>
  <si>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</si>
  <si>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</si>
  <si>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</si>
  <si>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</si>
  <si>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</si>
  <si>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</si>
  <si>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</si>
  <si>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</si>
  <si>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</si>
  <si>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</si>
  <si>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</si>
  <si>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</si>
  <si>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</si>
  <si>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</si>
  <si>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</si>
  <si>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</si>
  <si>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</si>
  <si>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</si>
  <si>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</si>
  <si>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</si>
  <si>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</si>
  <si>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</si>
  <si>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</si>
  <si>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</si>
  <si>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</si>
  <si>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</si>
  <si>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</si>
  <si>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</si>
  <si>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</si>
  <si>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</si>
  <si>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</si>
  <si>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</si>
  <si>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</si>
  <si>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</si>
  <si>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</si>
  <si>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</si>
  <si>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</si>
  <si>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</si>
  <si>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</si>
  <si>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</si>
  <si>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</si>
  <si>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</si>
  <si>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</si>
  <si>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</si>
  <si>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</si>
  <si>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④ 改善優先順位（全員 29名）</t>
  </si>
  <si>
    <t>② ピッキング・梱包 内訳比較（両工程 19名）</t>
  </si>
  <si>
    <t>担当者</t>
  </si>
  <si>
    <t>工程</t>
  </si>
  <si>
    <t>総合達成率</t>
  </si>
  <si>
    <t>目標との差
(pt)</t>
  </si>
  <si>
    <t>コメント</t>
  </si>
  <si>
    <t>③ 改善優先度マトリクス（両工程 19名）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</si>
  <si>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</si>
  <si>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</si>
  <si>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</si>
  <si>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</si>
  <si>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</si>
  <si>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</si>
  <si>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</si>
  <si>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</si>
  <si>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</si>
  <si>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</si>
  <si>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</si>
  <si>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</si>
  <si>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</si>
  <si>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</si>
  <si>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</si>
  <si>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</si>
  <si>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</si>
  <si>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</si>
  <si>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</si>
  <si>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</si>
  <si>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</si>
  <si>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</si>
  <si>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</si>
  <si>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</si>
  <si>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</si>
  <si>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</si>
  <si>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</si>
  <si>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</si>
  <si>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</si>
  <si>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</si>
  <si>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</si>
  <si>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</si>
  <si>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</si>
  <si>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</si>
  <si>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</si>
  <si>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</si>
  <si>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</si>
  <si>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</si>
  <si>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</si>
  <si>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</si>
  <si>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</si>
  <si>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</si>
  <si>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</si>
  <si>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</si>
  <si>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</si>
  <si>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</si>
  <si>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</si>
  <si>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</si>
  <si>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</si>
  <si>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</si>
  <si>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</si>
  <si>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</si>
  <si>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</si>
  <si>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</si>
  <si>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</si>
  <si>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</si>
  <si>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</si>
  <si>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</si>
  <si>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</si>
  <si>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</si>
  <si>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</si>
  <si>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</si>
  <si>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</si>
  <si>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</si>
  <si>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</si>
  <si>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</si>
  <si>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</si>
  <si>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</si>
  <si>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</si>
  <si>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</si>
  <si>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</si>
  <si>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</si>
  <si>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</si>
  <si>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</si>
  <si>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</si>
  <si>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</si>
  <si>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</si>
  <si>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</si>
  <si>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</si>
  <si>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</si>
  <si>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</si>
  <si>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</si>
  <si>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</si>
  <si>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</si>
  <si>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</si>
  <si>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</si>
  <si>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</si>
  <si>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</si>
  <si>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</si>
  <si>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</si>
  <si>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</si>
  <si>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</si>
  <si>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</si>
  <si>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</si>
  <si>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</si>
  <si>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</si>
  <si>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</si>
  <si>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</si>
  <si>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</si>
  <si>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</si>
  <si>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</si>
  <si>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</si>
  <si>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</si>
  <si>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</si>
  <si>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</si>
  <si>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</si>
  <si>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</si>
  <si>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</si>
  <si>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</si>
  <si>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</si>
  <si>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</si>
  <si>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</si>
  <si>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</si>
  <si>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</si>
  <si>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</si>
  <si>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</si>
  <si>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</si>
  <si>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</si>
  <si>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</si>
  <si>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</si>
  <si>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</si>
  <si>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</si>
  <si>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</si>
  <si>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</si>
  <si>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</si>
  <si>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</si>
  <si>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</si>
  <si>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</si>
  <si>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</si>
  <si>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</si>
  <si>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</si>
  <si>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</si>
  <si>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</si>
  <si>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</si>
  <si>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</si>
  <si>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</si>
  <si>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</si>
  <si>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</si>
  <si>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</si>
  <si>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</si>
  <si>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</si>
  <si>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</si>
  <si>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</si>
  <si>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</si>
  <si>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</si>
  <si>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</si>
  <si>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</si>
  <si>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</si>
  <si>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</si>
  <si>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</si>
  <si>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</si>
  <si>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</si>
  <si>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</si>
  <si>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</si>
  <si>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</si>
  <si>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</si>
  <si>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</si>
  <si>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</si>
  <si>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</si>
  <si>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</si>
  <si>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</si>
  <si>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</si>
  <si>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</si>
  <si>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</si>
  <si>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</si>
  <si>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</si>
  <si>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</si>
  <si>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</si>
  <si>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</si>
  <si>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</si>
  <si>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</si>
  <si>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</si>
  <si>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</si>
  <si>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</si>
  <si>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</si>
  <si>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</si>
  <si>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</si>
  <si>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</si>
  <si>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</si>
  <si>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</si>
  <si>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</si>
  <si>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</si>
  <si>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</si>
  <si>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</si>
  <si>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</si>
  <si>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</si>
  <si>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</si>
  <si>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</si>
  <si>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</si>
  <si>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</si>
  <si>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</si>
  <si>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</si>
  <si>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</si>
  <si>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</si>
  <si>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</si>
  <si>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</si>
  <si>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</si>
  <si>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</si>
  <si>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</si>
  <si>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</si>
  <si>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</si>
  <si>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</si>
  <si>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</si>
  <si>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</si>
  <si>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</si>
  <si>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</si>
  <si>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</si>
  <si>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</si>
  <si>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</si>
  <si>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</si>
  <si>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</si>
  <si>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</si>
  <si>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</si>
  <si>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</si>
  <si>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</si>
  <si>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</si>
  <si>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</si>
  <si>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</si>
  <si>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</si>
  <si>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</si>
  <si>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</si>
  <si>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</si>
  <si>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</si>
  <si>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</si>
  <si>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</si>
  <si>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</si>
  <si>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</si>
  <si>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</si>
  <si>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</si>
  <si>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</si>
  <si>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</si>
  <si>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</si>
  <si>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</si>
  <si>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</si>
  <si>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</si>
  <si>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</si>
  <si>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</si>
  <si>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</si>
  <si>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</si>
  <si>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</si>
  <si>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</si>
  <si>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① リストを見る 46.0 ＋ ④ 伝票を挟む 46.0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</si>
  <si>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</si>
  <si>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</si>
  <si>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</si>
  <si>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</si>
  <si>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</si>
  <si>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</si>
  <si>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</si>
  <si>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</si>
  <si>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</si>
  <si>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</si>
  <si>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</si>
  <si>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</si>
  <si>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</si>
  <si>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</si>
  <si>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</si>
  <si>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</si>
  <si>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</si>
  <si>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</si>
  <si>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</si>
  <si>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</si>
  <si>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</si>
  <si>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</si>
  <si>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</si>
  <si>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</si>
  <si>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</si>
  <si>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</si>
  <si>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</si>
  <si>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</si>
  <si>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</si>
  <si>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</si>
  <si>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</si>
  <si>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</si>
  <si>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</si>
  <si>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</si>
  <si>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</si>
  <si>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</si>
  <si>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</si>
  <si>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</si>
  <si>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</si>
  <si>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</si>
  <si>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</si>
  <si>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</si>
  <si>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</si>
  <si>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</si>
  <si>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</si>
  <si>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</si>
  <si>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</si>
  <si>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</si>
  <si>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</si>
  <si>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</si>
  <si>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</si>
  <si>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</si>
  <si>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</si>
  <si>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</si>
  <si>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</si>
  <si>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</si>
  <si>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</si>
  <si>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</si>
  <si>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</si>
  <si>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</si>
  <si>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</si>
  <si>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</si>
  <si>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</si>
  <si>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</si>
  <si>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</si>
  <si>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</si>
  <si>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</si>
  <si>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</si>
  <si>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</si>
  <si>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</si>
  <si>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</si>
  <si>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</si>
  <si>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</si>
  <si>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</si>
  <si>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</si>
  <si>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</si>
  <si>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</si>
  <si>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</si>
  <si>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</si>
  <si>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</si>
  <si>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</si>
  <si>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</si>
  <si>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</si>
  <si>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</si>
  <si>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</si>
  <si>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</si>
  <si>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</si>
  <si>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</si>
  <si>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個人別 総合達成率（全員 29名）</t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</si>
</sst>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32" fillId="2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/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4" fillId="0" borderId="0" xfId="0" applyFont="1"/>
    <xf numFmtId="0" fontId="9" fillId="0" borderId="1" xfId="0" applyFont="1" applyBorder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8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102.3828228228228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56.60244897959183</c:v>
                </c:pt>
                <c:pt idx="1">
                  <c:v>98.22111111111111</c:v>
                </c:pt>
                <c:pt idx="2">
                  <c:v>85.86263157894736</c:v>
                </c:pt>
                <c:pt idx="3">
                  <c:v>76.88366336633663</c:v>
                </c:pt>
                <c:pt idx="4">
                  <c:v>99.64362464183381</c:v>
                </c:pt>
                <c:pt idx="5">
                  <c:v>79.35816135084428</c:v>
                </c:pt>
                <c:pt idx="6">
                  <c:v>80.2896370582617</c:v>
                </c:pt>
                <c:pt idx="7">
                  <c:v>80.89163346613546</c:v>
                </c:pt>
                <c:pt idx="8">
                  <c:v>121.32499999999997</c:v>
                </c:pt>
                <c:pt idx="9">
                  <c:v>88.02662271805272</c:v>
                </c:pt>
                <c:pt idx="10">
                  <c:v>89.99333688699362</c:v>
                </c:pt>
                <c:pt idx="11">
                  <c:v>91.34864864864863</c:v>
                </c:pt>
                <c:pt idx="12">
                  <c:v>81.8917597765363</c:v>
                </c:pt>
                <c:pt idx="13">
                  <c:v>101.71352549889134</c:v>
                </c:pt>
                <c:pt idx="14">
                  <c:v>106.22178879910837</c:v>
                </c:pt>
                <c:pt idx="15">
                  <c:v>96.54257425742574</c:v>
                </c:pt>
                <c:pt idx="16">
                  <c:v>106.8047477744807</c:v>
                </c:pt>
                <c:pt idx="17">
                  <c:v>111.60069735006972</c:v>
                </c:pt>
                <c:pt idx="18">
                  <c:v>100.59261744966443</c:v>
                </c:pt>
                <c:pt idx="19">
                  <c:v>138.5160642570281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52.27737789203085</c:v>
                </c:pt>
                <c:pt idx="2">
                  <c:v>65.7034771774833</c:v>
                </c:pt>
                <c:pt idx="4">
                  <c:v>71.82954945441745</c:v>
                </c:pt>
                <c:pt idx="8">
                  <c:v>81.79246575342466</c:v>
                </c:pt>
                <c:pt idx="12">
                  <c:v>100.98448866067606</c:v>
                </c:pt>
                <c:pt idx="13">
                  <c:v>66.90456140350877</c:v>
                </c:pt>
                <c:pt idx="14">
                  <c:v>84.7367397454031</c:v>
                </c:pt>
                <c:pt idx="15">
                  <c:v>97.37824675324676</c:v>
                </c:pt>
                <c:pt idx="16">
                  <c:v>93.86370603420457</c:v>
                </c:pt>
                <c:pt idx="17">
                  <c:v>80.32650966183573</c:v>
                </c:pt>
                <c:pt idx="19">
                  <c:v>72.98028322440088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印刷用データ!$BI$3:$BI$22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138.5160642570281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72.98028322440088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80.32650966183573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93.86370603420457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66.90456140350877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98.11684782608697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97.37824675324676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85.86263157894736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1"/>
          <c:order val="3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2"/>
          <c:order val="3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4"/>
          <c:order val="3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5"/>
          <c:order val="3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5"/>
          <c:order val="4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6"/>
          <c:order val="4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7"/>
          <c:order val="4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8"/>
          <c:order val="4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9"/>
          <c:order val="4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89.99333688699362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37.0</c:v>
                </c:pt>
              </c:numCache>
            </c:numRef>
          </c:yVal>
          <c:smooth val="0"/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32.0</c:v>
                </c:pt>
              </c:numCache>
            </c:numRef>
          </c:yVal>
          <c:smooth val="0"/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56.60244897959183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9"/>
          <c:order val="7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0"/>
          <c:order val="8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1"/>
          <c:order val="8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2"/>
          <c:order val="8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3"/>
          <c:order val="8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4"/>
          <c:order val="8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5"/>
          <c:order val="8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6"/>
          <c:order val="8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7"/>
          <c:order val="8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8"/>
          <c:order val="8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9"/>
          <c:order val="8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0"/>
          <c:order val="9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1"/>
          <c:order val="9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2"/>
          <c:order val="9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3"/>
          <c:order val="9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4"/>
          <c:order val="9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5"/>
          <c:order val="9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6"/>
          <c:order val="9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7"/>
          <c:order val="9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8"/>
          <c:order val="9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9"/>
          <c:order val="9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yVal>
          <c:smooth val="1"/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141.18636363636364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/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workbookViewId="0"/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67" t="s">
        <v>2</v>
      </c>
      <c r="H2" s="68"/>
      <c r="I2" s="68"/>
      <c r="J2" s="69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5" t="s">
        <v>30</v>
      </c>
      <c r="H3" s="68"/>
      <c r="I3" s="68"/>
      <c r="J3" s="69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127.28974526492047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160.10839574130645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澤田凌</v>
      </c>
      <c r="V4">
        <f>IFERROR(INDEX(ピッキング!$L$7:$L$66,MATCH($T4,ピッキング!$A$7:$A$66,0)),"")</f>
        <v>124.86052594253862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146.61994619353155</v>
      </c>
      <c r="Z4">
        <f>IF(OR(ピッキング!$E$8="",ピッキング!$C$8=""),"",ピッキング!$E$8/ピッキング!$C$8)</f>
        <v>0.60126582278481011</v>
      </c>
      <c r="AA4">
        <f>IF(ピッキング!$G$8="","",ピッキング!$G$8)</f>
        <v>94.556962025316452</v>
      </c>
      <c r="AB4">
        <f>IF(ピッキング!$P$8="","",ピッキング!$P$8)</f>
        <v>39.180379746835442</v>
      </c>
      <c r="AD4">
        <f t="shared" si="0"/>
        <v>1</v>
      </c>
      <c r="AE4">
        <f>IF(AD4=1,SUM($AD$3:AD4),"")</f>
        <v>2</v>
      </c>
      <c r="AF4">
        <f t="shared" si="1"/>
        <v>0.60126582278481011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0.60126582278481011</v>
      </c>
      <c r="AL4">
        <f t="shared" si="5"/>
        <v>39.180379746835442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大江美記子</v>
      </c>
      <c r="V5">
        <f>IFERROR(INDEX(ピッキング!$L$7:$L$66,MATCH($T5,ピッキング!$A$7:$A$66,0)),"")</f>
        <v>120.95420151086539</v>
      </c>
      <c r="W5" t="str">
        <f>IFERROR(INDEX(梱包!$B$7:$B$66,MATCH($T5,梱包!$A$7:$A$66,0)),"")</f>
        <v>北田倫子</v>
      </c>
      <c r="X5">
        <f>IFERROR(INDEX(梱包!$L$7:$L$66,MATCH($T5,梱包!$A$7:$A$66,0)),"")</f>
        <v>133.19600527081576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佐藤辰成</v>
      </c>
      <c r="V6">
        <f>IFERROR(INDEX(ピッキング!$L$7:$L$66,MATCH($T6,ピッキング!$A$7:$A$66,0)),"")</f>
        <v>120.11755394548538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131.00104643796593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春谷智子</v>
      </c>
      <c r="V7">
        <f>IFERROR(INDEX(ピッキング!$L$7:$L$66,MATCH($T7,ピッキング!$A$7:$A$66,0)),"")</f>
        <v>111.86290588643365</v>
      </c>
      <c r="W7" t="str">
        <f>IFERROR(INDEX(梱包!$B$7:$B$66,MATCH($T7,梱包!$A$7:$A$66,0)),"")</f>
        <v>佐藤辰成</v>
      </c>
      <c r="X7">
        <f>IFERROR(INDEX(梱包!$L$7:$L$66,MATCH($T7,梱包!$A$7:$A$66,0)),"")</f>
        <v>128.07757268601134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6" t="s">
        <v>45</v>
      </c>
      <c r="C8" s="77"/>
      <c r="D8" s="77"/>
      <c r="E8" s="77"/>
      <c r="F8" s="77"/>
      <c r="G8" s="77"/>
      <c r="H8" s="77"/>
      <c r="I8" s="77"/>
      <c r="J8" s="77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109.49437773777254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126.75845645824401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108.83316918183169</v>
      </c>
      <c r="W9" t="str">
        <f>IFERROR(INDEX(梱包!$B$7:$B$66,MATCH($T9,梱包!$A$7:$A$66,0)),"")</f>
        <v>晩田恵美</v>
      </c>
      <c r="X9">
        <f>IFERROR(INDEX(梱包!$L$7:$L$66,MATCH($T9,梱包!$A$7:$A$66,0)),"")</f>
        <v>120.16949514391577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5" t="s">
        <v>46</v>
      </c>
      <c r="C10" s="66"/>
      <c r="D10" s="66"/>
      <c r="E10" s="66"/>
      <c r="F10" s="65" t="s">
        <v>47</v>
      </c>
      <c r="G10" s="66"/>
      <c r="H10" s="66"/>
      <c r="I10" s="66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106.78993993502498</v>
      </c>
      <c r="W10" t="str">
        <f>IFERROR(INDEX(梱包!$B$7:$B$66,MATCH($T10,梱包!$A$7:$A$66,0)),"")</f>
        <v>河野忠</v>
      </c>
      <c r="X10">
        <f>IFERROR(INDEX(梱包!$L$7:$L$66,MATCH($T10,梱包!$A$7:$A$66,0)),"")</f>
        <v>114.9964054395198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82">
        <f>ピッキング!$T$10+梱包!$T$10</f>
        <v>45716</v>
      </c>
      <c r="C11" s="66"/>
      <c r="D11" s="66"/>
      <c r="E11" s="66"/>
      <c r="F11" s="79">
        <f>IFERROR((ピッキング!$T$14+梱包!$T$14)/(ピッキング!$T$12+梱包!$T$12)*100,"")</f>
        <v>99.981976574548753</v>
      </c>
      <c r="G11" s="66"/>
      <c r="H11" s="66"/>
      <c r="I11" s="66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105.79720390865057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102.18958506791222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4">
        <v>0.29399999999999998</v>
      </c>
      <c r="C12" s="66"/>
      <c r="D12" s="66"/>
      <c r="E12" s="66"/>
      <c r="F12" s="81">
        <v>6.7000000000000004E-2</v>
      </c>
      <c r="G12" s="66"/>
      <c r="H12" s="66"/>
      <c r="I12" s="66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105.51500291640784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98.746784747731013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3" t="s">
        <v>48</v>
      </c>
      <c r="C13" s="66"/>
      <c r="D13" s="66"/>
      <c r="E13" s="66"/>
      <c r="F13" s="73" t="s">
        <v>49</v>
      </c>
      <c r="G13" s="66"/>
      <c r="H13" s="66"/>
      <c r="I13" s="66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105.20453333776844</v>
      </c>
      <c r="W13" t="str">
        <f>IFERROR(INDEX(梱包!$B$7:$B$66,MATCH($T13,梱包!$A$7:$A$66,0)),"")</f>
        <v>高橋佐織</v>
      </c>
      <c r="X13">
        <f>IFERROR(INDEX(梱包!$L$7:$L$66,MATCH($T13,梱包!$A$7:$A$66,0)),"")</f>
        <v>94.989155931320283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102.50307274983271</v>
      </c>
      <c r="W14" t="str">
        <f>IFERROR(INDEX(梱包!$B$7:$B$66,MATCH($T14,梱包!$A$7:$A$66,0)),"")</f>
        <v>中村美佳</v>
      </c>
      <c r="X14">
        <f>IFERROR(INDEX(梱包!$L$7:$L$66,MATCH($T14,梱包!$A$7:$A$66,0)),"")</f>
        <v>89.601445304729197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5" t="s">
        <v>50</v>
      </c>
      <c r="C15" s="66"/>
      <c r="D15" s="66"/>
      <c r="E15" s="66"/>
      <c r="F15" s="65" t="s">
        <v>51</v>
      </c>
      <c r="G15" s="66"/>
      <c r="H15" s="66"/>
      <c r="I15" s="66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102.49958553696862</v>
      </c>
      <c r="W15" t="str">
        <f>IFERROR(INDEX(梱包!$B$7:$B$66,MATCH($T15,梱包!$A$7:$A$66,0)),"")</f>
        <v>山本祥吉</v>
      </c>
      <c r="X15">
        <f>IFERROR(INDEX(梱包!$L$7:$L$66,MATCH($T15,梱包!$A$7:$A$66,0)),"")</f>
        <v>86.545994007513698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0">
        <f>IFERROR(ピッキング!$T$13/ピッキング!$T$12,"")</f>
        <v>0.34303484294926806</v>
      </c>
      <c r="C16" s="66"/>
      <c r="D16" s="66"/>
      <c r="E16" s="66"/>
      <c r="F16" s="70">
        <f>IFERROR((ピッキング!$T$12+梱包!$T$12)/60,"")</f>
        <v>1332.8333333333333</v>
      </c>
      <c r="G16" s="66"/>
      <c r="H16" s="66"/>
      <c r="I16" s="66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101.9554031333199</v>
      </c>
      <c r="W16" t="str">
        <f>IFERROR(INDEX(梱包!$B$7:$B$66,MATCH($T16,梱包!$A$7:$A$66,0)),"")</f>
        <v>後藤克行</v>
      </c>
      <c r="X16">
        <f>IFERROR(INDEX(梱包!$L$7:$L$66,MATCH($T16,梱包!$A$7:$A$66,0)),"")</f>
        <v>82.466184184781014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83">
        <v>9.5000000000000001E-2</v>
      </c>
      <c r="C17" s="66"/>
      <c r="D17" s="66"/>
      <c r="E17" s="66"/>
      <c r="F17" s="74">
        <v>0.23799999999999999</v>
      </c>
      <c r="G17" s="66"/>
      <c r="H17" s="66"/>
      <c r="I17" s="66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101.30979777676158</v>
      </c>
      <c r="W17" t="str">
        <f>IFERROR(INDEX(梱包!$B$7:$B$66,MATCH($T17,梱包!$A$7:$A$66,0)),"")</f>
        <v>中納沙織</v>
      </c>
      <c r="X17">
        <f>IFERROR(INDEX(梱包!$L$7:$L$66,MATCH($T17,梱包!$A$7:$A$66,0)),"")</f>
        <v>81.623854973799993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3" t="s">
        <v>52</v>
      </c>
      <c r="C18" s="66"/>
      <c r="D18" s="66"/>
      <c r="E18" s="66"/>
      <c r="F18" s="73" t="s">
        <v>53</v>
      </c>
      <c r="G18" s="66"/>
      <c r="H18" s="66"/>
      <c r="I18" s="66"/>
      <c r="T18">
        <v>16</v>
      </c>
      <c r="U18" t="str">
        <f>IFERROR(INDEX(ピッキング!$B$7:$B$66,MATCH($T18,ピッキング!$A$7:$A$66,0)),"")</f>
        <v>河野忠</v>
      </c>
      <c r="V18">
        <f>IFERROR(INDEX(ピッキング!$L$7:$L$66,MATCH($T18,ピッキング!$A$7:$A$66,0)),"")</f>
        <v>101.02482891621315</v>
      </c>
      <c r="W18" t="str">
        <f>IFERROR(INDEX(梱包!$B$7:$B$66,MATCH($T18,梱包!$A$7:$A$66,0)),"")</f>
        <v>澤田凌</v>
      </c>
      <c r="X18">
        <f>IFERROR(INDEX(梱包!$L$7:$L$66,MATCH($T18,梱包!$A$7:$A$66,0)),"")</f>
        <v>77.985418867763826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木村千鶴</v>
      </c>
      <c r="V19">
        <f>IFERROR(INDEX(ピッキング!$L$7:$L$66,MATCH($T19,ピッキング!$A$7:$A$66,0)),"")</f>
        <v>100.82289288993715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74.605827454922348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99.87068040500408</v>
      </c>
      <c r="W20" t="str">
        <f>IFERROR(INDEX(梱包!$B$7:$B$66,MATCH($T20,梱包!$A$7:$A$66,0)),"")</f>
        <v>菊池敬</v>
      </c>
      <c r="X20">
        <f>IFERROR(INDEX(梱包!$L$7:$L$66,MATCH($T20,梱包!$A$7:$A$66,0)),"")</f>
        <v>69.459988943073199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99.417763038447092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60.168471740699999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94.986665946425504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0.43394684051448162</v>
      </c>
      <c r="D23" s="11" t="s">
        <v>58</v>
      </c>
      <c r="E23" s="13">
        <f>散布図!$C$14</f>
        <v>1.8675328813917116E-2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片岡達也</v>
      </c>
      <c r="V23">
        <f>IFERROR(INDEX(ピッキング!$L$7:$L$66,MATCH($T23,ピッキング!$A$7:$A$66,0)),"")</f>
        <v>93.854516940062098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廣瀬こずえ</v>
      </c>
      <c r="V24">
        <f>IFERROR(INDEX(ピッキング!$L$7:$L$66,MATCH($T24,ピッキング!$A$7:$A$66,0)),"")</f>
        <v>93.74674542156832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91.373442052986164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91.02607335819954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89.248471214873774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88.868940872437221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87.836268797835658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86.502213553209813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85.892657318260035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9.0933680502395461E-2</v>
      </c>
      <c r="D49" s="11" t="s">
        <v>58</v>
      </c>
      <c r="E49" s="16">
        <f>散布図!$C$23</f>
        <v>0.63897915074996003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78" t="s">
        <v>76</v>
      </c>
      <c r="H106" s="77"/>
      <c r="I106" s="77"/>
      <c r="J106" s="77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84" t="s">
        <v>86</v>
      </c>
      <c r="F152" s="68"/>
      <c r="G152" s="68"/>
      <c r="H152" s="68"/>
      <c r="I152" s="68"/>
      <c r="J152" s="69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71" t="s">
        <v>88</v>
      </c>
      <c r="F153" s="72"/>
      <c r="G153" s="72"/>
      <c r="H153" s="72"/>
      <c r="I153" s="72"/>
      <c r="J153" s="72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71" t="s">
        <v>90</v>
      </c>
      <c r="F154" s="72"/>
      <c r="G154" s="72"/>
      <c r="H154" s="72"/>
      <c r="I154" s="72"/>
      <c r="J154" s="72"/>
    </row>
    <row r="155" spans="2:10" x14ac:dyDescent="0.15">
      <c r="B155" s="25" t="s">
        <v>91</v>
      </c>
      <c r="C155" s="26">
        <f>ピッキング!$T$11</f>
        <v>9114</v>
      </c>
      <c r="D155" s="26">
        <f>梱包!$T$11</f>
        <v>7069</v>
      </c>
      <c r="E155" s="71" t="s">
        <v>92</v>
      </c>
      <c r="F155" s="72"/>
      <c r="G155" s="72"/>
      <c r="H155" s="72"/>
      <c r="I155" s="72"/>
      <c r="J155" s="72"/>
    </row>
    <row r="156" spans="2:10" x14ac:dyDescent="0.15">
      <c r="B156" s="25" t="s">
        <v>93</v>
      </c>
      <c r="C156" s="27">
        <f>ピッキング!$T$16</f>
        <v>2.3314680710994073</v>
      </c>
      <c r="D156" s="27">
        <f>梱包!$T$16</f>
        <v>3.4611684821049655</v>
      </c>
      <c r="E156" s="71" t="s">
        <v>94</v>
      </c>
      <c r="F156" s="72"/>
      <c r="G156" s="72"/>
      <c r="H156" s="72"/>
      <c r="I156" s="72"/>
      <c r="J156" s="72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653.11666666666667</v>
      </c>
      <c r="E157" s="71" t="s">
        <v>96</v>
      </c>
      <c r="F157" s="72"/>
      <c r="G157" s="72"/>
      <c r="H157" s="72"/>
      <c r="I157" s="72"/>
      <c r="J157" s="72"/>
    </row>
    <row r="158" spans="2:10" x14ac:dyDescent="0.15">
      <c r="B158" s="25" t="s">
        <v>97</v>
      </c>
      <c r="C158" s="28">
        <f>IFERROR(ピッキング!$T$13/60,"")</f>
        <v>233.16649999999998</v>
      </c>
      <c r="D158" s="28">
        <f>IFERROR(梱包!$T$13/60,"")</f>
        <v>180.84858333333332</v>
      </c>
      <c r="E158" s="71" t="s">
        <v>98</v>
      </c>
      <c r="F158" s="72"/>
      <c r="G158" s="72"/>
      <c r="H158" s="72"/>
      <c r="I158" s="72"/>
      <c r="J158" s="72"/>
    </row>
    <row r="159" spans="2:10" x14ac:dyDescent="0.15">
      <c r="B159" s="29" t="s">
        <v>50</v>
      </c>
      <c r="C159" s="30">
        <f>ピッキング!$T$15</f>
        <v>0.34319700380706092</v>
      </c>
      <c r="D159" s="30">
        <f>梱包!$T$15</f>
        <v>0.27686657185672164</v>
      </c>
      <c r="E159" s="71" t="s">
        <v>99</v>
      </c>
      <c r="F159" s="72"/>
      <c r="G159" s="72"/>
      <c r="H159" s="72"/>
      <c r="I159" s="72"/>
      <c r="J159" s="72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96.097600850124664</v>
      </c>
      <c r="E160" s="71" t="s">
        <v>101</v>
      </c>
      <c r="F160" s="72"/>
      <c r="G160" s="72"/>
      <c r="H160" s="72"/>
      <c r="I160" s="72"/>
      <c r="J160" s="72"/>
    </row>
    <row r="161" spans="2:10" x14ac:dyDescent="0.15">
      <c r="B161" s="29" t="s">
        <v>102</v>
      </c>
      <c r="C161" s="31">
        <f>ピッキング!$T$3</f>
        <v>103.50535792805509</v>
      </c>
      <c r="D161" s="31">
        <f>梱包!$T$3</f>
        <v>108.88546342059843</v>
      </c>
      <c r="E161" s="71" t="s">
        <v>103</v>
      </c>
      <c r="F161" s="72"/>
      <c r="G161" s="72"/>
      <c r="H161" s="72"/>
      <c r="I161" s="72"/>
      <c r="J161" s="72"/>
    </row>
    <row r="162" spans="2:10" x14ac:dyDescent="0.15">
      <c r="B162" s="25" t="s">
        <v>104</v>
      </c>
      <c r="C162" s="26">
        <f>ピッキング!$T$6</f>
        <v>3</v>
      </c>
      <c r="D162" s="26">
        <f>梱包!$T$6</f>
        <v>4</v>
      </c>
      <c r="E162" s="71" t="s">
        <v>105</v>
      </c>
      <c r="F162" s="72"/>
      <c r="G162" s="72"/>
      <c r="H162" s="72"/>
      <c r="I162" s="72"/>
      <c r="J162" s="72"/>
    </row>
    <row r="163" spans="2:10" x14ac:dyDescent="0.15">
      <c r="B163" s="25" t="s">
        <v>106</v>
      </c>
      <c r="C163" s="26">
        <f>ピッキング!$T$7</f>
        <v>26</v>
      </c>
      <c r="D163" s="26">
        <f>梱包!$T$7</f>
        <v>9</v>
      </c>
      <c r="E163" s="71" t="s">
        <v>107</v>
      </c>
      <c r="F163" s="72"/>
      <c r="G163" s="72"/>
      <c r="H163" s="72"/>
      <c r="I163" s="72"/>
      <c r="J163" s="72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6</v>
      </c>
      <c r="E164" s="71" t="s">
        <v>109</v>
      </c>
      <c r="F164" s="72"/>
      <c r="G164" s="72"/>
      <c r="H164" s="72"/>
      <c r="I164" s="72"/>
      <c r="J164" s="72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B16:E16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3"/>
  <sheetViews>
    <sheetView showGridLines="0" topLeftCell="A4" workbookViewId="0">
      <selection activeCell="B3" sqref="B3:R34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8" t="s">
        <v>113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T1" s="87" t="s">
        <v>114</v>
      </c>
      <c r="U1" s="77"/>
      <c r="V1" s="77"/>
      <c r="W1" s="77"/>
      <c r="X1" s="77"/>
      <c r="Y1" s="77"/>
      <c r="Z1" s="77"/>
      <c r="AA1" s="77"/>
    </row>
    <row r="2" spans="2:27" ht="6" customHeight="1" x14ac:dyDescent="0.15"/>
    <row r="3" spans="2:27" ht="20.100000000000001" customHeight="1" x14ac:dyDescent="0.15">
      <c r="B3" s="64" t="str">
        <f>"① 個人別 総合達成率（全員 "&amp;COUNT(印刷用データ!$AS$3:$AS$62)&amp;"名）"</f>
        <v>① 個人別 総合達成率（全員 29名）</v>
      </c>
      <c r="C3" s="64"/>
      <c r="D3" s="64"/>
      <c r="E3" s="64"/>
      <c r="F3" s="64"/>
      <c r="G3" s="64"/>
      <c r="H3" s="64"/>
      <c r="I3" s="64"/>
      <c r="J3" s="64"/>
      <c r="K3" s="64"/>
      <c r="L3" s="63"/>
      <c r="M3" s="64" t="str">
        <f>"④ 改善優先順位（全員 "&amp;COUNT(印刷用データ!$AS$3:$AS$62)&amp;"名）"</f>
        <v>④ 改善優先順位（全員 29名）</v>
      </c>
      <c r="N3" s="64"/>
      <c r="O3" s="64"/>
      <c r="P3" s="64"/>
      <c r="Q3" s="64"/>
      <c r="R3" s="64"/>
      <c r="T3" s="86" t="str">
        <f>"② ピッキング・梱包 内訳比較（改善優先 上位 "&amp;MIN(20,COUNT(印刷用データ!$AS$3:$AS$62))&amp;"名）"</f>
        <v>② ピッキング・梱包 内訳比較（改善優先 上位 20名）</v>
      </c>
      <c r="U3" s="77"/>
      <c r="V3" s="77"/>
      <c r="W3" s="77"/>
      <c r="X3" s="77"/>
      <c r="Y3" s="77"/>
      <c r="Z3" s="77"/>
      <c r="AA3" s="77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117</v>
      </c>
      <c r="O4" s="32" t="s">
        <v>118</v>
      </c>
      <c r="P4" s="32" t="s">
        <v>119</v>
      </c>
      <c r="Q4" s="32" t="s">
        <v>120</v>
      </c>
      <c r="R4" s="32" t="s">
        <v>121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6" t="str">
        <f>"③ 改善優先度マトリクス（全員 "&amp;COUNT(印刷用データ!$AS$3:$AS$62)&amp;"名）"</f>
        <v>③ 改善優先度マトリクス（全員 29名）</v>
      </c>
      <c r="U17" s="77"/>
      <c r="V17" s="77"/>
      <c r="W17" s="77"/>
      <c r="X17" s="77"/>
      <c r="Y17" s="77"/>
      <c r="Z17" s="77"/>
      <c r="AA17" s="77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102.3828228228228</v>
      </c>
      <c r="Q24" s="36">
        <f t="shared" si="0"/>
        <v>2.3828228228228028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27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27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27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27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27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27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27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27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27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27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27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27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27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27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27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27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5" t="s">
        <v>123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 spans="2:27" ht="15.95" customHeight="1" x14ac:dyDescent="0.35">
      <c r="B62" s="85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  <row r="63" spans="2:27" ht="15.95" customHeight="1" x14ac:dyDescent="0.35">
      <c r="B63" s="85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99.9％。ピッキングの未達 19.2 秒/件の内訳は、速さ由来 15.5 秒・リスト構成由来 3.6 秒（1社あたり 2.33 件のため。1.6分には 2.75 件が必要）。</v>
      </c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</row>
  </sheetData>
  <mergeCells count="9">
    <mergeCell ref="B63:AA63"/>
    <mergeCell ref="B3:K3"/>
    <mergeCell ref="M3:R3"/>
    <mergeCell ref="B62:AA62"/>
    <mergeCell ref="T17:AA17"/>
    <mergeCell ref="T1:AA1"/>
    <mergeCell ref="B1:R1"/>
    <mergeCell ref="T3:AA3"/>
    <mergeCell ref="B61:AA61"/>
  </mergeCells>
  <phoneticPr fontId="34"/>
  <conditionalFormatting sqref="M5:M54">
    <cfRule type="expression" dxfId="7" priority="1" stopIfTrue="1">
      <formula>$M5=""</formula>
    </cfRule>
  </conditionalFormatting>
  <conditionalFormatting sqref="M5:M54">
    <cfRule type="expression" dxfId="6" priority="2">
      <formula>AND($M5&lt;&gt;"",$M5&gt;4,$P5&lt;100)</formula>
    </cfRule>
  </conditionalFormatting>
  <printOptions horizontalCentered="1"/>
  <pageMargins left="0.3" right="0.3" top="0.3" bottom="0.3" header="0" footer="0"/>
  <pageSetup paperSize="8" orientation="landscape" fitToWidth="1" fitToHeight="2" horizontalDpi="600" verticalDpi="600"/>
  <rowBreaks count="1" manualBreakCount="1">
    <brk id="36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124</v>
      </c>
    </row>
    <row r="3" spans="1:12" x14ac:dyDescent="0.15">
      <c r="B3" s="3" t="s">
        <v>125</v>
      </c>
    </row>
    <row r="4" spans="1:12" x14ac:dyDescent="0.15">
      <c r="B4" s="3" t="s">
        <v>126</v>
      </c>
    </row>
    <row r="6" spans="1:12" x14ac:dyDescent="0.15">
      <c r="B6" s="7" t="s">
        <v>127</v>
      </c>
    </row>
    <row r="8" spans="1:12" x14ac:dyDescent="0.15">
      <c r="C8" s="89" t="s">
        <v>84</v>
      </c>
      <c r="D8" s="77"/>
      <c r="E8" s="77"/>
      <c r="F8" s="77"/>
      <c r="G8" s="90" t="s">
        <v>85</v>
      </c>
      <c r="H8" s="77"/>
      <c r="I8" s="77"/>
      <c r="J8" s="77"/>
    </row>
    <row r="9" spans="1:12" ht="32.1" customHeight="1" x14ac:dyDescent="0.15">
      <c r="A9" s="20" t="s">
        <v>128</v>
      </c>
      <c r="B9" s="20" t="s">
        <v>129</v>
      </c>
      <c r="C9" s="20" t="s">
        <v>130</v>
      </c>
      <c r="D9" s="20" t="s">
        <v>131</v>
      </c>
      <c r="E9" s="20" t="s">
        <v>132</v>
      </c>
      <c r="F9" s="20" t="s">
        <v>133</v>
      </c>
      <c r="G9" s="20" t="s">
        <v>130</v>
      </c>
      <c r="H9" s="20" t="s">
        <v>131</v>
      </c>
      <c r="I9" s="20" t="s">
        <v>132</v>
      </c>
      <c r="J9" s="20" t="s">
        <v>133</v>
      </c>
      <c r="L9" s="9" t="s">
        <v>134</v>
      </c>
    </row>
    <row r="10" spans="1:12" x14ac:dyDescent="0.15">
      <c r="A10" s="41">
        <f>IF(B10="","",COUNTA($B$10:B10))</f>
        <v>1</v>
      </c>
      <c r="B10" s="42" t="s">
        <v>135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136</v>
      </c>
    </row>
    <row r="11" spans="1:12" x14ac:dyDescent="0.15">
      <c r="A11" s="41">
        <f>IF(B11="","",COUNTA($B$10:B11))</f>
        <v>2</v>
      </c>
      <c r="B11" s="42" t="s">
        <v>137</v>
      </c>
      <c r="C11" s="43">
        <v>790</v>
      </c>
      <c r="D11" s="43">
        <v>1245</v>
      </c>
      <c r="E11" s="43">
        <v>475</v>
      </c>
      <c r="F11" s="43">
        <v>11</v>
      </c>
      <c r="G11" s="43">
        <v>634</v>
      </c>
      <c r="H11" s="43">
        <v>1530</v>
      </c>
      <c r="I11" s="43">
        <v>249</v>
      </c>
      <c r="J11" s="43">
        <v>10</v>
      </c>
      <c r="L11" s="3" t="s">
        <v>138</v>
      </c>
    </row>
    <row r="12" spans="1:12" x14ac:dyDescent="0.15">
      <c r="A12" s="41">
        <f>IF(B12="","",COUNTA($B$10:B12))</f>
        <v>3</v>
      </c>
      <c r="B12" s="42" t="s">
        <v>139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140</v>
      </c>
    </row>
    <row r="13" spans="1:12" x14ac:dyDescent="0.15">
      <c r="A13" s="41">
        <f>IF(B13="","",COUNTA($B$10:B13))</f>
        <v>4</v>
      </c>
      <c r="B13" s="42" t="s">
        <v>141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142</v>
      </c>
    </row>
    <row r="14" spans="1:12" x14ac:dyDescent="0.15">
      <c r="A14" s="41">
        <f>IF(B14="","",COUNTA($B$10:B14))</f>
        <v>5</v>
      </c>
      <c r="B14" s="42" t="s">
        <v>143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144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145</v>
      </c>
    </row>
    <row r="16" spans="1:12" x14ac:dyDescent="0.15">
      <c r="A16" s="41">
        <f>IF(B16="","",COUNTA($B$10:B16))</f>
        <v>7</v>
      </c>
      <c r="B16" s="42" t="s">
        <v>146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147</v>
      </c>
    </row>
    <row r="17" spans="1:12" x14ac:dyDescent="0.15">
      <c r="A17" s="41">
        <f>IF(B17="","",COUNTA($B$10:B17))</f>
        <v>8</v>
      </c>
      <c r="B17" s="42" t="s">
        <v>148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149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150</v>
      </c>
    </row>
    <row r="19" spans="1:12" x14ac:dyDescent="0.15">
      <c r="A19" s="41">
        <f>IF(B19="","",COUNTA($B$10:B19))</f>
        <v>10</v>
      </c>
      <c r="B19" s="42" t="s">
        <v>151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152</v>
      </c>
    </row>
    <row r="20" spans="1:12" x14ac:dyDescent="0.15">
      <c r="A20" s="41">
        <f>IF(B20="","",COUNTA($B$10:B20))</f>
        <v>11</v>
      </c>
      <c r="B20" s="42" t="s">
        <v>153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154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155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156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157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158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159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160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161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162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163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164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165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166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167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168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169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170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171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172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103.50535792805509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3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127.28974526492047</v>
      </c>
      <c r="M7" s="22">
        <f>IF(AND(K7&lt;&gt;"",ISNUMBER(入力!$F$10),入力!$F$10&gt;0),L7-設定!$C$21*SQRT((設定!$D$14/(設定!$D$14+設定!$D$15/入力!$F$10))*設定!$D$15/入力!$F$10),"")</f>
        <v>112.05234234092869</v>
      </c>
      <c r="N7" s="22">
        <f>IF(AND(K7&lt;&gt;"",ISNUMBER(入力!$F$10),入力!$F$10&gt;0),L7+設定!$C$21*SQRT((設定!$D$14/(設定!$D$14+設定!$D$15/入力!$F$10))*設定!$D$15/入力!$F$10),"")</f>
        <v>142.52714818891224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S7" s="47" t="s">
        <v>106</v>
      </c>
      <c r="T7" s="26">
        <f>COUNTIF(O7:O66,"○標準")</f>
        <v>26</v>
      </c>
      <c r="U7">
        <f t="shared" ref="U7:U38" si="8">IF(K7="",0,K7*C7)</f>
        <v>198593.24211045363</v>
      </c>
    </row>
    <row r="8" spans="1:21" x14ac:dyDescent="0.15">
      <c r="A8" s="48">
        <f t="shared" si="0"/>
        <v>2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475</v>
      </c>
      <c r="F8" s="27">
        <f t="shared" si="1"/>
        <v>1.6631578947368422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729.125</v>
      </c>
      <c r="I8" s="26">
        <f>IF(AND(入力!$B$11&lt;&gt;"",ISNUMBER(入力!$C$11),ISNUMBER(入力!$D$11),入力!$C$11&gt;0,入力!$D$11&gt;0),H8+設定!$E$7*C8/60,"")</f>
        <v>1724.5249999999999</v>
      </c>
      <c r="J8" s="49">
        <f t="shared" si="3"/>
        <v>0.42279758194285388</v>
      </c>
      <c r="K8" s="22">
        <f t="shared" si="4"/>
        <v>138.51606425702809</v>
      </c>
      <c r="L8" s="22">
        <f>IF(K8="","",IF(AND(K8&lt;&gt;"",ISNUMBER(入力!$F$11),入力!$F$11&gt;0),$T$3+(設定!$D$14/(設定!$D$14+設定!$D$15/入力!$F$11))*(K8-$T$3),K8))</f>
        <v>124.86052594253862</v>
      </c>
      <c r="M8" s="22">
        <f>IF(AND(K8&lt;&gt;"",ISNUMBER(入力!$F$11),入力!$F$11&gt;0),L8-設定!$C$21*SQRT((設定!$D$14/(設定!$D$14+設定!$D$15/入力!$F$11))*設定!$D$15/入力!$F$11),"")</f>
        <v>106.90780613442389</v>
      </c>
      <c r="N8" s="22">
        <f>IF(AND(K8&lt;&gt;"",ISNUMBER(入力!$F$11),入力!$F$11&gt;0),L8+設定!$C$21*SQRT((設定!$D$14/(設定!$D$14+設定!$D$15/入力!$F$11))*設定!$D$15/入力!$F$11),"")</f>
        <v>142.81324575065332</v>
      </c>
      <c r="O8" s="50" t="str">
        <f t="shared" si="5"/>
        <v>◎上位</v>
      </c>
      <c r="P8" s="22">
        <f t="shared" si="6"/>
        <v>39.180379746835442</v>
      </c>
      <c r="Q8" s="27">
        <f t="shared" si="7"/>
        <v>2.1829430379746833</v>
      </c>
      <c r="S8" s="47" t="s">
        <v>108</v>
      </c>
      <c r="T8" s="26">
        <f>COUNTIF(O7:O66,"△要支援")</f>
        <v>0</v>
      </c>
      <c r="U8">
        <f t="shared" si="8"/>
        <v>109427.69076305219</v>
      </c>
    </row>
    <row r="9" spans="1:21" x14ac:dyDescent="0.15">
      <c r="A9" s="48">
        <f t="shared" si="0"/>
        <v>3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120.95420151086539</v>
      </c>
      <c r="M9" s="22">
        <f>IF(AND(K9&lt;&gt;"",ISNUMBER(入力!$F$12),入力!$F$12&gt;0),L9-設定!$C$21*SQRT((設定!$D$14/(設定!$D$14+設定!$D$15/入力!$F$12))*設定!$D$15/入力!$F$12),"")</f>
        <v>105.06904707505451</v>
      </c>
      <c r="N9" s="22">
        <f>IF(AND(K9&lt;&gt;"",ISNUMBER(入力!$F$12),入力!$F$12&gt;0),L9+設定!$C$21*SQRT((設定!$D$14/(設定!$D$14+設定!$D$15/入力!$F$12))*設定!$D$15/入力!$F$12),"")</f>
        <v>136.83935594667628</v>
      </c>
      <c r="O9" s="50" t="str">
        <f t="shared" si="5"/>
        <v>◎上位</v>
      </c>
      <c r="P9" s="22">
        <f t="shared" si="6"/>
        <v>48.725688073394494</v>
      </c>
      <c r="Q9" s="27">
        <f t="shared" si="7"/>
        <v>2.0126350662589196</v>
      </c>
      <c r="S9" s="47"/>
      <c r="T9" s="21"/>
      <c r="U9">
        <f t="shared" si="8"/>
        <v>126181.20488599347</v>
      </c>
    </row>
    <row r="10" spans="1:21" x14ac:dyDescent="0.15">
      <c r="A10" s="48">
        <f t="shared" si="0"/>
        <v>4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120.11755394548538</v>
      </c>
      <c r="M10" s="22">
        <f>IF(AND(K10&lt;&gt;"",ISNUMBER(入力!$F$13),入力!$F$13&gt;0),L10-設定!$C$21*SQRT((設定!$D$14/(設定!$D$14+設定!$D$15/入力!$F$13))*設定!$D$15/入力!$F$13),"")</f>
        <v>101.64538006174159</v>
      </c>
      <c r="N10" s="22">
        <f>IF(AND(K10&lt;&gt;"",ISNUMBER(入力!$F$13),入力!$F$13&gt;0),L10+設定!$C$21*SQRT((設定!$D$14/(設定!$D$14+設定!$D$15/入力!$F$13))*設定!$D$15/入力!$F$13),"")</f>
        <v>138.58972782922919</v>
      </c>
      <c r="O10" s="50" t="str">
        <f t="shared" si="5"/>
        <v>○標準</v>
      </c>
      <c r="P10" s="22">
        <f t="shared" si="6"/>
        <v>52.427586206896557</v>
      </c>
      <c r="Q10" s="27">
        <f t="shared" si="7"/>
        <v>1.6005997001499248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5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111.86290588643365</v>
      </c>
      <c r="M11" s="22">
        <f>IF(AND(K11&lt;&gt;"",ISNUMBER(入力!$F$14),入力!$F$14&gt;0),L11-設定!$C$21*SQRT((設定!$D$14/(設定!$D$14+設定!$D$15/入力!$F$14))*設定!$D$15/入力!$F$14),"")</f>
        <v>88.911448305125262</v>
      </c>
      <c r="N11" s="22">
        <f>IF(AND(K11&lt;&gt;"",ISNUMBER(入力!$F$14),入力!$F$14&gt;0),L11+設定!$C$21*SQRT((設定!$D$14/(設定!$D$14+設定!$D$15/入力!$F$14))*設定!$D$15/入力!$F$14),"")</f>
        <v>134.81436346774203</v>
      </c>
      <c r="O11" s="50" t="str">
        <f t="shared" si="5"/>
        <v>○標準</v>
      </c>
      <c r="P11" s="22">
        <f t="shared" si="6"/>
        <v>48.16967213114755</v>
      </c>
      <c r="Q11" s="27">
        <f t="shared" si="7"/>
        <v>2.1784836065573767</v>
      </c>
      <c r="S11" s="47" t="s">
        <v>91</v>
      </c>
      <c r="T11" s="26">
        <f>SUMIF(I7:I66,"&gt;0",E7:E66)</f>
        <v>9114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109.49437773777254</v>
      </c>
      <c r="M12" s="22">
        <f>IF(AND(K12&lt;&gt;"",ISNUMBER(入力!$F$15),入力!$F$15&gt;0),L12-設定!$C$21*SQRT((設定!$D$14/(設定!$D$14+設定!$D$15/入力!$F$15))*設定!$D$15/入力!$F$15),"")</f>
        <v>94.831443694699686</v>
      </c>
      <c r="N12" s="22">
        <f>IF(AND(K12&lt;&gt;"",ISNUMBER(入力!$F$15),入力!$F$15&gt;0),L12+設定!$C$21*SQRT((設定!$D$14/(設定!$D$14+設定!$D$15/入力!$F$15))*設定!$D$15/入力!$F$15),"")</f>
        <v>124.15731178084539</v>
      </c>
      <c r="O12" s="50" t="str">
        <f t="shared" si="5"/>
        <v>○標準</v>
      </c>
      <c r="P12" s="22">
        <f t="shared" si="6"/>
        <v>63.16696562032886</v>
      </c>
      <c r="Q12" s="27">
        <f t="shared" si="7"/>
        <v>1.9934653712007968</v>
      </c>
      <c r="S12" s="47" t="s">
        <v>189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108.83316918183169</v>
      </c>
      <c r="M13" s="22">
        <f>IF(AND(K13&lt;&gt;"",ISNUMBER(入力!$F$16),入力!$F$16&gt;0),L13-設定!$C$21*SQRT((設定!$D$14/(設定!$D$14+設定!$D$15/入力!$F$16))*設定!$D$15/入力!$F$16),"")</f>
        <v>84.765178471286589</v>
      </c>
      <c r="N13" s="22">
        <f>IF(AND(K13&lt;&gt;"",ISNUMBER(入力!$F$16),入力!$F$16&gt;0),L13+設定!$C$21*SQRT((設定!$D$14/(設定!$D$14+設定!$D$15/入力!$F$16))*設定!$D$15/入力!$F$16),"")</f>
        <v>132.9011598923768</v>
      </c>
      <c r="O13" s="50" t="str">
        <f t="shared" si="5"/>
        <v>○標準</v>
      </c>
      <c r="P13" s="22">
        <f t="shared" si="6"/>
        <v>56.164556962025316</v>
      </c>
      <c r="Q13" s="27">
        <f t="shared" si="7"/>
        <v>1.8429113924050631</v>
      </c>
      <c r="S13" s="47" t="s">
        <v>190</v>
      </c>
      <c r="T13" s="26">
        <f>SUMIF(I7:I66,"&gt;0",H7:H66)</f>
        <v>13989.99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106.78993993502498</v>
      </c>
      <c r="M14" s="22">
        <f>IF(AND(K14&lt;&gt;"",ISNUMBER(入力!$F$17),入力!$F$17&gt;0),L14-設定!$C$21*SQRT((設定!$D$14/(設定!$D$14+設定!$D$15/入力!$F$17))*設定!$D$15/入力!$F$17),"")</f>
        <v>90.166716447402564</v>
      </c>
      <c r="N14" s="22">
        <f>IF(AND(K14&lt;&gt;"",ISNUMBER(入力!$F$17),入力!$F$17&gt;0),L14+設定!$C$21*SQRT((設定!$D$14/(設定!$D$14+設定!$D$15/入力!$F$17))*設定!$D$15/入力!$F$17),"")</f>
        <v>123.41316342264739</v>
      </c>
      <c r="O14" s="50" t="str">
        <f t="shared" si="5"/>
        <v>○標準</v>
      </c>
      <c r="P14" s="22">
        <f t="shared" si="6"/>
        <v>67.827708095781063</v>
      </c>
      <c r="Q14" s="27">
        <f t="shared" si="7"/>
        <v>1.664315849486887</v>
      </c>
      <c r="S14" s="47" t="s">
        <v>191</v>
      </c>
      <c r="T14" s="26">
        <f>SUM(I7:I66)</f>
        <v>40763.729999999989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105.79720390865057</v>
      </c>
      <c r="M15" s="22">
        <f>IF(AND(K15&lt;&gt;"",ISNUMBER(入力!$F$18),入力!$F$18&gt;0),L15-設定!$C$21*SQRT((設定!$D$14/(設定!$D$14+設定!$D$15/入力!$F$18))*設定!$D$15/入力!$F$18),"")</f>
        <v>89.912049472839698</v>
      </c>
      <c r="N15" s="22">
        <f>IF(AND(K15&lt;&gt;"",ISNUMBER(入力!$F$18),入力!$F$18&gt;0),L15+設定!$C$21*SQRT((設定!$D$14/(設定!$D$14+設定!$D$15/入力!$F$18))*設定!$D$15/入力!$F$18),"")</f>
        <v>121.68235834446145</v>
      </c>
      <c r="O15" s="50" t="str">
        <f t="shared" si="5"/>
        <v>○標準</v>
      </c>
      <c r="P15" s="22">
        <f t="shared" si="6"/>
        <v>68.289054197662068</v>
      </c>
      <c r="Q15" s="27">
        <f t="shared" si="7"/>
        <v>1.9124973432518595</v>
      </c>
      <c r="S15" s="47" t="s">
        <v>50</v>
      </c>
      <c r="T15" s="23">
        <f>IFERROR(T13/T14,"")</f>
        <v>0.34319700380706092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105.51500291640784</v>
      </c>
      <c r="M16" s="22">
        <f>IF(AND(K16&lt;&gt;"",ISNUMBER(入力!$F$19),入力!$F$19&gt;0),L16-設定!$C$21*SQRT((設定!$D$14/(設定!$D$14+設定!$D$15/入力!$F$19))*設定!$D$15/入力!$F$19),"")</f>
        <v>90.852068873334986</v>
      </c>
      <c r="N16" s="22">
        <f>IF(AND(K16&lt;&gt;"",ISNUMBER(入力!$F$19),入力!$F$19&gt;0),L16+設定!$C$21*SQRT((設定!$D$14/(設定!$D$14+設定!$D$15/入力!$F$19))*設定!$D$15/入力!$F$19),"")</f>
        <v>120.17793695948069</v>
      </c>
      <c r="O16" s="50" t="str">
        <f t="shared" si="5"/>
        <v>○標準</v>
      </c>
      <c r="P16" s="22">
        <f t="shared" si="6"/>
        <v>69.306904650070464</v>
      </c>
      <c r="Q16" s="27">
        <f t="shared" si="7"/>
        <v>1.7906528886801314</v>
      </c>
      <c r="S16" s="47" t="s">
        <v>93</v>
      </c>
      <c r="T16" s="27">
        <f>IFERROR(T10/T11,"")</f>
        <v>2.3314680710994073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105.20453333776844</v>
      </c>
      <c r="M17" s="22">
        <f>IF(AND(K17&lt;&gt;"",ISNUMBER(入力!$F$20),入力!$F$20&gt;0),L17-設定!$C$21*SQRT((設定!$D$14/(設定!$D$14+設定!$D$15/入力!$F$20))*設定!$D$15/入力!$F$20),"")</f>
        <v>86.732359454024646</v>
      </c>
      <c r="N17" s="22">
        <f>IF(AND(K17&lt;&gt;"",ISNUMBER(入力!$F$20),入力!$F$20&gt;0),L17+設定!$C$21*SQRT((設定!$D$14/(設定!$D$14+設定!$D$15/入力!$F$20))*設定!$D$15/入力!$F$20),"")</f>
        <v>123.67670722151223</v>
      </c>
      <c r="O17" s="50" t="str">
        <f t="shared" si="5"/>
        <v>○標準</v>
      </c>
      <c r="P17" s="22">
        <f t="shared" si="6"/>
        <v>69.499118942731286</v>
      </c>
      <c r="Q17" s="27">
        <f t="shared" si="7"/>
        <v>1.6905212922173274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102.50307274983271</v>
      </c>
      <c r="M18" s="22">
        <f>IF(AND(K18&lt;&gt;"",ISNUMBER(入力!$F$21),入力!$F$21&gt;0),L18-設定!$C$21*SQRT((設定!$D$14/(設定!$D$14+設定!$D$15/入力!$F$21))*設定!$D$15/入力!$F$21),"")</f>
        <v>85.879849262210314</v>
      </c>
      <c r="N18" s="22">
        <f>IF(AND(K18&lt;&gt;"",ISNUMBER(入力!$F$21),入力!$F$21&gt;0),L18+設定!$C$21*SQRT((設定!$D$14/(設定!$D$14+設定!$D$15/入力!$F$21))*設定!$D$15/入力!$F$21),"")</f>
        <v>119.12629623745511</v>
      </c>
      <c r="O18" s="50" t="str">
        <f t="shared" si="5"/>
        <v>○標準</v>
      </c>
      <c r="P18" s="22">
        <f t="shared" si="6"/>
        <v>73.033974358974348</v>
      </c>
      <c r="Q18" s="27">
        <f t="shared" si="7"/>
        <v>2.1816559829059825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102.49958553696862</v>
      </c>
      <c r="M19" s="22">
        <f>IF(AND(K19&lt;&gt;"",ISNUMBER(入力!$F$22),入力!$F$22&gt;0),L19-設定!$C$21*SQRT((設定!$D$14/(設定!$D$14+設定!$D$15/入力!$F$22))*設定!$D$15/入力!$F$22),"")</f>
        <v>83.46008990735919</v>
      </c>
      <c r="N19" s="22">
        <f>IF(AND(K19&lt;&gt;"",ISNUMBER(入力!$F$22),入力!$F$22&gt;0),L19+設定!$C$21*SQRT((設定!$D$14/(設定!$D$14+設定!$D$15/入力!$F$22))*設定!$D$15/入力!$F$22),"")</f>
        <v>121.53908116657806</v>
      </c>
      <c r="O19" s="50" t="str">
        <f t="shared" si="5"/>
        <v>○標準</v>
      </c>
      <c r="P19" s="22">
        <f t="shared" si="6"/>
        <v>73.571653543307079</v>
      </c>
      <c r="Q19" s="27">
        <f t="shared" si="7"/>
        <v>2.0066841644794398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101.9554031333199</v>
      </c>
      <c r="M20" s="22">
        <f>IF(AND(K20&lt;&gt;"",ISNUMBER(入力!$F$23),入力!$F$23&gt;0),L20-設定!$C$21*SQRT((設定!$D$14/(設定!$D$14+設定!$D$15/入力!$F$23))*設定!$D$15/入力!$F$23),"")</f>
        <v>82.292883820091276</v>
      </c>
      <c r="N20" s="22">
        <f>IF(AND(K20&lt;&gt;"",ISNUMBER(入力!$F$23),入力!$F$23&gt;0),L20+設定!$C$21*SQRT((設定!$D$14/(設定!$D$14+設定!$D$15/入力!$F$23))*設定!$D$15/入力!$F$23),"")</f>
        <v>121.61792244654853</v>
      </c>
      <c r="O20" s="50" t="str">
        <f t="shared" si="5"/>
        <v>○標準</v>
      </c>
      <c r="P20" s="22">
        <f t="shared" si="6"/>
        <v>74.973758865248229</v>
      </c>
      <c r="Q20" s="27">
        <f t="shared" si="7"/>
        <v>1.7716666666666665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101.30979777676158</v>
      </c>
      <c r="M21" s="22">
        <f>IF(AND(K21&lt;&gt;"",ISNUMBER(入力!$F$24),入力!$F$24&gt;0),L21-設定!$C$21*SQRT((設定!$D$14/(設定!$D$14+設定!$D$15/入力!$F$24))*設定!$D$15/入力!$F$24),"")</f>
        <v>79.332633428660046</v>
      </c>
      <c r="N21" s="22">
        <f>IF(AND(K21&lt;&gt;"",ISNUMBER(入力!$F$24),入力!$F$24&gt;0),L21+設定!$C$21*SQRT((設定!$D$14/(設定!$D$14+設定!$D$15/入力!$F$24))*設定!$D$15/入力!$F$24),"")</f>
        <v>123.28696212486312</v>
      </c>
      <c r="O21" s="50" t="str">
        <f t="shared" si="5"/>
        <v>○標準</v>
      </c>
      <c r="P21" s="22">
        <f t="shared" si="6"/>
        <v>77.803211009174305</v>
      </c>
      <c r="Q21" s="27">
        <f t="shared" si="7"/>
        <v>2.0274999999999999</v>
      </c>
      <c r="U21">
        <f t="shared" si="8"/>
        <v>21412.202222222222</v>
      </c>
    </row>
    <row r="22" spans="1:21" x14ac:dyDescent="0.15">
      <c r="A22" s="48">
        <f t="shared" si="0"/>
        <v>16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101.02482891621315</v>
      </c>
      <c r="M22" s="22">
        <f>IF(AND(K22&lt;&gt;"",ISNUMBER(入力!$F$25),入力!$F$25&gt;0),L22-設定!$C$21*SQRT((設定!$D$14/(設定!$D$14+設定!$D$15/入力!$F$25))*設定!$D$15/入力!$F$25),"")</f>
        <v>79.907561728169497</v>
      </c>
      <c r="N22" s="22">
        <f>IF(AND(K22&lt;&gt;"",ISNUMBER(入力!$F$25),入力!$F$25&gt;0),L22+設定!$C$21*SQRT((設定!$D$14/(設定!$D$14+設定!$D$15/入力!$F$25))*設定!$D$15/入力!$F$25),"")</f>
        <v>122.14209610425681</v>
      </c>
      <c r="O22" s="50" t="str">
        <f t="shared" si="5"/>
        <v>○標準</v>
      </c>
      <c r="P22" s="22">
        <f t="shared" si="6"/>
        <v>77.827500000000015</v>
      </c>
      <c r="Q22" s="27">
        <f t="shared" si="7"/>
        <v>1.9343035714285715</v>
      </c>
      <c r="U22">
        <f t="shared" si="8"/>
        <v>27472.717391304352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100.82289288993715</v>
      </c>
      <c r="M23" s="22">
        <f>IF(AND(K23&lt;&gt;"",ISNUMBER(入力!$F$26),入力!$F$26&gt;0),L23-設定!$C$21*SQRT((設定!$D$14/(設定!$D$14+設定!$D$15/入力!$F$26))*設定!$D$15/入力!$F$26),"")</f>
        <v>84.937738454126276</v>
      </c>
      <c r="N23" s="22">
        <f>IF(AND(K23&lt;&gt;"",ISNUMBER(入力!$F$26),入力!$F$26&gt;0),L23+設定!$C$21*SQRT((設定!$D$14/(設定!$D$14+設定!$D$15/入力!$F$26))*設定!$D$15/入力!$F$26),"")</f>
        <v>116.70804732574803</v>
      </c>
      <c r="O23" s="50" t="str">
        <f t="shared" si="5"/>
        <v>○標準</v>
      </c>
      <c r="P23" s="22">
        <f t="shared" si="6"/>
        <v>76.031982633863961</v>
      </c>
      <c r="Q23" s="27">
        <f t="shared" si="7"/>
        <v>2.0130607814761219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99.87068040500408</v>
      </c>
      <c r="M24" s="22">
        <f>IF(AND(K24&lt;&gt;"",ISNUMBER(入力!$F$27),入力!$F$27&gt;0),L24-設定!$C$21*SQRT((設定!$D$14/(設定!$D$14+設定!$D$15/入力!$F$27))*設定!$D$15/入力!$F$27),"")</f>
        <v>75.802689694458962</v>
      </c>
      <c r="N24" s="22">
        <f>IF(AND(K24&lt;&gt;"",ISNUMBER(入力!$F$27),入力!$F$27&gt;0),L24+設定!$C$21*SQRT((設定!$D$14/(設定!$D$14+設定!$D$15/入力!$F$27))*設定!$D$15/入力!$F$27),"")</f>
        <v>123.9386711155492</v>
      </c>
      <c r="O24" s="50" t="str">
        <f t="shared" si="5"/>
        <v>○標準</v>
      </c>
      <c r="P24" s="22">
        <f t="shared" si="6"/>
        <v>87.142067307692315</v>
      </c>
      <c r="Q24" s="27">
        <f t="shared" si="7"/>
        <v>2.0311899038461538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99.417763038447092</v>
      </c>
      <c r="M25" s="22">
        <f>IF(AND(K25&lt;&gt;"",ISNUMBER(入力!$F$28),入力!$F$28&gt;0),L25-設定!$C$21*SQRT((設定!$D$14/(設定!$D$14+設定!$D$15/入力!$F$28))*設定!$D$15/入力!$F$28),"")</f>
        <v>80.945589154703299</v>
      </c>
      <c r="N25" s="22">
        <f>IF(AND(K25&lt;&gt;"",ISNUMBER(入力!$F$28),入力!$F$28&gt;0),L25+設定!$C$21*SQRT((設定!$D$14/(設定!$D$14+設定!$D$15/入力!$F$28))*設定!$D$15/入力!$F$28),"")</f>
        <v>117.88993692219088</v>
      </c>
      <c r="O25" s="50" t="str">
        <f t="shared" si="5"/>
        <v>○標準</v>
      </c>
      <c r="P25" s="22">
        <f t="shared" si="6"/>
        <v>80.135064935064918</v>
      </c>
      <c r="Q25" s="27">
        <f t="shared" si="7"/>
        <v>2.1105627705627703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94.986665946425504</v>
      </c>
      <c r="M26" s="22">
        <f>IF(AND(K26&lt;&gt;"",ISNUMBER(入力!$F$29),入力!$F$29&gt;0),L26-設定!$C$21*SQRT((設定!$D$14/(設定!$D$14+設定!$D$15/入力!$F$29))*設定!$D$15/入力!$F$29),"")</f>
        <v>77.511906197184771</v>
      </c>
      <c r="N26" s="22">
        <f>IF(AND(K26&lt;&gt;"",ISNUMBER(入力!$F$29),入力!$F$29&gt;0),L26+設定!$C$21*SQRT((設定!$D$14/(設定!$D$14+設定!$D$15/入力!$F$29))*設定!$D$15/入力!$F$29),"")</f>
        <v>112.46142569566624</v>
      </c>
      <c r="O26" s="50" t="str">
        <f t="shared" si="5"/>
        <v>○標準</v>
      </c>
      <c r="P26" s="22">
        <f t="shared" si="6"/>
        <v>88.606351039260971</v>
      </c>
      <c r="Q26" s="27">
        <f t="shared" si="7"/>
        <v>1.9495092378752887</v>
      </c>
      <c r="U26">
        <f t="shared" si="8"/>
        <v>77934.229744136479</v>
      </c>
    </row>
    <row r="27" spans="1:21" x14ac:dyDescent="0.15">
      <c r="A27" s="48">
        <f t="shared" si="0"/>
        <v>21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93.854516940062098</v>
      </c>
      <c r="M27" s="22">
        <f>IF(AND(K27&lt;&gt;"",ISNUMBER(入力!$F$30),入力!$F$30&gt;0),L27-設定!$C$21*SQRT((設定!$D$14/(設定!$D$14+設定!$D$15/入力!$F$30))*設定!$D$15/入力!$F$30),"")</f>
        <v>70.903059358753708</v>
      </c>
      <c r="N27" s="22">
        <f>IF(AND(K27&lt;&gt;"",ISNUMBER(入力!$F$30),入力!$F$30&gt;0),L27+設定!$C$21*SQRT((設定!$D$14/(設定!$D$14+設定!$D$15/入力!$F$30))*設定!$D$15/入力!$F$30),"")</f>
        <v>116.80597452137049</v>
      </c>
      <c r="O27" s="50" t="str">
        <f t="shared" si="5"/>
        <v>○標準</v>
      </c>
      <c r="P27" s="22">
        <f t="shared" si="6"/>
        <v>118.05000000000001</v>
      </c>
      <c r="Q27" s="27">
        <f t="shared" si="7"/>
        <v>2.3531060606060605</v>
      </c>
      <c r="U27">
        <f t="shared" si="8"/>
        <v>5074.3217821782182</v>
      </c>
    </row>
    <row r="28" spans="1:21" x14ac:dyDescent="0.15">
      <c r="A28" s="48">
        <f t="shared" si="0"/>
        <v>22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93.74674542156832</v>
      </c>
      <c r="M28" s="22">
        <f>IF(AND(K28&lt;&gt;"",ISNUMBER(入力!$F$31),入力!$F$31&gt;0),L28-設定!$C$21*SQRT((設定!$D$14/(設定!$D$14+設定!$D$15/入力!$F$31))*設定!$D$15/入力!$F$31),"")</f>
        <v>76.271985672327588</v>
      </c>
      <c r="N28" s="22">
        <f>IF(AND(K28&lt;&gt;"",ISNUMBER(入力!$F$31),入力!$F$31&gt;0),L28+設定!$C$21*SQRT((設定!$D$14/(設定!$D$14+設定!$D$15/入力!$F$31))*設定!$D$15/入力!$F$31),"")</f>
        <v>111.22150517080905</v>
      </c>
      <c r="O28" s="50" t="str">
        <f t="shared" si="5"/>
        <v>○標準</v>
      </c>
      <c r="P28" s="22">
        <f t="shared" si="6"/>
        <v>92.505608591885462</v>
      </c>
      <c r="Q28" s="27">
        <f t="shared" si="7"/>
        <v>2.0714618138424816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91.373442052986164</v>
      </c>
      <c r="M29" s="22">
        <f>IF(AND(K29&lt;&gt;"",ISNUMBER(入力!$F$32),入力!$F$32&gt;0),L29-設定!$C$21*SQRT((設定!$D$14/(設定!$D$14+設定!$D$15/入力!$F$32))*設定!$D$15/入力!$F$32),"")</f>
        <v>72.33394642337673</v>
      </c>
      <c r="N29" s="22">
        <f>IF(AND(K29&lt;&gt;"",ISNUMBER(入力!$F$32),入力!$F$32&gt;0),L29+設定!$C$21*SQRT((設定!$D$14/(設定!$D$14+設定!$D$15/入力!$F$32))*設定!$D$15/入力!$F$32),"")</f>
        <v>110.4129376825956</v>
      </c>
      <c r="O29" s="50" t="str">
        <f t="shared" si="5"/>
        <v>○標準</v>
      </c>
      <c r="P29" s="22">
        <f t="shared" si="6"/>
        <v>98.821791044776134</v>
      </c>
      <c r="Q29" s="27">
        <f t="shared" si="7"/>
        <v>1.7502835820895519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91.02607335819954</v>
      </c>
      <c r="M30" s="22">
        <f>IF(AND(K30&lt;&gt;"",ISNUMBER(入力!$F$33),入力!$F$33&gt;0),L30-設定!$C$21*SQRT((設定!$D$14/(設定!$D$14+設定!$D$15/入力!$F$33))*設定!$D$15/入力!$F$33),"")</f>
        <v>75.474903327853724</v>
      </c>
      <c r="N30" s="22">
        <f>IF(AND(K30&lt;&gt;"",ISNUMBER(入力!$F$33),入力!$F$33&gt;0),L30+設定!$C$21*SQRT((設定!$D$14/(設定!$D$14+設定!$D$15/入力!$F$33))*設定!$D$15/入力!$F$33),"")</f>
        <v>106.57724338854536</v>
      </c>
      <c r="O30" s="50" t="str">
        <f t="shared" si="5"/>
        <v>○標準</v>
      </c>
      <c r="P30" s="22">
        <f t="shared" si="6"/>
        <v>94.695497630331758</v>
      </c>
      <c r="Q30" s="27">
        <f t="shared" si="7"/>
        <v>1.9329265402843601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89.248471214873774</v>
      </c>
      <c r="M31" s="22">
        <f>IF(AND(K31&lt;&gt;"",ISNUMBER(入力!$F$34),入力!$F$34&gt;0),L31-設定!$C$21*SQRT((設定!$D$14/(設定!$D$14+設定!$D$15/入力!$F$34))*設定!$D$15/入力!$F$34),"")</f>
        <v>71.773711465633056</v>
      </c>
      <c r="N31" s="22">
        <f>IF(AND(K31&lt;&gt;"",ISNUMBER(入力!$F$34),入力!$F$34&gt;0),L31+設定!$C$21*SQRT((設定!$D$14/(設定!$D$14+設定!$D$15/入力!$F$34))*設定!$D$15/入力!$F$34),"")</f>
        <v>106.72323096411449</v>
      </c>
      <c r="O31" s="50" t="str">
        <f t="shared" si="5"/>
        <v>○標準</v>
      </c>
      <c r="P31" s="22">
        <f t="shared" si="6"/>
        <v>102.00110091743119</v>
      </c>
      <c r="Q31" s="27">
        <f t="shared" si="7"/>
        <v>1.8627339449541285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88.868940872437221</v>
      </c>
      <c r="M32" s="22">
        <f>IF(AND(K32&lt;&gt;"",ISNUMBER(入力!$F$35),入力!$F$35&gt;0),L32-設定!$C$21*SQRT((設定!$D$14/(設定!$D$14+設定!$D$15/入力!$F$35))*設定!$D$15/入力!$F$35),"")</f>
        <v>71.394181123196489</v>
      </c>
      <c r="N32" s="22">
        <f>IF(AND(K32&lt;&gt;"",ISNUMBER(入力!$F$35),入力!$F$35&gt;0),L32+設定!$C$21*SQRT((設定!$D$14/(設定!$D$14+設定!$D$15/入力!$F$35))*設定!$D$15/入力!$F$35),"")</f>
        <v>106.34370062167795</v>
      </c>
      <c r="O32" s="50" t="str">
        <f t="shared" si="5"/>
        <v>○標準</v>
      </c>
      <c r="P32" s="22">
        <f t="shared" si="6"/>
        <v>104.46258741258742</v>
      </c>
      <c r="Q32" s="27">
        <f t="shared" si="7"/>
        <v>1.9595163170163168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87.836268797835658</v>
      </c>
      <c r="M33" s="22">
        <f>IF(AND(K33&lt;&gt;"",ISNUMBER(入力!$F$36),入力!$F$36&gt;0),L33-設定!$C$21*SQRT((設定!$D$14/(設定!$D$14+設定!$D$15/入力!$F$36))*設定!$D$15/入力!$F$36),"")</f>
        <v>70.803220578403213</v>
      </c>
      <c r="N33" s="22">
        <f>IF(AND(K33&lt;&gt;"",ISNUMBER(入力!$F$36),入力!$F$36&gt;0),L33+設定!$C$21*SQRT((設定!$D$14/(設定!$D$14+設定!$D$15/入力!$F$36))*設定!$D$15/入力!$F$36),"")</f>
        <v>104.8693170172681</v>
      </c>
      <c r="O33" s="50" t="str">
        <f t="shared" si="5"/>
        <v>○標準</v>
      </c>
      <c r="P33" s="22">
        <f t="shared" si="6"/>
        <v>105.28192446043165</v>
      </c>
      <c r="Q33" s="27">
        <f t="shared" si="7"/>
        <v>1.9018839928057554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86.502213553209813</v>
      </c>
      <c r="M34" s="22">
        <f>IF(AND(K34&lt;&gt;"",ISNUMBER(入力!$F$37),入力!$F$37&gt;0),L34-設定!$C$21*SQRT((設定!$D$14/(設定!$D$14+設定!$D$15/入力!$F$37))*設定!$D$15/入力!$F$37),"")</f>
        <v>63.550755971901424</v>
      </c>
      <c r="N34" s="22">
        <f>IF(AND(K34&lt;&gt;"",ISNUMBER(入力!$F$37),入力!$F$37&gt;0),L34+設定!$C$21*SQRT((設定!$D$14/(設定!$D$14+設定!$D$15/入力!$F$37))*設定!$D$15/入力!$F$37),"")</f>
        <v>109.4536711345182</v>
      </c>
      <c r="O34" s="50" t="str">
        <f t="shared" si="5"/>
        <v>○標準</v>
      </c>
      <c r="P34" s="22">
        <f t="shared" si="6"/>
        <v>161.80864864864867</v>
      </c>
      <c r="Q34" s="27">
        <f t="shared" si="7"/>
        <v>1.8739999999999997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85.892657318260035</v>
      </c>
      <c r="M35" s="22">
        <f>IF(AND(K35&lt;&gt;"",ISNUMBER(入力!$F$38),入力!$F$38&gt;0),L35-設定!$C$21*SQRT((設定!$D$14/(設定!$D$14+設定!$D$15/入力!$F$38))*設定!$D$15/入力!$F$38),"")</f>
        <v>67.939937510145313</v>
      </c>
      <c r="N35" s="22">
        <f>IF(AND(K35&lt;&gt;"",ISNUMBER(入力!$F$38),入力!$F$38&gt;0),L35+設定!$C$21*SQRT((設定!$D$14/(設定!$D$14+設定!$D$15/入力!$F$38))*設定!$D$15/入力!$F$38),"")</f>
        <v>103.84537712637476</v>
      </c>
      <c r="O35" s="50" t="str">
        <f t="shared" si="5"/>
        <v>○標準</v>
      </c>
      <c r="P35" s="22">
        <f t="shared" si="6"/>
        <v>118.51328413284132</v>
      </c>
      <c r="Q35" s="27">
        <f t="shared" si="7"/>
        <v>2.1039667896678966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5" priority="1">
      <formula>$O7="◎上位"</formula>
    </cfRule>
    <cfRule type="expression" dxfId="4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S24" sqref="S24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192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108.88546342059843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4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146.61994619353155</v>
      </c>
      <c r="M7" s="22">
        <f>IF(AND(K7&lt;&gt;"",ISNUMBER(入力!$J$10),入力!$J$10&gt;0),L7-設定!$C$21*SQRT((設定!$D$17/(設定!$D$17+設定!$D$18/入力!$J$10))*設定!$D$18/入力!$J$10),"")</f>
        <v>131.3531584093534</v>
      </c>
      <c r="N7" s="22">
        <f>IF(AND(K7&lt;&gt;"",ISNUMBER(入力!$J$10),入力!$J$10&gt;0),L7+設定!$C$21*SQRT((設定!$D$17/(設定!$D$17+設定!$D$18/入力!$J$10))*設定!$D$18/入力!$J$10),"")</f>
        <v>161.8867339777097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S7" s="47" t="s">
        <v>106</v>
      </c>
      <c r="T7" s="26">
        <f>COUNTIF(O7:O66,"○標準")</f>
        <v>9</v>
      </c>
      <c r="U7">
        <f t="shared" ref="U7:U38" si="8">IF(K7="",0,K7*C7)</f>
        <v>373142.34090034623</v>
      </c>
    </row>
    <row r="8" spans="1:21" x14ac:dyDescent="0.15">
      <c r="A8" s="48">
        <f t="shared" si="0"/>
        <v>16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1530</v>
      </c>
      <c r="E8" s="26">
        <f>IF(AND(AND(入力!$B$11&lt;&gt;"",ISNUMBER(入力!$G$11),ISNUMBER(入力!$H$11),入力!$G$11&gt;0,入力!$H$11&gt;0),ISNUMBER(入力!$I$11),入力!$I$11&gt;0),入力!$I$11,"")</f>
        <v>249</v>
      </c>
      <c r="F8" s="27">
        <f t="shared" si="1"/>
        <v>2.5461847389558234</v>
      </c>
      <c r="G8" s="22">
        <f t="shared" si="2"/>
        <v>144.79495268138803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382.21499999999997</v>
      </c>
      <c r="I8" s="26">
        <f>IF(AND(入力!$B$11&lt;&gt;"",ISNUMBER(入力!$G$11),ISNUMBER(入力!$H$11),入力!$G$11&gt;0,入力!$H$11&gt;0),H8+設定!$E$9*C8/60,"")</f>
        <v>1116.5983333333334</v>
      </c>
      <c r="J8" s="49">
        <f t="shared" si="3"/>
        <v>0.34230303645446958</v>
      </c>
      <c r="K8" s="22">
        <f t="shared" si="4"/>
        <v>72.980283224400878</v>
      </c>
      <c r="L8" s="22">
        <f>IF(K8="","",IF(AND(K8&lt;&gt;"",ISNUMBER(入力!$J$11),入力!$J$11&gt;0),$T$3+(設定!$D$17/(設定!$D$17+設定!$D$18/入力!$J$11))*(K8-$T$3),K8))</f>
        <v>77.985418867763826</v>
      </c>
      <c r="M8" s="22">
        <f>IF(AND(K8&lt;&gt;"",ISNUMBER(入力!$J$11),入力!$J$11&gt;0),L8-設定!$C$21*SQRT((設定!$D$17/(設定!$D$17+設定!$D$18/入力!$J$11))*設定!$D$18/入力!$J$11),"")</f>
        <v>57.160931076239777</v>
      </c>
      <c r="N8" s="22">
        <f>IF(AND(K8&lt;&gt;"",ISNUMBER(入力!$J$11),入力!$J$11&gt;0),L8+設定!$C$21*SQRT((設定!$D$17/(設定!$D$17+設定!$D$18/入力!$J$11))*設定!$D$18/入力!$J$11),"")</f>
        <v>98.809906659287876</v>
      </c>
      <c r="O8" s="50" t="str">
        <f t="shared" si="5"/>
        <v>△要支援</v>
      </c>
      <c r="P8" s="22">
        <f t="shared" si="6"/>
        <v>108.62318611987382</v>
      </c>
      <c r="Q8" s="27">
        <f t="shared" si="7"/>
        <v>1.76119610935857</v>
      </c>
      <c r="S8" s="47" t="s">
        <v>108</v>
      </c>
      <c r="T8" s="26">
        <f>COUNTIF(O7:O66,"△要支援")</f>
        <v>6</v>
      </c>
      <c r="U8">
        <f t="shared" si="8"/>
        <v>46269.499564270154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131.00104643796593</v>
      </c>
      <c r="M9" s="22">
        <f>IF(AND(K9&lt;&gt;"",ISNUMBER(入力!$J$12),入力!$J$12&gt;0),L9-設定!$C$21*SQRT((設定!$D$17/(設定!$D$17+設定!$D$18/入力!$J$12))*設定!$D$18/入力!$J$12),"")</f>
        <v>115.36844379470793</v>
      </c>
      <c r="N9" s="22">
        <f>IF(AND(K9&lt;&gt;"",ISNUMBER(入力!$J$12),入力!$J$12&gt;0),L9+設定!$C$21*SQRT((設定!$D$17/(設定!$D$17+設定!$D$18/入力!$J$12))*設定!$D$18/入力!$J$12),"")</f>
        <v>146.63364908122392</v>
      </c>
      <c r="O9" s="50" t="str">
        <f t="shared" si="5"/>
        <v>◎上位</v>
      </c>
      <c r="P9" s="22">
        <f t="shared" si="6"/>
        <v>46.419151376146793</v>
      </c>
      <c r="Q9" s="27">
        <f t="shared" si="7"/>
        <v>1.5544055810397552</v>
      </c>
      <c r="S9" s="47"/>
      <c r="T9" s="21"/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128.07757268601134</v>
      </c>
      <c r="M10" s="22">
        <f>IF(AND(K10&lt;&gt;"",ISNUMBER(入力!$J$13),入力!$J$13&gt;0),L10-設定!$C$21*SQRT((設定!$D$17/(設定!$D$17+設定!$D$18/入力!$J$13))*設定!$D$18/入力!$J$13),"")</f>
        <v>103.89930548657932</v>
      </c>
      <c r="N10" s="22">
        <f>IF(AND(K10&lt;&gt;"",ISNUMBER(入力!$J$13),入力!$J$13&gt;0),L10+設定!$C$21*SQRT((設定!$D$17/(設定!$D$17+設定!$D$18/入力!$J$13))*設定!$D$18/入力!$J$13),"")</f>
        <v>152.25583988544335</v>
      </c>
      <c r="O10" s="50" t="str">
        <f t="shared" si="5"/>
        <v>○標準</v>
      </c>
      <c r="P10" s="22">
        <f t="shared" si="6"/>
        <v>48.546126760563389</v>
      </c>
      <c r="Q10" s="27">
        <f t="shared" si="7"/>
        <v>1.4231748826291077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 t="shared" si="5"/>
        <v/>
      </c>
      <c r="P11" s="22" t="str">
        <f t="shared" si="6"/>
        <v/>
      </c>
      <c r="Q11" s="27" t="str">
        <f t="shared" si="7"/>
        <v/>
      </c>
      <c r="S11" s="47" t="s">
        <v>91</v>
      </c>
      <c r="T11" s="26">
        <f>SUMIF(I7:I66,"&gt;0",E7:E66)</f>
        <v>7069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82.466184184781014</v>
      </c>
      <c r="M12" s="22">
        <f>IF(AND(K12&lt;&gt;"",ISNUMBER(入力!$J$15),入力!$J$15&gt;0),L12-設定!$C$21*SQRT((設定!$D$17/(設定!$D$17+設定!$D$18/入力!$J$15))*設定!$D$18/入力!$J$15),"")</f>
        <v>67.199396400602865</v>
      </c>
      <c r="N12" s="22">
        <f>IF(AND(K12&lt;&gt;"",ISNUMBER(入力!$J$15),入力!$J$15&gt;0),L12+設定!$C$21*SQRT((設定!$D$17/(設定!$D$17+設定!$D$18/入力!$J$15))*設定!$D$18/入力!$J$15),"")</f>
        <v>97.732971968959163</v>
      </c>
      <c r="O12" s="50" t="str">
        <f t="shared" si="5"/>
        <v>△要支援</v>
      </c>
      <c r="P12" s="22">
        <f t="shared" si="6"/>
        <v>92.42702322308233</v>
      </c>
      <c r="Q12" s="27">
        <f t="shared" si="7"/>
        <v>1.5601771053248883</v>
      </c>
      <c r="S12" s="47" t="s">
        <v>189</v>
      </c>
      <c r="T12" s="26">
        <f>SUMIF(I7:I66,"&gt;0",D7:D66)</f>
        <v>39187</v>
      </c>
      <c r="U12">
        <f t="shared" si="8"/>
        <v>114143.97022946857</v>
      </c>
    </row>
    <row r="13" spans="1:21" x14ac:dyDescent="0.15">
      <c r="A13" s="48">
        <f t="shared" si="0"/>
        <v>12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89.601445304729197</v>
      </c>
      <c r="M13" s="22">
        <f>IF(AND(K13&lt;&gt;"",ISNUMBER(入力!$J$16),入力!$J$16&gt;0),L13-設定!$C$21*SQRT((設定!$D$17/(設定!$D$17+設定!$D$18/入力!$J$16))*設定!$D$18/入力!$J$16),"")</f>
        <v>59.657186301225835</v>
      </c>
      <c r="N13" s="22">
        <f>IF(AND(K13&lt;&gt;"",ISNUMBER(入力!$J$16),入力!$J$16&gt;0),L13+設定!$C$21*SQRT((設定!$D$17/(設定!$D$17+設定!$D$18/入力!$J$16))*設定!$D$18/入力!$J$16),"")</f>
        <v>119.54570430823256</v>
      </c>
      <c r="O13" s="50" t="str">
        <f t="shared" si="5"/>
        <v>○標準</v>
      </c>
      <c r="P13" s="22">
        <f t="shared" si="6"/>
        <v>90.76639999999999</v>
      </c>
      <c r="Q13" s="27">
        <f t="shared" si="7"/>
        <v>1.5922266666666667</v>
      </c>
      <c r="S13" s="47" t="s">
        <v>190</v>
      </c>
      <c r="T13" s="26">
        <f>SUMIF(I7:I66,"&gt;0",H7:H66)</f>
        <v>10850.914999999999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120.16949514391577</v>
      </c>
      <c r="M14" s="22">
        <f>IF(AND(K14&lt;&gt;"",ISNUMBER(入力!$J$17),入力!$J$17&gt;0),L14-設定!$C$21*SQRT((設定!$D$17/(設定!$D$17+設定!$D$18/入力!$J$17))*設定!$D$18/入力!$J$17),"")</f>
        <v>104.53689250065779</v>
      </c>
      <c r="N14" s="22">
        <f>IF(AND(K14&lt;&gt;"",ISNUMBER(入力!$J$17),入力!$J$17&gt;0),L14+設定!$C$21*SQRT((設定!$D$17/(設定!$D$17+設定!$D$18/入力!$J$17))*設定!$D$18/入力!$J$17),"")</f>
        <v>135.80209778717375</v>
      </c>
      <c r="O14" s="50" t="str">
        <f t="shared" si="5"/>
        <v>○標準</v>
      </c>
      <c r="P14" s="22">
        <f t="shared" si="6"/>
        <v>51.865741062131207</v>
      </c>
      <c r="Q14" s="27">
        <f t="shared" si="7"/>
        <v>1.6847408307300704</v>
      </c>
      <c r="S14" s="47" t="s">
        <v>191</v>
      </c>
      <c r="T14" s="26">
        <f>SUM(I7:I66)</f>
        <v>39191.856666666659</v>
      </c>
      <c r="U14">
        <f t="shared" si="8"/>
        <v>348979.78882788448</v>
      </c>
    </row>
    <row r="15" spans="1:21" x14ac:dyDescent="0.15">
      <c r="A15" s="48">
        <f t="shared" si="0"/>
        <v>11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94.989155931320283</v>
      </c>
      <c r="M15" s="22">
        <f>IF(AND(K15&lt;&gt;"",ISNUMBER(入力!$J$18),入力!$J$18&gt;0),L15-設定!$C$21*SQRT((設定!$D$17/(設定!$D$17+設定!$D$18/入力!$J$18))*設定!$D$18/入力!$J$18),"")</f>
        <v>79.722368147142134</v>
      </c>
      <c r="N15" s="22">
        <f>IF(AND(K15&lt;&gt;"",ISNUMBER(入力!$J$18),入力!$J$18&gt;0),L15+設定!$C$21*SQRT((設定!$D$17/(設定!$D$17+設定!$D$18/入力!$J$18))*設定!$D$18/入力!$J$18),"")</f>
        <v>110.25594371549843</v>
      </c>
      <c r="O15" s="50" t="str">
        <f t="shared" si="5"/>
        <v>○標準</v>
      </c>
      <c r="P15" s="22">
        <f t="shared" si="6"/>
        <v>75.781213872832367</v>
      </c>
      <c r="Q15" s="27">
        <f t="shared" si="7"/>
        <v>1.6013411780897329</v>
      </c>
      <c r="S15" s="47" t="s">
        <v>50</v>
      </c>
      <c r="T15" s="23">
        <f>IFERROR(T13/T14,"")</f>
        <v>0.27686657185672164</v>
      </c>
      <c r="U15">
        <f t="shared" si="8"/>
        <v>227337.89601484346</v>
      </c>
    </row>
    <row r="16" spans="1:21" x14ac:dyDescent="0.15">
      <c r="A16" s="48">
        <f t="shared" si="0"/>
        <v>13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86.545994007513698</v>
      </c>
      <c r="M16" s="22">
        <f>IF(AND(K16&lt;&gt;"",ISNUMBER(入力!$J$19),入力!$J$19&gt;0),L16-設定!$C$21*SQRT((設定!$D$17/(設定!$D$17+設定!$D$18/入力!$J$19))*設定!$D$18/入力!$J$19),"")</f>
        <v>71.279206223335549</v>
      </c>
      <c r="N16" s="22">
        <f>IF(AND(K16&lt;&gt;"",ISNUMBER(入力!$J$19),入力!$J$19&gt;0),L16+設定!$C$21*SQRT((設定!$D$17/(設定!$D$17+設定!$D$18/入力!$J$19))*設定!$D$18/入力!$J$19),"")</f>
        <v>101.81278179169185</v>
      </c>
      <c r="O16" s="50" t="str">
        <f t="shared" si="5"/>
        <v>△要支援</v>
      </c>
      <c r="P16" s="22">
        <f t="shared" si="6"/>
        <v>86.230426356589135</v>
      </c>
      <c r="Q16" s="27">
        <f t="shared" si="7"/>
        <v>1.5480329457364339</v>
      </c>
      <c r="S16" s="47" t="s">
        <v>93</v>
      </c>
      <c r="T16" s="27">
        <f>IFERROR(T10/T11,"")</f>
        <v>3.4611684821049655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160.10839574130645</v>
      </c>
      <c r="M17" s="22">
        <f>IF(AND(K17&lt;&gt;"",ISNUMBER(入力!$J$20),入力!$J$20&gt;0),L17-設定!$C$21*SQRT((設定!$D$17/(設定!$D$17+設定!$D$18/入力!$J$20))*設定!$D$18/入力!$J$20),"")</f>
        <v>135.93012854187444</v>
      </c>
      <c r="N17" s="22">
        <f>IF(AND(K17&lt;&gt;"",ISNUMBER(入力!$J$20),入力!$J$20&gt;0),L17+設定!$C$21*SQRT((設定!$D$17/(設定!$D$17+設定!$D$18/入力!$J$20))*設定!$D$18/入力!$J$20),"")</f>
        <v>184.28666294073847</v>
      </c>
      <c r="O17" s="50" t="str">
        <f t="shared" si="5"/>
        <v>◎上位</v>
      </c>
      <c r="P17" s="22">
        <f t="shared" si="6"/>
        <v>32.144831460674162</v>
      </c>
      <c r="Q17" s="27">
        <f t="shared" si="7"/>
        <v>1.4877546816479401</v>
      </c>
      <c r="S17" s="47" t="s">
        <v>100</v>
      </c>
      <c r="T17" s="22">
        <f>IFERROR(T12*60/T10,"")</f>
        <v>96.097600850124664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133.19600527081576</v>
      </c>
      <c r="M18" s="22">
        <f>IF(AND(K18&lt;&gt;"",ISNUMBER(入力!$J$21),入力!$J$21&gt;0),L18-設定!$C$21*SQRT((設定!$D$17/(設定!$D$17+設定!$D$18/入力!$J$21))*設定!$D$18/入力!$J$21),"")</f>
        <v>114.63066675713404</v>
      </c>
      <c r="N18" s="22">
        <f>IF(AND(K18&lt;&gt;"",ISNUMBER(入力!$J$21),入力!$J$21&gt;0),L18+設定!$C$21*SQRT((設定!$D$17/(設定!$D$17+設定!$D$18/入力!$J$21))*設定!$D$18/入力!$J$21),"")</f>
        <v>151.76134378449748</v>
      </c>
      <c r="O18" s="50" t="str">
        <f t="shared" si="5"/>
        <v>◎上位</v>
      </c>
      <c r="P18" s="22">
        <f t="shared" si="6"/>
        <v>43.001941747572815</v>
      </c>
      <c r="Q18" s="27">
        <f t="shared" si="7"/>
        <v>1.6607743874248728</v>
      </c>
      <c r="U18">
        <f t="shared" si="8"/>
        <v>196436.54569586649</v>
      </c>
    </row>
    <row r="19" spans="1:21" x14ac:dyDescent="0.15">
      <c r="A19" s="48">
        <f t="shared" si="0"/>
        <v>15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81.623854973799993</v>
      </c>
      <c r="M19" s="22">
        <f>IF(AND(K19&lt;&gt;"",ISNUMBER(入力!$J$22),入力!$J$22&gt;0),L19-設定!$C$21*SQRT((設定!$D$17/(設定!$D$17+設定!$D$18/入力!$J$22))*設定!$D$18/入力!$J$22),"")</f>
        <v>48.597354460797391</v>
      </c>
      <c r="N19" s="22">
        <f>IF(AND(K19&lt;&gt;"",ISNUMBER(入力!$J$22),入力!$J$22&gt;0),L19+設定!$C$21*SQRT((設定!$D$17/(設定!$D$17+設定!$D$18/入力!$J$22))*設定!$D$18/入力!$J$22),"")</f>
        <v>114.6503554868026</v>
      </c>
      <c r="O19" s="50" t="str">
        <f t="shared" si="5"/>
        <v>○標準</v>
      </c>
      <c r="P19" s="22">
        <f t="shared" si="6"/>
        <v>111.60803571428572</v>
      </c>
      <c r="Q19" s="27">
        <f t="shared" si="7"/>
        <v>1.418735119047619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 t="shared" si="5"/>
        <v/>
      </c>
      <c r="P20" s="22" t="str">
        <f t="shared" si="6"/>
        <v/>
      </c>
      <c r="Q20" s="27" t="str">
        <f t="shared" si="7"/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60.168471740699999</v>
      </c>
      <c r="M21" s="22">
        <f>IF(AND(K21&lt;&gt;"",ISNUMBER(入力!$J$24),入力!$J$24&gt;0),L21-設定!$C$21*SQRT((設定!$D$17/(設定!$D$17+設定!$D$18/入力!$J$24))*設定!$D$18/入力!$J$24),"")</f>
        <v>39.34398394917595</v>
      </c>
      <c r="N21" s="22">
        <f>IF(AND(K21&lt;&gt;"",ISNUMBER(入力!$J$24),入力!$J$24&gt;0),L21+設定!$C$21*SQRT((設定!$D$17/(設定!$D$17+設定!$D$18/入力!$J$24))*設定!$D$18/入力!$J$24),"")</f>
        <v>80.992959532224049</v>
      </c>
      <c r="O21" s="50" t="str">
        <f t="shared" si="5"/>
        <v>△要支援</v>
      </c>
      <c r="P21" s="22">
        <f t="shared" si="6"/>
        <v>157.90047619047618</v>
      </c>
      <c r="Q21" s="27">
        <f t="shared" si="7"/>
        <v>1.6139603174603177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114.9964054395198</v>
      </c>
      <c r="M22" s="22">
        <f>IF(AND(K22&lt;&gt;"",ISNUMBER(入力!$J$25),入力!$J$25&gt;0),L22-設定!$C$21*SQRT((設定!$D$17/(設定!$D$17+設定!$D$18/入力!$J$25))*設定!$D$18/入力!$J$25),"")</f>
        <v>90.818138240087791</v>
      </c>
      <c r="N22" s="22">
        <f>IF(AND(K22&lt;&gt;"",ISNUMBER(入力!$J$25),入力!$J$25&gt;0),L22+設定!$C$21*SQRT((設定!$D$17/(設定!$D$17+設定!$D$18/入力!$J$25))*設定!$D$18/入力!$J$25),"")</f>
        <v>139.17467263895182</v>
      </c>
      <c r="O22" s="50" t="str">
        <f t="shared" si="5"/>
        <v>○標準</v>
      </c>
      <c r="P22" s="22">
        <f t="shared" si="6"/>
        <v>58.126138279932555</v>
      </c>
      <c r="Q22" s="27">
        <f t="shared" si="7"/>
        <v>1.344707700955593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74.605827454922348</v>
      </c>
      <c r="M23" s="22">
        <f>IF(AND(K23&lt;&gt;"",ISNUMBER(入力!$J$26),入力!$J$26&gt;0),L23-設定!$C$21*SQRT((設定!$D$17/(設定!$D$17+設定!$D$18/入力!$J$26))*設定!$D$18/入力!$J$26),"")</f>
        <v>59.339039670744199</v>
      </c>
      <c r="N23" s="22">
        <f>IF(AND(K23&lt;&gt;"",ISNUMBER(入力!$J$26),入力!$J$26&gt;0),L23+設定!$C$21*SQRT((設定!$D$17/(設定!$D$17+設定!$D$18/入力!$J$26))*設定!$D$18/入力!$J$26),"")</f>
        <v>89.872615239100497</v>
      </c>
      <c r="O23" s="50" t="str">
        <f t="shared" si="5"/>
        <v>△要支援</v>
      </c>
      <c r="P23" s="22">
        <f t="shared" si="6"/>
        <v>106.08617142857143</v>
      </c>
      <c r="Q23" s="27">
        <f t="shared" si="7"/>
        <v>1.5548019047619046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 t="shared" si="5"/>
        <v/>
      </c>
      <c r="P24" s="22" t="str">
        <f t="shared" si="6"/>
        <v/>
      </c>
      <c r="Q24" s="27" t="str">
        <f t="shared" si="7"/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98.746784747731013</v>
      </c>
      <c r="M25" s="22">
        <f>IF(AND(K25&lt;&gt;"",ISNUMBER(入力!$J$28),入力!$J$28&gt;0),L25-設定!$C$21*SQRT((設定!$D$17/(設定!$D$17+設定!$D$18/入力!$J$28))*設定!$D$18/入力!$J$28),"")</f>
        <v>79.511959635943597</v>
      </c>
      <c r="N25" s="22">
        <f>IF(AND(K25&lt;&gt;"",ISNUMBER(入力!$J$28),入力!$J$28&gt;0),L25+設定!$C$21*SQRT((設定!$D$17/(設定!$D$17+設定!$D$18/入力!$J$28))*設定!$D$18/入力!$J$28),"")</f>
        <v>117.98160985951843</v>
      </c>
      <c r="O25" s="50" t="str">
        <f t="shared" si="5"/>
        <v>○標準</v>
      </c>
      <c r="P25" s="22">
        <f t="shared" si="6"/>
        <v>72.268571428571434</v>
      </c>
      <c r="Q25" s="27">
        <f t="shared" si="7"/>
        <v>1.7138571428571427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 t="shared" si="5"/>
        <v/>
      </c>
      <c r="P26" s="22" t="str">
        <f t="shared" si="6"/>
        <v/>
      </c>
      <c r="Q26" s="27" t="str">
        <f t="shared" si="7"/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 t="shared" si="5"/>
        <v/>
      </c>
      <c r="P27" s="22" t="str">
        <f t="shared" si="6"/>
        <v/>
      </c>
      <c r="Q27" s="27" t="str">
        <f t="shared" si="7"/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 t="shared" si="5"/>
        <v/>
      </c>
      <c r="P28" s="22" t="str">
        <f t="shared" si="6"/>
        <v/>
      </c>
      <c r="Q28" s="27" t="str">
        <f t="shared" si="7"/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102.18958506791222</v>
      </c>
      <c r="M29" s="22">
        <f>IF(AND(K29&lt;&gt;"",ISNUMBER(入力!$J$32),入力!$J$32&gt;0),L29-設定!$C$21*SQRT((設定!$D$17/(設定!$D$17+設定!$D$18/入力!$J$32))*設定!$D$18/入力!$J$32),"")</f>
        <v>80.406694173190601</v>
      </c>
      <c r="N29" s="22">
        <f>IF(AND(K29&lt;&gt;"",ISNUMBER(入力!$J$32),入力!$J$32&gt;0),L29+設定!$C$21*SQRT((設定!$D$17/(設定!$D$17+設定!$D$18/入力!$J$32))*設定!$D$18/入力!$J$32),"")</f>
        <v>123.97247596263384</v>
      </c>
      <c r="O29" s="50" t="str">
        <f t="shared" si="5"/>
        <v>○標準</v>
      </c>
      <c r="P29" s="22">
        <f t="shared" si="6"/>
        <v>68.551237113402053</v>
      </c>
      <c r="Q29" s="27">
        <f t="shared" si="7"/>
        <v>1.6219982817869414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69.459988943073199</v>
      </c>
      <c r="M30" s="22">
        <f>IF(AND(K30&lt;&gt;"",ISNUMBER(入力!$J$33),入力!$J$33&gt;0),L30-設定!$C$21*SQRT((設定!$D$17/(設定!$D$17+設定!$D$18/入力!$J$33))*設定!$D$18/入力!$J$33),"")</f>
        <v>53.009226654047183</v>
      </c>
      <c r="N30" s="22">
        <f>IF(AND(K30&lt;&gt;"",ISNUMBER(入力!$J$33),入力!$J$33&gt;0),L30+設定!$C$21*SQRT((設定!$D$17/(設定!$D$17+設定!$D$18/入力!$J$33))*設定!$D$18/入力!$J$33),"")</f>
        <v>85.910751232099216</v>
      </c>
      <c r="O30" s="50" t="str">
        <f t="shared" si="5"/>
        <v>△要支援</v>
      </c>
      <c r="P30" s="22">
        <f t="shared" si="6"/>
        <v>120.69256128486899</v>
      </c>
      <c r="Q30" s="27">
        <f t="shared" si="7"/>
        <v>1.6345336714567482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 t="shared" si="5"/>
        <v/>
      </c>
      <c r="P31" s="22" t="str">
        <f t="shared" si="6"/>
        <v/>
      </c>
      <c r="Q31" s="27" t="str">
        <f t="shared" si="7"/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 t="shared" si="5"/>
        <v/>
      </c>
      <c r="P32" s="22" t="str">
        <f t="shared" si="6"/>
        <v/>
      </c>
      <c r="Q32" s="27" t="str">
        <f t="shared" si="7"/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 t="shared" si="5"/>
        <v/>
      </c>
      <c r="P33" s="22" t="str">
        <f t="shared" si="6"/>
        <v/>
      </c>
      <c r="Q33" s="27" t="str">
        <f t="shared" si="7"/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 t="shared" si="5"/>
        <v/>
      </c>
      <c r="P34" s="22" t="str">
        <f t="shared" si="6"/>
        <v/>
      </c>
      <c r="Q34" s="27" t="str">
        <f t="shared" si="7"/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126.75845645824401</v>
      </c>
      <c r="M35" s="22">
        <f>IF(AND(K35&lt;&gt;"",ISNUMBER(入力!$J$38),入力!$J$38&gt;0),L35-設定!$C$21*SQRT((設定!$D$17/(設定!$D$17+設定!$D$18/入力!$J$38))*設定!$D$18/入力!$J$38),"")</f>
        <v>107.5236313464566</v>
      </c>
      <c r="N35" s="22">
        <f>IF(AND(K35&lt;&gt;"",ISNUMBER(入力!$J$38),入力!$J$38&gt;0),L35+設定!$C$21*SQRT((設定!$D$17/(設定!$D$17+設定!$D$18/入力!$J$38))*設定!$D$18/入力!$J$38),"")</f>
        <v>145.99328157003143</v>
      </c>
      <c r="O35" s="50" t="str">
        <f t="shared" si="5"/>
        <v>○標準</v>
      </c>
      <c r="P35" s="22">
        <f t="shared" si="6"/>
        <v>45.316399622997174</v>
      </c>
      <c r="Q35" s="27">
        <f t="shared" si="7"/>
        <v>1.7847753691486019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3" priority="1">
      <formula>$O7="◎上位"</formula>
    </cfRule>
    <cfRule type="expression" dxfId="2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193</v>
      </c>
    </row>
    <row r="3" spans="2:16" x14ac:dyDescent="0.15">
      <c r="B3" s="3" t="s">
        <v>194</v>
      </c>
    </row>
    <row r="4" spans="2:16" x14ac:dyDescent="0.15">
      <c r="B4" s="17" t="s">
        <v>195</v>
      </c>
    </row>
    <row r="6" spans="2:16" x14ac:dyDescent="0.15">
      <c r="B6" s="7" t="s">
        <v>127</v>
      </c>
    </row>
    <row r="7" spans="2:16" ht="32.1" customHeight="1" x14ac:dyDescent="0.15">
      <c r="B7" s="20" t="s">
        <v>196</v>
      </c>
      <c r="C7" s="20" t="s">
        <v>197</v>
      </c>
      <c r="D7" s="20" t="s">
        <v>198</v>
      </c>
      <c r="E7" s="20" t="s">
        <v>199</v>
      </c>
      <c r="F7" s="20" t="s">
        <v>200</v>
      </c>
      <c r="G7" s="20" t="s">
        <v>201</v>
      </c>
      <c r="H7" s="20" t="s">
        <v>202</v>
      </c>
      <c r="I7" s="20" t="s">
        <v>203</v>
      </c>
      <c r="J7" s="20" t="s">
        <v>204</v>
      </c>
      <c r="K7" s="20" t="s">
        <v>205</v>
      </c>
      <c r="L7" s="20" t="s">
        <v>179</v>
      </c>
      <c r="M7" s="20" t="s">
        <v>206</v>
      </c>
      <c r="N7" s="20" t="s">
        <v>207</v>
      </c>
      <c r="O7" s="20" t="s">
        <v>208</v>
      </c>
      <c r="P7" s="20" t="s">
        <v>209</v>
      </c>
    </row>
    <row r="8" spans="2:16" x14ac:dyDescent="0.15">
      <c r="B8" s="21" t="s">
        <v>210</v>
      </c>
      <c r="C8" s="50" t="s">
        <v>211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212</v>
      </c>
      <c r="C9" s="50" t="s">
        <v>213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214</v>
      </c>
      <c r="C10" s="50" t="s">
        <v>215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216</v>
      </c>
      <c r="C11" s="50" t="s">
        <v>217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218</v>
      </c>
      <c r="C12" s="50" t="s">
        <v>219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220</v>
      </c>
      <c r="C13" s="50" t="s">
        <v>221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222</v>
      </c>
      <c r="C14" s="50" t="s">
        <v>223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224</v>
      </c>
      <c r="C15" s="50" t="s">
        <v>225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226</v>
      </c>
      <c r="C16" s="50" t="s">
        <v>227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228</v>
      </c>
      <c r="C17" s="50" t="s">
        <v>229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230</v>
      </c>
      <c r="C18" s="50" t="s">
        <v>231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232</v>
      </c>
      <c r="C19" s="50" t="s">
        <v>233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234</v>
      </c>
      <c r="C20" s="50" t="s">
        <v>235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236</v>
      </c>
      <c r="C21" s="50" t="s">
        <v>237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238</v>
      </c>
      <c r="C22" s="50" t="s">
        <v>239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240</v>
      </c>
      <c r="C23" s="50" t="s">
        <v>241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242</v>
      </c>
      <c r="C24" s="50" t="s">
        <v>243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244</v>
      </c>
      <c r="C25" s="50" t="s">
        <v>245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246</v>
      </c>
      <c r="C26" s="50" t="s">
        <v>247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248</v>
      </c>
      <c r="C27" s="50" t="s">
        <v>249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250</v>
      </c>
      <c r="C28" s="50" t="s">
        <v>251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252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17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253</v>
      </c>
    </row>
    <row r="3" spans="2:68" x14ac:dyDescent="0.15">
      <c r="B3" s="3" t="s">
        <v>254</v>
      </c>
    </row>
    <row r="5" spans="2:68" x14ac:dyDescent="0.15">
      <c r="B5" s="7" t="s">
        <v>127</v>
      </c>
    </row>
    <row r="6" spans="2:68" x14ac:dyDescent="0.15">
      <c r="T6" s="1" t="s">
        <v>0</v>
      </c>
    </row>
    <row r="7" spans="2:68" x14ac:dyDescent="0.15">
      <c r="B7" s="9" t="s">
        <v>255</v>
      </c>
      <c r="T7" s="3" t="s">
        <v>117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256</v>
      </c>
      <c r="AA7" s="3" t="s">
        <v>257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258</v>
      </c>
      <c r="AN7" s="3" t="s">
        <v>259</v>
      </c>
      <c r="AO7" s="3" t="s">
        <v>11</v>
      </c>
      <c r="AP7" s="3" t="s">
        <v>12</v>
      </c>
      <c r="AQ7" s="3" t="s">
        <v>260</v>
      </c>
      <c r="AR7" s="3" t="s">
        <v>261</v>
      </c>
      <c r="AT7" s="3" t="s">
        <v>262</v>
      </c>
      <c r="AU7" s="3" t="s">
        <v>263</v>
      </c>
      <c r="AW7" s="3" t="s">
        <v>264</v>
      </c>
      <c r="AX7" s="3" t="s">
        <v>265</v>
      </c>
      <c r="AY7" s="3" t="s">
        <v>266</v>
      </c>
      <c r="AZ7" s="3" t="s">
        <v>267</v>
      </c>
      <c r="BA7" s="3" t="s">
        <v>268</v>
      </c>
      <c r="BC7" s="3" t="s">
        <v>11</v>
      </c>
      <c r="BD7" s="3" t="s">
        <v>12</v>
      </c>
      <c r="BE7" s="3" t="s">
        <v>269</v>
      </c>
      <c r="BF7" s="3" t="s">
        <v>270</v>
      </c>
      <c r="BH7" s="3" t="s">
        <v>11</v>
      </c>
      <c r="BI7" s="3" t="s">
        <v>12</v>
      </c>
      <c r="BJ7" s="3" t="s">
        <v>271</v>
      </c>
      <c r="BK7" s="3" t="s">
        <v>272</v>
      </c>
      <c r="BL7" s="3" t="s">
        <v>273</v>
      </c>
      <c r="BM7" s="3" t="s">
        <v>274</v>
      </c>
      <c r="BO7" s="3" t="s">
        <v>275</v>
      </c>
      <c r="BP7" s="3" t="s">
        <v>276</v>
      </c>
    </row>
    <row r="8" spans="2:68" ht="27.95" customHeight="1" x14ac:dyDescent="0.15">
      <c r="B8" s="91" t="s">
        <v>277</v>
      </c>
      <c r="C8" s="77"/>
      <c r="D8" s="77"/>
      <c r="E8" s="77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127.28974526492047</v>
      </c>
      <c r="Y8">
        <f>IF(梱包!$L$7="","",梱包!$L$7)</f>
        <v>146.61994619353155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127.28974526492047</v>
      </c>
      <c r="AR8">
        <f t="shared" ref="AR8:AR39" si="11">IFERROR(INDEX($Y$8:$Y$67,MATCH(AB8,$AP$8:$AP$67,0)),"")</f>
        <v>146.61994619353155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127.28974526492047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127.28974526492047</v>
      </c>
      <c r="BM8">
        <f t="shared" ref="BM8:BM39" si="19">IF(OR(BK8="",BL8=""),"",ABS(BK8-BL8))</f>
        <v>9.294327713383268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278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0.60126582278481011</v>
      </c>
      <c r="V9">
        <f>IF(ピッキング!$G$8="","",ピッキング!$G$8)</f>
        <v>94.556962025316452</v>
      </c>
      <c r="W9">
        <f>IF(ピッキング!$P$8="","",ピッキング!$P$8)</f>
        <v>39.180379746835442</v>
      </c>
      <c r="X9">
        <f>IF(ピッキング!$L$8="","",ピッキング!$L$8)</f>
        <v>124.86052594253862</v>
      </c>
      <c r="Y9">
        <f>IF(梱包!$L$8="","",梱包!$L$8)</f>
        <v>77.985418867763826</v>
      </c>
      <c r="Z9">
        <f>IF(OR(梱包!$E$8="",梱包!$C$8=""),"",梱包!$E$8/梱包!$C$8)</f>
        <v>0.39274447949526814</v>
      </c>
      <c r="AA9">
        <f>IF(梱包!$G$8="","",梱包!$G$8)</f>
        <v>144.79495268138803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0.60126582278481011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0.60126582278481011</v>
      </c>
      <c r="AJ9">
        <f t="shared" si="5"/>
        <v>39.180379746835442</v>
      </c>
      <c r="AK9">
        <f t="shared" si="6"/>
        <v>1</v>
      </c>
      <c r="AL9">
        <f>IF(AK9=1,SUM($AK$8:AK9),"")</f>
        <v>2</v>
      </c>
      <c r="AM9">
        <f t="shared" si="7"/>
        <v>0.39274447949526814</v>
      </c>
      <c r="AN9">
        <f t="shared" si="8"/>
        <v>144.79495268138803</v>
      </c>
      <c r="AO9">
        <f t="shared" si="9"/>
        <v>1</v>
      </c>
      <c r="AP9">
        <f>IF(AO9=1,SUM($AO$8:AO9),"")</f>
        <v>2</v>
      </c>
      <c r="AQ9">
        <f t="shared" si="10"/>
        <v>124.86052594253862</v>
      </c>
      <c r="AR9">
        <f t="shared" si="11"/>
        <v>77.985418867763826</v>
      </c>
      <c r="AT9">
        <f>MAX(AE8:AE67)</f>
        <v>0.71212121212121215</v>
      </c>
      <c r="AU9">
        <f>設定!$E$6*AT9+設定!$E$7</f>
        <v>141.18636363636364</v>
      </c>
      <c r="AW9">
        <f>IF(ピッキング!$I$8="","",ピッキング!$I$8)</f>
        <v>1724.5249999999999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138.51606425702809</v>
      </c>
      <c r="BA9">
        <f>IF(ピッキング!$L$8="","",ピッキング!$L$8)</f>
        <v>124.86052594253862</v>
      </c>
      <c r="BC9">
        <f t="shared" si="12"/>
        <v>1</v>
      </c>
      <c r="BD9">
        <f>IF(BC9=1,SUM($BC$8:BC9),"")</f>
        <v>2</v>
      </c>
      <c r="BE9">
        <f t="shared" si="13"/>
        <v>1724.5249999999999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138.51606425702809</v>
      </c>
      <c r="BL9">
        <f t="shared" si="18"/>
        <v>124.86052594253862</v>
      </c>
      <c r="BM9">
        <f t="shared" si="19"/>
        <v>13.655538314489476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0.43394684051448162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120.95420151086539</v>
      </c>
      <c r="Y10">
        <f>IF(梱包!$L$9="","",梱包!$L$9)</f>
        <v>131.00104643796593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120.95420151086539</v>
      </c>
      <c r="AR10">
        <f t="shared" si="11"/>
        <v>131.00104643796593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120.95420151086539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120.95420151086539</v>
      </c>
      <c r="BM10">
        <f t="shared" si="19"/>
        <v>7.6708799223593616</v>
      </c>
    </row>
    <row r="11" spans="2:68" x14ac:dyDescent="0.15">
      <c r="B11" s="25" t="s">
        <v>279</v>
      </c>
      <c r="C11" s="52">
        <f>IFERROR(RSQ($AF$8:$AF$67,$AE$8:$AE$67),"")</f>
        <v>0.18830986039250094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120.11755394548538</v>
      </c>
      <c r="Y11">
        <f>IF(梱包!$L$10="","",梱包!$L$10)</f>
        <v>128.07757268601134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120.11755394548538</v>
      </c>
      <c r="AR11">
        <f t="shared" si="11"/>
        <v>128.07757268601134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120.11755394548538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120.11755394548538</v>
      </c>
      <c r="BM11">
        <f t="shared" si="19"/>
        <v>11.684915190317071</v>
      </c>
    </row>
    <row r="12" spans="2:68" x14ac:dyDescent="0.15">
      <c r="B12" s="25" t="s">
        <v>280</v>
      </c>
      <c r="C12" s="22">
        <f>IFERROR(SLOPE($AF$8:$AF$67,$AE$8:$AE$67),"")</f>
        <v>113.64440313804464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111.86290588643365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109.49437773777254</v>
      </c>
      <c r="AR12">
        <f t="shared" si="11"/>
        <v>82.466184184781014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111.86290588643365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111.86290588643365</v>
      </c>
      <c r="BM12">
        <f t="shared" si="19"/>
        <v>14.696617923090145</v>
      </c>
    </row>
    <row r="13" spans="2:68" x14ac:dyDescent="0.15">
      <c r="B13" s="25" t="s">
        <v>281</v>
      </c>
      <c r="C13" s="22">
        <f>IFERROR(INTERCEPT($AF$8:$AF$67,$AE$8:$AE$67),"")</f>
        <v>70.735013025518327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109.49437773777254</v>
      </c>
      <c r="Y13">
        <f>IF(梱包!$L$12="","",梱包!$L$12)</f>
        <v>82.466184184781014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108.83316918183169</v>
      </c>
      <c r="AR13">
        <f t="shared" si="11"/>
        <v>89.601445304729197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109.49437773777254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109.49437773777254</v>
      </c>
      <c r="BM13">
        <f t="shared" si="19"/>
        <v>2.1063196122971846</v>
      </c>
    </row>
    <row r="14" spans="2:68" x14ac:dyDescent="0.15">
      <c r="B14" s="25" t="s">
        <v>282</v>
      </c>
      <c r="C14" s="53">
        <f>IFERROR(TDIST(ABS(C10)*SQRT((C9-2)/(1-C10^2)),C9-2,2),"")</f>
        <v>1.8675328813917116E-2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108.83316918183169</v>
      </c>
      <c r="Y14">
        <f>IF(梱包!$L$13="","",梱包!$L$13)</f>
        <v>89.601445304729197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106.78993993502498</v>
      </c>
      <c r="AR14">
        <f t="shared" si="11"/>
        <v>120.16949514391577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108.83316918183169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108.83316918183169</v>
      </c>
      <c r="BM14">
        <f t="shared" si="19"/>
        <v>12.491830818168282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106.78993993502498</v>
      </c>
      <c r="Y15">
        <f>IF(梱包!$L$14="","",梱包!$L$14)</f>
        <v>120.16949514391577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105.79720390865057</v>
      </c>
      <c r="AR15">
        <f t="shared" si="11"/>
        <v>94.989155931320283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106.78993993502498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106.78993993502498</v>
      </c>
      <c r="BM15">
        <f t="shared" si="19"/>
        <v>1.6502532299081594</v>
      </c>
    </row>
    <row r="16" spans="2:68" x14ac:dyDescent="0.15">
      <c r="B16" s="9" t="s">
        <v>283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105.79720390865057</v>
      </c>
      <c r="Y16">
        <f>IF(梱包!$L$15="","",梱包!$L$15)</f>
        <v>94.989155931320283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105.51500291640784</v>
      </c>
      <c r="AR16">
        <f t="shared" si="11"/>
        <v>86.545994007513698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105.79720390865057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105.79720390865057</v>
      </c>
      <c r="BM16">
        <f t="shared" si="19"/>
        <v>1.0075438658301294</v>
      </c>
    </row>
    <row r="17" spans="2:65" ht="27.95" customHeight="1" x14ac:dyDescent="0.15">
      <c r="B17" s="91" t="s">
        <v>284</v>
      </c>
      <c r="C17" s="77"/>
      <c r="D17" s="77"/>
      <c r="E17" s="77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105.51500291640784</v>
      </c>
      <c r="Y17">
        <f>IF(梱包!$L$16="","",梱包!$L$16)</f>
        <v>86.545994007513698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105.20453333776844</v>
      </c>
      <c r="AR17">
        <f t="shared" si="11"/>
        <v>160.10839574130645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105.51500291640784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105.51500291640784</v>
      </c>
      <c r="BM17">
        <f t="shared" si="19"/>
        <v>0.70678588270052956</v>
      </c>
    </row>
    <row r="18" spans="2:65" x14ac:dyDescent="0.15">
      <c r="B18" s="25" t="s">
        <v>278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105.20453333776844</v>
      </c>
      <c r="Y18">
        <f>IF(梱包!$L$17="","",梱包!$L$17)</f>
        <v>160.10839574130645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102.50307274983271</v>
      </c>
      <c r="AR18">
        <f t="shared" si="11"/>
        <v>133.19600527081576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105.20453333776844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105.20453333776844</v>
      </c>
      <c r="BM18">
        <f t="shared" si="19"/>
        <v>1.1951893979062191</v>
      </c>
    </row>
    <row r="19" spans="2:65" x14ac:dyDescent="0.15">
      <c r="B19" s="25" t="s">
        <v>57</v>
      </c>
      <c r="C19" s="52">
        <f>IFERROR(CORREL($AI$8:$AI$67,$AJ$8:$AJ$67),"")</f>
        <v>9.0933680502395461E-2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102.50307274983271</v>
      </c>
      <c r="Y19">
        <f>IF(梱包!$L$18="","",梱包!$L$18)</f>
        <v>133.19600527081576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102.49958553696862</v>
      </c>
      <c r="AR19">
        <f t="shared" si="11"/>
        <v>81.623854973799993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102.50307274983271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102.50307274983271</v>
      </c>
      <c r="BM19">
        <f t="shared" si="19"/>
        <v>0.50357225033222619</v>
      </c>
    </row>
    <row r="20" spans="2:65" x14ac:dyDescent="0.15">
      <c r="B20" s="25" t="s">
        <v>279</v>
      </c>
      <c r="C20" s="52">
        <f>IFERROR(RSQ($AJ$8:$AJ$67,$AI$8:$AI$67),"")</f>
        <v>8.268934249711736E-3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102.49958553696862</v>
      </c>
      <c r="Y20">
        <f>IF(梱包!$L$19="","",梱包!$L$19)</f>
        <v>81.623854973799993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101.30979777676158</v>
      </c>
      <c r="AR20">
        <f t="shared" si="11"/>
        <v>60.168471740699999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102.49958553696862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102.49958553696862</v>
      </c>
      <c r="BM20">
        <f t="shared" si="19"/>
        <v>0.78606003807728086</v>
      </c>
    </row>
    <row r="21" spans="2:65" x14ac:dyDescent="0.15">
      <c r="B21" s="25" t="s">
        <v>280</v>
      </c>
      <c r="C21" s="22">
        <f>IFERROR(SLOPE($AJ$8:$AJ$67,$AI$8:$AI$67),"")</f>
        <v>21.544403138044615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101.9554031333199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101.02482891621315</v>
      </c>
      <c r="AR21">
        <f t="shared" si="11"/>
        <v>114.9964054395198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101.9554031333199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101.9554031333199</v>
      </c>
      <c r="BM21">
        <f t="shared" si="19"/>
        <v>1.3627856836554741</v>
      </c>
    </row>
    <row r="22" spans="2:65" x14ac:dyDescent="0.15">
      <c r="B22" s="25" t="s">
        <v>281</v>
      </c>
      <c r="C22" s="22">
        <f>IFERROR(INTERCEPT($AJ$8:$AJ$67,$AI$8:$AI$67),"")</f>
        <v>70.735013025518327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101.30979777676158</v>
      </c>
      <c r="Y22">
        <f>IF(梱包!$L$21="","",梱包!$L$21)</f>
        <v>60.168471740699999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100.82289288993715</v>
      </c>
      <c r="AR22">
        <f t="shared" si="11"/>
        <v>74.605827454922348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101.30979777676158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101.30979777676158</v>
      </c>
      <c r="BM22">
        <f t="shared" si="19"/>
        <v>3.0886866656504708</v>
      </c>
    </row>
    <row r="23" spans="2:65" x14ac:dyDescent="0.15">
      <c r="B23" s="25" t="s">
        <v>282</v>
      </c>
      <c r="C23" s="27">
        <f>IFERROR(TDIST(ABS(C19)*SQRT((C18-2)/(1-C19^2)),C18-2,2),"")</f>
        <v>0.63897915074996003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101.02482891621315</v>
      </c>
      <c r="Y23">
        <f>IF(梱包!$L$22="","",梱包!$L$22)</f>
        <v>114.9964054395198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99.417763038447092</v>
      </c>
      <c r="AR23">
        <f t="shared" si="11"/>
        <v>98.746784747731013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101.02482891621315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101.02482891621315</v>
      </c>
      <c r="BM23">
        <f t="shared" si="19"/>
        <v>2.9079810901261851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100.82289288993715</v>
      </c>
      <c r="Y24">
        <f>IF(梱包!$L$23="","",梱包!$L$23)</f>
        <v>74.605827454922348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91.373442052986164</v>
      </c>
      <c r="AR24">
        <f t="shared" si="11"/>
        <v>102.18958506791222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100.82289288993715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100.82289288993715</v>
      </c>
      <c r="BM24">
        <f t="shared" si="19"/>
        <v>1.179268248103341</v>
      </c>
    </row>
    <row r="25" spans="2:65" x14ac:dyDescent="0.15">
      <c r="B25" s="9" t="s">
        <v>285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99.87068040500408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91.02607335819954</v>
      </c>
      <c r="AR25">
        <f t="shared" si="11"/>
        <v>69.459988943073199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99.87068040500408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99.87068040500408</v>
      </c>
      <c r="BM25">
        <f t="shared" si="19"/>
        <v>8.522031756355446</v>
      </c>
    </row>
    <row r="26" spans="2:65" ht="27.95" customHeight="1" x14ac:dyDescent="0.15">
      <c r="B26" s="91" t="s">
        <v>286</v>
      </c>
      <c r="C26" s="77"/>
      <c r="D26" s="77"/>
      <c r="E26" s="77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99.417763038447092</v>
      </c>
      <c r="Y26">
        <f>IF(梱包!$L$25="","",梱包!$L$25)</f>
        <v>98.746784747731013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85.892657318260035</v>
      </c>
      <c r="AR26">
        <f t="shared" si="11"/>
        <v>126.75845645824401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99.417763038447092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99.417763038447092</v>
      </c>
      <c r="BM26">
        <f t="shared" si="19"/>
        <v>2.8751887810213503</v>
      </c>
    </row>
    <row r="27" spans="2:65" x14ac:dyDescent="0.15">
      <c r="B27" s="25" t="s">
        <v>278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94.986665946425504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94.986665946425504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94.986665946425504</v>
      </c>
      <c r="BM27">
        <f t="shared" si="19"/>
        <v>4.9933290594318862</v>
      </c>
    </row>
    <row r="28" spans="2:65" x14ac:dyDescent="0.15">
      <c r="B28" s="25" t="s">
        <v>57</v>
      </c>
      <c r="C28" s="52">
        <f>IFERROR(CORREL($AM$8:$AM$67,$AN$8:$AN$67),"")</f>
        <v>0.27698204466595189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93.854516940062098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93.854516940062098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93.854516940062098</v>
      </c>
      <c r="BM28">
        <f t="shared" si="19"/>
        <v>16.970853573725464</v>
      </c>
    </row>
    <row r="29" spans="2:65" x14ac:dyDescent="0.15">
      <c r="B29" s="25" t="s">
        <v>279</v>
      </c>
      <c r="C29" s="52">
        <f>IFERROR(RSQ($AN$8:$AN$67,$AM$8:$AM$67),"")</f>
        <v>7.6719053067331303E-2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93.74674542156832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93.74674542156832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93.74674542156832</v>
      </c>
      <c r="BM29">
        <f t="shared" si="19"/>
        <v>5.7201227035155995</v>
      </c>
    </row>
    <row r="30" spans="2:65" x14ac:dyDescent="0.15">
      <c r="B30" s="25" t="s">
        <v>280</v>
      </c>
      <c r="C30" s="22">
        <f>IFERROR(SLOPE($AN$8:$AN$67,$AM$8:$AM$67),"")</f>
        <v>130.56559319766592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91.373442052986164</v>
      </c>
      <c r="Y30">
        <f>IF(梱包!$L$29="","",梱包!$L$29)</f>
        <v>102.18958506791222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91.373442052986164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91.373442052986164</v>
      </c>
      <c r="BM30">
        <f t="shared" si="19"/>
        <v>9.4816822764498596</v>
      </c>
    </row>
    <row r="31" spans="2:65" x14ac:dyDescent="0.15">
      <c r="B31" s="25" t="s">
        <v>281</v>
      </c>
      <c r="C31" s="22">
        <f>IFERROR(INTERCEPT($AN$8:$AN$67,$AM$8:$AM$67),"")</f>
        <v>65.866965038372655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91.02607335819954</v>
      </c>
      <c r="Y31">
        <f>IF(梱包!$L$30="","",梱包!$L$30)</f>
        <v>69.459988943073199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91.02607335819954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91.02607335819954</v>
      </c>
      <c r="BM31">
        <f t="shared" si="19"/>
        <v>5.1634417792521816</v>
      </c>
    </row>
    <row r="32" spans="2:65" x14ac:dyDescent="0.15">
      <c r="B32" s="25" t="s">
        <v>282</v>
      </c>
      <c r="C32" s="53">
        <f>IFERROR(TDIST(ABS(C28)*SQRT((C27-2)/(1-C28^2)),C27-2,2),"")</f>
        <v>0.2509645019059259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89.248471214873774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89.248471214873774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89.248471214873774</v>
      </c>
      <c r="BM32">
        <f t="shared" si="19"/>
        <v>8.3568377487383145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88.868940872437221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88.868940872437221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88.868940872437221</v>
      </c>
      <c r="BM33">
        <f t="shared" si="19"/>
        <v>8.5793038141755176</v>
      </c>
    </row>
    <row r="34" spans="2:65" x14ac:dyDescent="0.15">
      <c r="B34" s="9" t="s">
        <v>287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87.836268797835658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87.836268797835658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87.836268797835658</v>
      </c>
      <c r="BM34">
        <f t="shared" si="19"/>
        <v>8.4781074469913733</v>
      </c>
    </row>
    <row r="35" spans="2:65" ht="27.95" customHeight="1" x14ac:dyDescent="0.15">
      <c r="B35" s="91" t="s">
        <v>288</v>
      </c>
      <c r="C35" s="77"/>
      <c r="D35" s="77"/>
      <c r="E35" s="77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86.502213553209813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86.502213553209813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86.502213553209813</v>
      </c>
      <c r="BM35">
        <f t="shared" si="19"/>
        <v>29.899764573617986</v>
      </c>
    </row>
    <row r="36" spans="2:65" x14ac:dyDescent="0.15">
      <c r="B36" s="25" t="s">
        <v>278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85.892657318260035</v>
      </c>
      <c r="Y36">
        <f>IF(梱包!$L$35="","",梱包!$L$35)</f>
        <v>126.75845645824401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85.892657318260035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85.892657318260035</v>
      </c>
      <c r="BM36">
        <f t="shared" si="19"/>
        <v>11.262421716165804</v>
      </c>
    </row>
    <row r="37" spans="2:65" x14ac:dyDescent="0.15">
      <c r="B37" s="25" t="s">
        <v>57</v>
      </c>
      <c r="C37" s="52">
        <f>IFERROR(CORREL($AQ$8:$AQ$67,$AR$8:$AR$67),"")</f>
        <v>0.25192620324570852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279</v>
      </c>
      <c r="C38" s="52">
        <f>IFERROR(RSQ($AR$8:$AR$67,$AQ$8:$AQ$67),"")</f>
        <v>6.3466811881798035E-2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280</v>
      </c>
      <c r="C39" s="22">
        <f>IFERROR(SLOPE($AR$8:$AR$67,$AQ$8:$AQ$67),"")</f>
        <v>0.6362724924755403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281</v>
      </c>
      <c r="C40" s="22">
        <f>IFERROR(INTERCEPT($AR$8:$AR$67,$AQ$8:$AQ$67),"")</f>
        <v>36.838955640804727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282</v>
      </c>
      <c r="C41" s="53">
        <f>IFERROR(TDIST(ABS(C37)*SQRT((C36-2)/(1-C37^2)),C36-2,2),"")</f>
        <v>0.29812003612945631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289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1" t="s">
        <v>290</v>
      </c>
      <c r="C44" s="77"/>
      <c r="D44" s="77"/>
      <c r="E44" s="77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278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0.95310405097052642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279</v>
      </c>
      <c r="C47" s="52">
        <f>IFERROR(RSQ($BF$8:$BF$67,$BE$8:$BE$67),"")</f>
        <v>0.90840733197642787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280</v>
      </c>
      <c r="C48" s="22">
        <f>IFERROR(SLOPE($BF$8:$BF$67,$BE$8:$BE$67),"")</f>
        <v>0.89397327543044314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281</v>
      </c>
      <c r="C49" s="22">
        <f>IFERROR(INTERCEPT($BF$8:$BF$67,$BE$8:$BE$67),"")</f>
        <v>149.7005094185447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282</v>
      </c>
      <c r="C50" s="53">
        <f>IFERROR(TDIST(ABS(C46)*SQRT((C45-2)/(1-C46^2)),C45-2,2),"")</f>
        <v>1.5371600494731645E-15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291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1" t="s">
        <v>292</v>
      </c>
      <c r="C53" s="77"/>
      <c r="D53" s="77"/>
      <c r="E53" s="77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278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-0.49372132495017046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279</v>
      </c>
      <c r="C56" s="52">
        <f>IFERROR(RSQ($BM$8:$BM$67,$BJ$8:$BJ$67),"")</f>
        <v>0.24376074671055192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280</v>
      </c>
      <c r="C57" s="22">
        <f>IFERROR(SLOPE($BM$8:$BM$67,$BJ$8:$BJ$67),"")</f>
        <v>-0.64036658326252749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281</v>
      </c>
      <c r="C58" s="22">
        <f>IFERROR(INTERCEPT($BM$8:$BM$67,$BJ$8:$BJ$67),"")</f>
        <v>14.157537280571789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282</v>
      </c>
      <c r="C59" s="53">
        <f>IFERROR(TDIST(ABS(C55)*SQRT((C54-2)/(1-C55^2)),C54-2,2),"")</f>
        <v>6.4912940276178471E-3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293</v>
      </c>
    </row>
    <row r="130" spans="2:2" x14ac:dyDescent="0.15">
      <c r="B130" s="54" t="s">
        <v>294</v>
      </c>
    </row>
    <row r="131" spans="2:2" x14ac:dyDescent="0.15">
      <c r="B131" s="54" t="s">
        <v>295</v>
      </c>
    </row>
    <row r="132" spans="2:2" x14ac:dyDescent="0.15">
      <c r="B132" s="54"/>
    </row>
    <row r="133" spans="2:2" x14ac:dyDescent="0.15">
      <c r="B133" s="54" t="s">
        <v>296</v>
      </c>
    </row>
    <row r="134" spans="2:2" x14ac:dyDescent="0.15">
      <c r="B134" s="54" t="s">
        <v>297</v>
      </c>
    </row>
    <row r="135" spans="2:2" x14ac:dyDescent="0.15">
      <c r="B135" s="54"/>
    </row>
    <row r="136" spans="2:2" x14ac:dyDescent="0.15">
      <c r="B136" s="54" t="s">
        <v>298</v>
      </c>
    </row>
    <row r="137" spans="2:2" x14ac:dyDescent="0.15">
      <c r="B137" s="54" t="s">
        <v>299</v>
      </c>
    </row>
    <row r="138" spans="2:2" x14ac:dyDescent="0.15">
      <c r="B138" s="54"/>
    </row>
    <row r="139" spans="2:2" x14ac:dyDescent="0.15">
      <c r="B139" s="54" t="s">
        <v>300</v>
      </c>
    </row>
    <row r="140" spans="2:2" x14ac:dyDescent="0.15">
      <c r="B140" s="54"/>
    </row>
    <row r="141" spans="2:2" x14ac:dyDescent="0.15">
      <c r="B141" s="54" t="s">
        <v>301</v>
      </c>
    </row>
    <row r="142" spans="2:2" x14ac:dyDescent="0.15">
      <c r="B142" s="54" t="s">
        <v>302</v>
      </c>
    </row>
    <row r="143" spans="2:2" x14ac:dyDescent="0.15">
      <c r="B143" s="54" t="s">
        <v>303</v>
      </c>
    </row>
    <row r="144" spans="2:2" x14ac:dyDescent="0.15">
      <c r="B144" s="54" t="s">
        <v>304</v>
      </c>
    </row>
    <row r="145" spans="2:2" x14ac:dyDescent="0.15">
      <c r="B145" s="54" t="s">
        <v>305</v>
      </c>
    </row>
    <row r="146" spans="2:2" x14ac:dyDescent="0.15">
      <c r="B146" s="54"/>
    </row>
    <row r="147" spans="2:2" x14ac:dyDescent="0.15">
      <c r="B147" s="54" t="s">
        <v>306</v>
      </c>
    </row>
    <row r="148" spans="2:2" x14ac:dyDescent="0.15">
      <c r="B148" s="54" t="s">
        <v>307</v>
      </c>
    </row>
    <row r="149" spans="2:2" x14ac:dyDescent="0.15">
      <c r="B149" s="54" t="s">
        <v>308</v>
      </c>
    </row>
    <row r="150" spans="2:2" x14ac:dyDescent="0.15">
      <c r="B150" s="54" t="s">
        <v>309</v>
      </c>
    </row>
    <row r="151" spans="2:2" x14ac:dyDescent="0.15">
      <c r="B151" s="54"/>
    </row>
    <row r="152" spans="2:2" x14ac:dyDescent="0.15">
      <c r="B152" s="54" t="s">
        <v>310</v>
      </c>
    </row>
    <row r="153" spans="2:2" x14ac:dyDescent="0.15">
      <c r="B153" s="54" t="s">
        <v>311</v>
      </c>
    </row>
    <row r="154" spans="2:2" x14ac:dyDescent="0.15">
      <c r="B154" s="54" t="s">
        <v>312</v>
      </c>
    </row>
    <row r="155" spans="2:2" x14ac:dyDescent="0.15">
      <c r="B155" s="54" t="s">
        <v>313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314</v>
      </c>
    </row>
    <row r="3" spans="2:8" x14ac:dyDescent="0.15">
      <c r="B3" s="3" t="s">
        <v>315</v>
      </c>
    </row>
    <row r="5" spans="2:8" x14ac:dyDescent="0.15">
      <c r="B5" s="7" t="s">
        <v>127</v>
      </c>
    </row>
    <row r="7" spans="2:8" ht="20.100000000000001" customHeight="1" x14ac:dyDescent="0.15">
      <c r="B7" s="20" t="s">
        <v>129</v>
      </c>
      <c r="C7" s="20" t="s">
        <v>316</v>
      </c>
      <c r="D7" s="20" t="s">
        <v>317</v>
      </c>
      <c r="E7" s="20" t="s">
        <v>318</v>
      </c>
      <c r="F7" s="20" t="s">
        <v>319</v>
      </c>
      <c r="G7" s="20" t="s">
        <v>320</v>
      </c>
      <c r="H7" s="20" t="s">
        <v>321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127.28974526492047</v>
      </c>
      <c r="D8" s="22">
        <f>IF(梱包!$L$7="","",梱包!$L$7)</f>
        <v>146.61994619353155</v>
      </c>
      <c r="E8" s="22">
        <f>IF(C8="","",C8-ピッキング!$T$3)</f>
        <v>23.784387336865379</v>
      </c>
      <c r="F8" s="22">
        <f>IF(D8="","",D8-梱包!$T$3)</f>
        <v>37.73448277293312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124.86052594253862</v>
      </c>
      <c r="D9" s="22">
        <f>IF(梱包!$L$8="","",梱包!$L$8)</f>
        <v>77.985418867763826</v>
      </c>
      <c r="E9" s="22">
        <f>IF(C9="","",C9-ピッキング!$T$3)</f>
        <v>21.355168014483525</v>
      </c>
      <c r="F9" s="22">
        <f>IF(D9="","",D9-梱包!$T$3)</f>
        <v>-30.900044552834601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120.95420151086539</v>
      </c>
      <c r="D10" s="22">
        <f>IF(梱包!$L$9="","",梱包!$L$9)</f>
        <v>131.00104643796593</v>
      </c>
      <c r="E10" s="22">
        <f>IF(C10="","",C10-ピッキング!$T$3)</f>
        <v>17.448843582810298</v>
      </c>
      <c r="F10" s="22">
        <f>IF(D10="","",D10-梱包!$T$3)</f>
        <v>22.115583017367499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120.11755394548538</v>
      </c>
      <c r="D11" s="22">
        <f>IF(梱包!$L$10="","",梱包!$L$10)</f>
        <v>128.07757268601134</v>
      </c>
      <c r="E11" s="22">
        <f>IF(C11="","",C11-ピッキング!$T$3)</f>
        <v>16.612196017430293</v>
      </c>
      <c r="F11" s="22">
        <f>IF(D11="","",D11-梱包!$T$3)</f>
        <v>19.19210926541291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111.86290588643365</v>
      </c>
      <c r="D12" s="22" t="str">
        <f>IF(梱包!$L$11="","",梱包!$L$11)</f>
        <v/>
      </c>
      <c r="E12" s="22">
        <f>IF(C12="","",C12-ピッキング!$T$3)</f>
        <v>8.3575479583785608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109.49437773777254</v>
      </c>
      <c r="D13" s="22">
        <f>IF(梱包!$L$12="","",梱包!$L$12)</f>
        <v>82.466184184781014</v>
      </c>
      <c r="E13" s="22">
        <f>IF(C13="","",C13-ピッキング!$T$3)</f>
        <v>5.9890198097174476</v>
      </c>
      <c r="F13" s="22">
        <f>IF(D13="","",D13-梱包!$T$3)</f>
        <v>-26.419279235817413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108.83316918183169</v>
      </c>
      <c r="D14" s="22">
        <f>IF(梱包!$L$13="","",梱包!$L$13)</f>
        <v>89.601445304729197</v>
      </c>
      <c r="E14" s="22">
        <f>IF(C14="","",C14-ピッキング!$T$3)</f>
        <v>5.327811253776602</v>
      </c>
      <c r="F14" s="22">
        <f>IF(D14="","",D14-梱包!$T$3)</f>
        <v>-19.28401811586923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106.78993993502498</v>
      </c>
      <c r="D15" s="22">
        <f>IF(梱包!$L$14="","",梱包!$L$14)</f>
        <v>120.16949514391577</v>
      </c>
      <c r="E15" s="22">
        <f>IF(C15="","",C15-ピッキング!$T$3)</f>
        <v>3.2845820069698846</v>
      </c>
      <c r="F15" s="22">
        <f>IF(D15="","",D15-梱包!$T$3)</f>
        <v>11.284031723317341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105.79720390865057</v>
      </c>
      <c r="D16" s="22">
        <f>IF(梱包!$L$15="","",梱包!$L$15)</f>
        <v>94.989155931320283</v>
      </c>
      <c r="E16" s="22">
        <f>IF(C16="","",C16-ピッキング!$T$3)</f>
        <v>2.2918459805954825</v>
      </c>
      <c r="F16" s="22">
        <f>IF(D16="","",D16-梱包!$T$3)</f>
        <v>-13.896307489278144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105.51500291640784</v>
      </c>
      <c r="D17" s="22">
        <f>IF(梱包!$L$16="","",梱包!$L$16)</f>
        <v>86.545994007513698</v>
      </c>
      <c r="E17" s="22">
        <f>IF(C17="","",C17-ピッキング!$T$3)</f>
        <v>2.009644988352747</v>
      </c>
      <c r="F17" s="22">
        <f>IF(D17="","",D17-梱包!$T$3)</f>
        <v>-22.339469413084728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105.20453333776844</v>
      </c>
      <c r="D18" s="22">
        <f>IF(梱包!$L$17="","",梱包!$L$17)</f>
        <v>160.10839574130645</v>
      </c>
      <c r="E18" s="22">
        <f>IF(C18="","",C18-ピッキング!$T$3)</f>
        <v>1.699175409713348</v>
      </c>
      <c r="F18" s="22">
        <f>IF(D18="","",D18-梱包!$T$3)</f>
        <v>51.222932320708026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102.50307274983271</v>
      </c>
      <c r="D19" s="22">
        <f>IF(梱包!$L$18="","",梱包!$L$18)</f>
        <v>133.19600527081576</v>
      </c>
      <c r="E19" s="22">
        <f>IF(C19="","",C19-ピッキング!$T$3)</f>
        <v>-1.0022851782223796</v>
      </c>
      <c r="F19" s="22">
        <f>IF(D19="","",D19-梱包!$T$3)</f>
        <v>24.310541850217334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102.49958553696862</v>
      </c>
      <c r="D20" s="22">
        <f>IF(梱包!$L$19="","",梱包!$L$19)</f>
        <v>81.623854973799993</v>
      </c>
      <c r="E20" s="22">
        <f>IF(C20="","",C20-ピッキング!$T$3)</f>
        <v>-1.0057723910864667</v>
      </c>
      <c r="F20" s="22">
        <f>IF(D20="","",D20-梱包!$T$3)</f>
        <v>-27.261608446798434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101.9554031333199</v>
      </c>
      <c r="D21" s="22" t="str">
        <f>IF(梱包!$L$20="","",梱包!$L$20)</f>
        <v/>
      </c>
      <c r="E21" s="22">
        <f>IF(C21="","",C21-ピッキング!$T$3)</f>
        <v>-1.5499547947351857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101.30979777676158</v>
      </c>
      <c r="D22" s="22">
        <f>IF(梱包!$L$21="","",梱包!$L$21)</f>
        <v>60.168471740699999</v>
      </c>
      <c r="E22" s="22">
        <f>IF(C22="","",C22-ピッキング!$T$3)</f>
        <v>-2.1955601512935061</v>
      </c>
      <c r="F22" s="22">
        <f>IF(D22="","",D22-梱包!$T$3)</f>
        <v>-48.716991679898427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101.02482891621315</v>
      </c>
      <c r="D23" s="22">
        <f>IF(梱包!$L$22="","",梱包!$L$22)</f>
        <v>114.9964054395198</v>
      </c>
      <c r="E23" s="22">
        <f>IF(C23="","",C23-ピッキング!$T$3)</f>
        <v>-2.4805290118419379</v>
      </c>
      <c r="F23" s="22">
        <f>IF(D23="","",D23-梱包!$T$3)</f>
        <v>6.1109420189213779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100.82289288993715</v>
      </c>
      <c r="D24" s="22">
        <f>IF(梱包!$L$23="","",梱包!$L$23)</f>
        <v>74.605827454922348</v>
      </c>
      <c r="E24" s="22">
        <f>IF(C24="","",C24-ピッキング!$T$3)</f>
        <v>-2.6824650381179396</v>
      </c>
      <c r="F24" s="22">
        <f>IF(D24="","",D24-梱包!$T$3)</f>
        <v>-34.279635965676079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99.87068040500408</v>
      </c>
      <c r="D25" s="22" t="str">
        <f>IF(梱包!$L$24="","",梱包!$L$24)</f>
        <v/>
      </c>
      <c r="E25" s="22">
        <f>IF(C25="","",C25-ピッキング!$T$3)</f>
        <v>-3.6346775230510104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99.417763038447092</v>
      </c>
      <c r="D26" s="22">
        <f>IF(梱包!$L$25="","",梱包!$L$25)</f>
        <v>98.746784747731013</v>
      </c>
      <c r="E26" s="22">
        <f>IF(C26="","",C26-ピッキング!$T$3)</f>
        <v>-4.087594889607999</v>
      </c>
      <c r="F26" s="22">
        <f>IF(D26="","",D26-梱包!$T$3)</f>
        <v>-10.138678672867414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94.986665946425504</v>
      </c>
      <c r="D27" s="22" t="str">
        <f>IF(梱包!$L$26="","",梱包!$L$26)</f>
        <v/>
      </c>
      <c r="E27" s="22">
        <f>IF(C27="","",C27-ピッキング!$T$3)</f>
        <v>-8.518691981629587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93.854516940062098</v>
      </c>
      <c r="D28" s="22" t="str">
        <f>IF(梱包!$L$27="","",梱包!$L$27)</f>
        <v/>
      </c>
      <c r="E28" s="22">
        <f>IF(C28="","",C28-ピッキング!$T$3)</f>
        <v>-9.6508409879929928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93.74674542156832</v>
      </c>
      <c r="D29" s="22" t="str">
        <f>IF(梱包!$L$28="","",梱包!$L$28)</f>
        <v/>
      </c>
      <c r="E29" s="22">
        <f>IF(C29="","",C29-ピッキング!$T$3)</f>
        <v>-9.7586125064867701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91.373442052986164</v>
      </c>
      <c r="D30" s="22">
        <f>IF(梱包!$L$29="","",梱包!$L$29)</f>
        <v>102.18958506791222</v>
      </c>
      <c r="E30" s="22">
        <f>IF(C30="","",C30-ピッキング!$T$3)</f>
        <v>-12.131915875068927</v>
      </c>
      <c r="F30" s="22">
        <f>IF(D30="","",D30-梱包!$T$3)</f>
        <v>-6.6958783526862078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91.02607335819954</v>
      </c>
      <c r="D31" s="22">
        <f>IF(梱包!$L$30="","",梱包!$L$30)</f>
        <v>69.459988943073199</v>
      </c>
      <c r="E31" s="22">
        <f>IF(C31="","",C31-ピッキング!$T$3)</f>
        <v>-12.479284569855551</v>
      </c>
      <c r="F31" s="22">
        <f>IF(D31="","",D31-梱包!$T$3)</f>
        <v>-39.425474477525228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89.248471214873774</v>
      </c>
      <c r="D32" s="22" t="str">
        <f>IF(梱包!$L$31="","",梱包!$L$31)</f>
        <v/>
      </c>
      <c r="E32" s="22">
        <f>IF(C32="","",C32-ピッキング!$T$3)</f>
        <v>-14.256886713181316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88.868940872437221</v>
      </c>
      <c r="D33" s="22" t="str">
        <f>IF(梱包!$L$32="","",梱包!$L$32)</f>
        <v/>
      </c>
      <c r="E33" s="22">
        <f>IF(C33="","",C33-ピッキング!$T$3)</f>
        <v>-14.636417055617869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87.836268797835658</v>
      </c>
      <c r="D34" s="22" t="str">
        <f>IF(梱包!$L$33="","",梱包!$L$33)</f>
        <v/>
      </c>
      <c r="E34" s="22">
        <f>IF(C34="","",C34-ピッキング!$T$3)</f>
        <v>-15.669089130219433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86.502213553209813</v>
      </c>
      <c r="D35" s="22" t="str">
        <f>IF(梱包!$L$34="","",梱包!$L$34)</f>
        <v/>
      </c>
      <c r="E35" s="22">
        <f>IF(C35="","",C35-ピッキング!$T$3)</f>
        <v>-17.003144374845277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85.892657318260035</v>
      </c>
      <c r="D36" s="22">
        <f>IF(梱包!$L$35="","",梱包!$L$35)</f>
        <v>126.75845645824401</v>
      </c>
      <c r="E36" s="22">
        <f>IF(C36="","",C36-ピッキング!$T$3)</f>
        <v>-17.612700609795056</v>
      </c>
      <c r="F36" s="22">
        <f>IF(D36="","",D36-梱包!$T$3)</f>
        <v>17.872993037645585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tabSelected="1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322</v>
      </c>
    </row>
    <row r="3" spans="2:5" x14ac:dyDescent="0.15">
      <c r="B3" s="3" t="s">
        <v>323</v>
      </c>
    </row>
    <row r="5" spans="2:5" x14ac:dyDescent="0.15">
      <c r="B5" s="7" t="s">
        <v>127</v>
      </c>
    </row>
    <row r="7" spans="2:5" ht="20.100000000000001" customHeight="1" x14ac:dyDescent="0.15">
      <c r="B7" s="20" t="s">
        <v>324</v>
      </c>
      <c r="C7" s="20" t="s">
        <v>84</v>
      </c>
      <c r="D7" s="20" t="s">
        <v>85</v>
      </c>
      <c r="E7" s="20" t="s">
        <v>325</v>
      </c>
    </row>
    <row r="8" spans="2:5" x14ac:dyDescent="0.15">
      <c r="B8" s="47" t="s">
        <v>326</v>
      </c>
      <c r="C8" s="43">
        <v>15942</v>
      </c>
      <c r="D8" s="43">
        <v>200</v>
      </c>
      <c r="E8" s="24" t="s">
        <v>327</v>
      </c>
    </row>
    <row r="9" spans="2:5" x14ac:dyDescent="0.15">
      <c r="B9" s="47" t="s">
        <v>328</v>
      </c>
      <c r="C9" s="55">
        <v>2.35</v>
      </c>
      <c r="D9" s="55">
        <v>3.5</v>
      </c>
      <c r="E9" s="24" t="s">
        <v>329</v>
      </c>
    </row>
    <row r="10" spans="2:5" x14ac:dyDescent="0.15">
      <c r="B10" s="47" t="s">
        <v>330</v>
      </c>
      <c r="C10" s="56">
        <v>103.4</v>
      </c>
      <c r="D10" s="56">
        <v>109.2</v>
      </c>
      <c r="E10" s="24" t="s">
        <v>331</v>
      </c>
    </row>
    <row r="11" spans="2:5" x14ac:dyDescent="0.15">
      <c r="B11" s="47" t="s">
        <v>332</v>
      </c>
      <c r="C11" s="43">
        <v>140</v>
      </c>
      <c r="D11" s="43">
        <v>120</v>
      </c>
      <c r="E11" s="24" t="s">
        <v>333</v>
      </c>
    </row>
    <row r="13" spans="2:5" x14ac:dyDescent="0.15">
      <c r="B13" s="9" t="s">
        <v>334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335</v>
      </c>
      <c r="C15" s="26">
        <f>IFERROR(C8/C9,"")</f>
        <v>6783.8297872340427</v>
      </c>
      <c r="D15" s="26">
        <f>IFERROR(D8/D9,"")</f>
        <v>57.142857142857146</v>
      </c>
      <c r="E15" s="24" t="s">
        <v>336</v>
      </c>
    </row>
    <row r="16" spans="2:5" x14ac:dyDescent="0.15">
      <c r="B16" s="25" t="s">
        <v>337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338</v>
      </c>
    </row>
    <row r="17" spans="2:8" x14ac:dyDescent="0.15">
      <c r="B17" s="25" t="s">
        <v>339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340</v>
      </c>
    </row>
    <row r="18" spans="2:8" x14ac:dyDescent="0.15">
      <c r="B18" s="25" t="s">
        <v>341</v>
      </c>
      <c r="C18" s="28">
        <f>IFERROR(C16+C17,"")</f>
        <v>508.33497872340422</v>
      </c>
      <c r="D18" s="28">
        <f>IFERROR(D16+D17,"")</f>
        <v>5.3230158730158728</v>
      </c>
      <c r="E18" s="24" t="s">
        <v>342</v>
      </c>
    </row>
    <row r="19" spans="2:8" ht="14.25" x14ac:dyDescent="0.15">
      <c r="B19" s="29" t="s">
        <v>343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344</v>
      </c>
    </row>
    <row r="20" spans="2:8" ht="14.25" x14ac:dyDescent="0.15">
      <c r="B20" s="29" t="s">
        <v>345</v>
      </c>
      <c r="C20" s="46">
        <f>IFERROR(C19/C11,"")</f>
        <v>3.51157072895416</v>
      </c>
      <c r="D20" s="46">
        <f>IFERROR(D19/D11,"")</f>
        <v>4.0621305502257878E-2</v>
      </c>
      <c r="E20" s="24" t="s">
        <v>346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347</v>
      </c>
    </row>
    <row r="23" spans="2:8" x14ac:dyDescent="0.15">
      <c r="B23" s="9" t="s">
        <v>348</v>
      </c>
    </row>
    <row r="24" spans="2:8" x14ac:dyDescent="0.15">
      <c r="B24" s="3" t="s">
        <v>349</v>
      </c>
    </row>
    <row r="26" spans="2:8" ht="20.100000000000001" customHeight="1" x14ac:dyDescent="0.15">
      <c r="B26" s="20" t="s">
        <v>177</v>
      </c>
      <c r="C26" s="20" t="s">
        <v>132</v>
      </c>
      <c r="D26" s="20" t="s">
        <v>350</v>
      </c>
      <c r="E26" s="20" t="s">
        <v>351</v>
      </c>
      <c r="F26" s="20" t="s">
        <v>352</v>
      </c>
      <c r="G26" s="20" t="s">
        <v>353</v>
      </c>
      <c r="H26" s="20" t="s">
        <v>354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7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355</v>
      </c>
    </row>
    <row r="3" spans="2:7" x14ac:dyDescent="0.15">
      <c r="B3" s="3" t="s">
        <v>356</v>
      </c>
    </row>
    <row r="5" spans="2:7" x14ac:dyDescent="0.15">
      <c r="B5" s="20" t="s">
        <v>118</v>
      </c>
      <c r="C5" s="20" t="s">
        <v>357</v>
      </c>
      <c r="D5" s="20" t="s">
        <v>358</v>
      </c>
      <c r="E5" s="20" t="s">
        <v>359</v>
      </c>
      <c r="F5" s="20" t="s">
        <v>360</v>
      </c>
      <c r="G5" s="20" t="s">
        <v>72</v>
      </c>
    </row>
    <row r="6" spans="2:7" x14ac:dyDescent="0.15">
      <c r="B6" s="21" t="s">
        <v>84</v>
      </c>
      <c r="C6" s="50" t="s">
        <v>361</v>
      </c>
      <c r="D6" s="21" t="s">
        <v>362</v>
      </c>
      <c r="E6" s="56">
        <v>56.05</v>
      </c>
      <c r="F6" s="21" t="s">
        <v>363</v>
      </c>
      <c r="G6" s="24" t="inlineStr">
        <is>
          <t>① リストを見る 10.0 ＋ ④ 伝票を挟む 46.05</t>
        </is>
      </c>
    </row>
    <row r="7" spans="2:7" x14ac:dyDescent="0.15">
      <c r="B7" s="21" t="s">
        <v>84</v>
      </c>
      <c r="C7" s="50" t="s">
        <v>365</v>
      </c>
      <c r="D7" s="21" t="s">
        <v>366</v>
      </c>
      <c r="E7" s="56">
        <v>75.599999999999994</v>
      </c>
      <c r="F7" s="21" t="s">
        <v>367</v>
      </c>
      <c r="G7" s="24" t="s">
        <v>368</v>
      </c>
    </row>
    <row r="8" spans="2:7" x14ac:dyDescent="0.15">
      <c r="B8" s="21" t="s">
        <v>85</v>
      </c>
      <c r="C8" s="50" t="s">
        <v>361</v>
      </c>
      <c r="D8" s="21" t="s">
        <v>362</v>
      </c>
      <c r="E8" s="56">
        <v>92.1</v>
      </c>
      <c r="F8" s="21" t="s">
        <v>363</v>
      </c>
      <c r="G8" s="24" t="s">
        <v>369</v>
      </c>
    </row>
    <row r="9" spans="2:7" x14ac:dyDescent="0.15">
      <c r="B9" s="21" t="s">
        <v>85</v>
      </c>
      <c r="C9" s="50" t="s">
        <v>365</v>
      </c>
      <c r="D9" s="21" t="s">
        <v>366</v>
      </c>
      <c r="E9" s="56">
        <v>69.5</v>
      </c>
      <c r="F9" s="21" t="s">
        <v>367</v>
      </c>
      <c r="G9" s="24" t="s">
        <v>370</v>
      </c>
    </row>
    <row r="11" spans="2:7" x14ac:dyDescent="0.15">
      <c r="B11" s="9" t="s">
        <v>371</v>
      </c>
    </row>
    <row r="12" spans="2:7" x14ac:dyDescent="0.15">
      <c r="B12" s="3" t="s">
        <v>372</v>
      </c>
    </row>
    <row r="13" spans="2:7" x14ac:dyDescent="0.15">
      <c r="B13" s="20" t="s">
        <v>118</v>
      </c>
      <c r="C13" s="20" t="s">
        <v>83</v>
      </c>
      <c r="D13" s="20" t="s">
        <v>359</v>
      </c>
      <c r="E13" s="20" t="s">
        <v>325</v>
      </c>
    </row>
    <row r="14" spans="2:7" x14ac:dyDescent="0.15">
      <c r="B14" s="21" t="s">
        <v>84</v>
      </c>
      <c r="C14" s="21" t="s">
        <v>373</v>
      </c>
      <c r="D14" s="58">
        <v>215.1</v>
      </c>
      <c r="E14" s="24" t="s">
        <v>374</v>
      </c>
    </row>
    <row r="15" spans="2:7" x14ac:dyDescent="0.15">
      <c r="B15" s="21" t="s">
        <v>84</v>
      </c>
      <c r="C15" s="21" t="s">
        <v>375</v>
      </c>
      <c r="D15" s="58">
        <v>1513</v>
      </c>
      <c r="E15" s="24" t="s">
        <v>376</v>
      </c>
    </row>
    <row r="16" spans="2:7" x14ac:dyDescent="0.15">
      <c r="B16" s="21" t="s">
        <v>84</v>
      </c>
      <c r="C16" s="21" t="s">
        <v>377</v>
      </c>
      <c r="D16" s="58">
        <v>0.61</v>
      </c>
      <c r="E16" s="24" t="s">
        <v>378</v>
      </c>
    </row>
    <row r="17" spans="2:5" x14ac:dyDescent="0.15">
      <c r="B17" s="21" t="s">
        <v>85</v>
      </c>
      <c r="C17" s="21" t="s">
        <v>373</v>
      </c>
      <c r="D17" s="58">
        <v>809.8</v>
      </c>
      <c r="E17" s="24"/>
    </row>
    <row r="18" spans="2:5" x14ac:dyDescent="0.15">
      <c r="B18" s="21" t="s">
        <v>85</v>
      </c>
      <c r="C18" s="21" t="s">
        <v>375</v>
      </c>
      <c r="D18" s="58">
        <v>1311.7</v>
      </c>
      <c r="E18" s="24"/>
    </row>
    <row r="19" spans="2:5" x14ac:dyDescent="0.15">
      <c r="B19" s="21" t="s">
        <v>85</v>
      </c>
      <c r="C19" s="21" t="s">
        <v>377</v>
      </c>
      <c r="D19" s="58">
        <v>0.89</v>
      </c>
      <c r="E19" s="24"/>
    </row>
    <row r="21" spans="2:5" x14ac:dyDescent="0.15">
      <c r="B21" s="21" t="s">
        <v>379</v>
      </c>
      <c r="C21" s="55">
        <v>1.96</v>
      </c>
      <c r="D21" s="24" t="s">
        <v>380</v>
      </c>
    </row>
    <row r="23" spans="2:7" x14ac:dyDescent="0.15">
      <c r="B23" s="20" t="inlineStr">
        <is>
          <t>会社目標</t>
        </is>
      </c>
    </row>
    <row r="24" spans="2:7" x14ac:dyDescent="0.15">
      <c r="B24" s="24" t="inlineStr">
        <is>
          <t>会社が定めた1件あたりの目標時間です。工程ごとにそれぞれ 1.6 分。ここは変更しない前提の数字です。</t>
        </is>
      </c>
    </row>
    <row r="25" spans="2:7" x14ac:dyDescent="0.15">
      <c r="B25" s="20" t="inlineStr">
        <is>
          <t>工程</t>
        </is>
      </c>
      <c r="C25" s="20" t="inlineStr">
        <is>
          <t>目標</t>
        </is>
      </c>
      <c r="D25" s="20" t="inlineStr">
        <is>
          <t>単位</t>
        </is>
      </c>
      <c r="E25" s="20" t="inlineStr">
        <is>
          <t>秒に直すと</t>
        </is>
      </c>
    </row>
    <row r="26" spans="2:7" x14ac:dyDescent="0.15">
      <c r="B26" s="21" t="inlineStr">
        <is>
          <t>ピッキング</t>
        </is>
      </c>
      <c r="C26" s="56">
        <v>1.6</v>
      </c>
      <c r="D26" s="21" t="inlineStr">
        <is>
          <t>分/件</t>
        </is>
      </c>
      <c r="E26" s="56">
        <f>C26*60</f>
        <v>96.0</v>
      </c>
    </row>
    <row r="27" spans="2:7" x14ac:dyDescent="0.15">
      <c r="B27" s="21" t="inlineStr">
        <is>
          <t>梱包</t>
        </is>
      </c>
      <c r="C27" s="56">
        <v>1.6</v>
      </c>
      <c r="D27" s="21" t="inlineStr">
        <is>
          <t>分/件</t>
        </is>
      </c>
      <c r="E27" s="56">
        <f>C27*60</f>
        <v>96.0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381</v>
      </c>
    </row>
    <row r="4" spans="2:7" x14ac:dyDescent="0.15">
      <c r="B4" s="7" t="s">
        <v>127</v>
      </c>
    </row>
    <row r="6" spans="2:7" ht="14.25" x14ac:dyDescent="0.15">
      <c r="B6" s="59" t="s">
        <v>382</v>
      </c>
      <c r="C6" s="8" t="s">
        <v>383</v>
      </c>
    </row>
    <row r="7" spans="2:7" x14ac:dyDescent="0.15">
      <c r="C7" s="94" t="s">
        <v>384</v>
      </c>
      <c r="D7" s="77"/>
      <c r="E7" s="77"/>
      <c r="F7" s="77"/>
      <c r="G7" s="77"/>
    </row>
    <row r="8" spans="2:7" x14ac:dyDescent="0.15">
      <c r="C8" s="77"/>
      <c r="D8" s="77"/>
      <c r="E8" s="77"/>
      <c r="F8" s="77"/>
      <c r="G8" s="77"/>
    </row>
    <row r="10" spans="2:7" ht="14.25" x14ac:dyDescent="0.15">
      <c r="B10" s="59" t="s">
        <v>385</v>
      </c>
      <c r="C10" s="8" t="s">
        <v>386</v>
      </c>
    </row>
    <row r="11" spans="2:7" x14ac:dyDescent="0.15">
      <c r="C11" s="94" t="s">
        <v>387</v>
      </c>
      <c r="D11" s="77"/>
      <c r="E11" s="77"/>
      <c r="F11" s="77"/>
      <c r="G11" s="77"/>
    </row>
    <row r="12" spans="2:7" x14ac:dyDescent="0.15">
      <c r="C12" s="77"/>
      <c r="D12" s="77"/>
      <c r="E12" s="77"/>
      <c r="F12" s="77"/>
      <c r="G12" s="77"/>
    </row>
    <row r="14" spans="2:7" ht="14.25" x14ac:dyDescent="0.15">
      <c r="B14" s="59" t="s">
        <v>388</v>
      </c>
      <c r="C14" s="8" t="s">
        <v>389</v>
      </c>
    </row>
    <row r="15" spans="2:7" x14ac:dyDescent="0.15">
      <c r="C15" s="94" t="s">
        <v>390</v>
      </c>
      <c r="D15" s="77"/>
      <c r="E15" s="77"/>
      <c r="F15" s="77"/>
      <c r="G15" s="77"/>
    </row>
    <row r="16" spans="2:7" x14ac:dyDescent="0.15">
      <c r="C16" s="77"/>
      <c r="D16" s="77"/>
      <c r="E16" s="77"/>
      <c r="F16" s="77"/>
      <c r="G16" s="77"/>
    </row>
    <row r="19" spans="2:7" x14ac:dyDescent="0.15">
      <c r="B19" s="9" t="s">
        <v>391</v>
      </c>
    </row>
    <row r="20" spans="2:7" x14ac:dyDescent="0.15">
      <c r="B20" s="20" t="s">
        <v>392</v>
      </c>
      <c r="C20" s="20" t="s">
        <v>393</v>
      </c>
    </row>
    <row r="21" spans="2:7" x14ac:dyDescent="0.15">
      <c r="B21" s="29" t="s">
        <v>394</v>
      </c>
      <c r="C21" s="93" t="s">
        <v>395</v>
      </c>
      <c r="D21" s="68"/>
      <c r="E21" s="68"/>
      <c r="F21" s="68"/>
      <c r="G21" s="69"/>
    </row>
    <row r="22" spans="2:7" x14ac:dyDescent="0.15">
      <c r="B22" s="29" t="s">
        <v>396</v>
      </c>
      <c r="C22" s="93" t="s">
        <v>397</v>
      </c>
      <c r="D22" s="68"/>
      <c r="E22" s="68"/>
      <c r="F22" s="68"/>
      <c r="G22" s="69"/>
    </row>
    <row r="23" spans="2:7" x14ac:dyDescent="0.15">
      <c r="B23" s="29" t="s">
        <v>398</v>
      </c>
      <c r="C23" s="93" t="s">
        <v>399</v>
      </c>
      <c r="D23" s="68"/>
      <c r="E23" s="68"/>
      <c r="F23" s="68"/>
      <c r="G23" s="69"/>
    </row>
    <row r="24" spans="2:7" x14ac:dyDescent="0.15">
      <c r="B24" s="29" t="s">
        <v>267</v>
      </c>
      <c r="C24" s="93" t="s">
        <v>400</v>
      </c>
      <c r="D24" s="68"/>
      <c r="E24" s="68"/>
      <c r="F24" s="68"/>
      <c r="G24" s="69"/>
    </row>
    <row r="25" spans="2:7" x14ac:dyDescent="0.15">
      <c r="B25" s="29" t="s">
        <v>50</v>
      </c>
      <c r="C25" s="93" t="s">
        <v>401</v>
      </c>
      <c r="D25" s="68"/>
      <c r="E25" s="68"/>
      <c r="F25" s="68"/>
      <c r="G25" s="69"/>
    </row>
    <row r="26" spans="2:7" x14ac:dyDescent="0.15">
      <c r="B26" s="29" t="s">
        <v>402</v>
      </c>
      <c r="C26" s="93" t="s">
        <v>403</v>
      </c>
      <c r="D26" s="68"/>
      <c r="E26" s="68"/>
      <c r="F26" s="68"/>
      <c r="G26" s="69"/>
    </row>
    <row r="27" spans="2:7" x14ac:dyDescent="0.15">
      <c r="B27" s="29" t="s">
        <v>404</v>
      </c>
      <c r="C27" s="93" t="s">
        <v>405</v>
      </c>
      <c r="D27" s="68"/>
      <c r="E27" s="68"/>
      <c r="F27" s="68"/>
      <c r="G27" s="69"/>
    </row>
    <row r="28" spans="2:7" x14ac:dyDescent="0.15">
      <c r="B28" s="29" t="s">
        <v>268</v>
      </c>
      <c r="C28" s="93" t="s">
        <v>406</v>
      </c>
      <c r="D28" s="68"/>
      <c r="E28" s="68"/>
      <c r="F28" s="68"/>
      <c r="G28" s="69"/>
    </row>
    <row r="29" spans="2:7" x14ac:dyDescent="0.15">
      <c r="B29" s="29" t="s">
        <v>407</v>
      </c>
      <c r="C29" s="93" t="s">
        <v>408</v>
      </c>
      <c r="D29" s="68"/>
      <c r="E29" s="68"/>
      <c r="F29" s="68"/>
      <c r="G29" s="69"/>
    </row>
    <row r="30" spans="2:7" x14ac:dyDescent="0.15">
      <c r="B30" s="29" t="s">
        <v>186</v>
      </c>
      <c r="C30" s="93" t="s">
        <v>409</v>
      </c>
      <c r="D30" s="68"/>
      <c r="E30" s="68"/>
      <c r="F30" s="68"/>
      <c r="G30" s="69"/>
    </row>
    <row r="31" spans="2:7" x14ac:dyDescent="0.15">
      <c r="B31" s="29" t="s">
        <v>410</v>
      </c>
      <c r="C31" s="93" t="s">
        <v>411</v>
      </c>
      <c r="D31" s="68"/>
      <c r="E31" s="68"/>
      <c r="F31" s="68"/>
      <c r="G31" s="69"/>
    </row>
    <row r="32" spans="2:7" x14ac:dyDescent="0.15">
      <c r="B32" s="29" t="s">
        <v>412</v>
      </c>
      <c r="C32" s="93" t="s">
        <v>413</v>
      </c>
      <c r="D32" s="68"/>
      <c r="E32" s="68"/>
      <c r="F32" s="68"/>
      <c r="G32" s="69"/>
    </row>
    <row r="35" spans="2:7" x14ac:dyDescent="0.15">
      <c r="B35" s="9" t="s">
        <v>414</v>
      </c>
    </row>
    <row r="36" spans="2:7" x14ac:dyDescent="0.15">
      <c r="B36" s="96" t="s">
        <v>415</v>
      </c>
      <c r="C36" s="77"/>
      <c r="D36" s="77"/>
      <c r="E36" s="77"/>
      <c r="F36" s="77"/>
      <c r="G36" s="77"/>
    </row>
    <row r="37" spans="2:7" x14ac:dyDescent="0.15">
      <c r="B37" s="96" t="s">
        <v>416</v>
      </c>
      <c r="C37" s="77"/>
      <c r="D37" s="77"/>
      <c r="E37" s="77"/>
      <c r="F37" s="77"/>
      <c r="G37" s="77"/>
    </row>
    <row r="38" spans="2:7" x14ac:dyDescent="0.15">
      <c r="B38" s="96" t="s">
        <v>417</v>
      </c>
      <c r="C38" s="77"/>
      <c r="D38" s="77"/>
      <c r="E38" s="77"/>
      <c r="F38" s="77"/>
      <c r="G38" s="77"/>
    </row>
    <row r="39" spans="2:7" x14ac:dyDescent="0.15">
      <c r="B39" s="96" t="s">
        <v>418</v>
      </c>
      <c r="C39" s="77"/>
      <c r="D39" s="77"/>
      <c r="E39" s="77"/>
      <c r="F39" s="77"/>
      <c r="G39" s="77"/>
    </row>
    <row r="40" spans="2:7" x14ac:dyDescent="0.15">
      <c r="B40" s="96" t="s">
        <v>419</v>
      </c>
      <c r="C40" s="77"/>
      <c r="D40" s="77"/>
      <c r="E40" s="77"/>
      <c r="F40" s="77"/>
      <c r="G40" s="77"/>
    </row>
    <row r="41" spans="2:7" x14ac:dyDescent="0.15">
      <c r="B41" s="96" t="s">
        <v>420</v>
      </c>
      <c r="C41" s="77"/>
      <c r="D41" s="77"/>
      <c r="E41" s="77"/>
      <c r="F41" s="77"/>
      <c r="G41" s="77"/>
    </row>
    <row r="42" spans="2:7" x14ac:dyDescent="0.15">
      <c r="B42" s="92" t="s">
        <v>421</v>
      </c>
      <c r="C42" s="77"/>
      <c r="D42" s="77"/>
      <c r="E42" s="77"/>
      <c r="F42" s="77"/>
      <c r="G42" s="77"/>
    </row>
    <row r="43" spans="2:7" x14ac:dyDescent="0.15">
      <c r="B43" s="95" t="s">
        <v>422</v>
      </c>
      <c r="C43" s="77"/>
      <c r="D43" s="77"/>
      <c r="E43" s="77"/>
      <c r="F43" s="77"/>
      <c r="G43" s="77"/>
    </row>
    <row r="44" spans="2:7" x14ac:dyDescent="0.15">
      <c r="B44" s="95" t="s">
        <v>423</v>
      </c>
      <c r="C44" s="77"/>
      <c r="D44" s="77"/>
      <c r="E44" s="77"/>
      <c r="F44" s="77"/>
      <c r="G44" s="77"/>
    </row>
  </sheetData>
  <mergeCells count="24"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/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424</v>
      </c>
      <c r="X1" s="39" t="s">
        <v>425</v>
      </c>
      <c r="Y1" s="39" t="s">
        <v>426</v>
      </c>
      <c r="Z1" s="39" t="s">
        <v>427</v>
      </c>
      <c r="AZ1" s="39" t="inlineStr">
        <is>
          <t>帯線横X</t>
        </is>
      </c>
      <c r="BA1" s="39" t="inlineStr">
        <is>
          <t>帯線横Y</t>
        </is>
      </c>
      <c r="BB1" s="39" t="inlineStr">
        <is>
          <t>帯線縦X</t>
        </is>
      </c>
      <c r="BC1" s="39" t="inlineStr">
        <is>
          <t>帯線縦Y</t>
        </is>
      </c>
    </row>
    <row r="2" spans="1:64" ht="16.5" x14ac:dyDescent="0.35">
      <c r="A2" s="39" t="s">
        <v>428</v>
      </c>
      <c r="B2" s="39" t="s">
        <v>316</v>
      </c>
      <c r="C2" s="39" t="s">
        <v>317</v>
      </c>
      <c r="D2" s="39" t="s">
        <v>429</v>
      </c>
      <c r="E2" s="39" t="s">
        <v>430</v>
      </c>
      <c r="F2" s="39" t="s">
        <v>431</v>
      </c>
      <c r="G2" s="39" t="s">
        <v>432</v>
      </c>
      <c r="H2" s="39" t="s">
        <v>11</v>
      </c>
      <c r="I2" s="39" t="s">
        <v>12</v>
      </c>
      <c r="J2" s="39" t="s">
        <v>433</v>
      </c>
      <c r="K2" s="39" t="s">
        <v>434</v>
      </c>
      <c r="L2" s="39" t="s">
        <v>435</v>
      </c>
      <c r="M2" s="39" t="s">
        <v>436</v>
      </c>
      <c r="N2" s="39" t="s">
        <v>437</v>
      </c>
      <c r="O2" s="39" t="s">
        <v>121</v>
      </c>
      <c r="P2" s="39" t="s">
        <v>438</v>
      </c>
      <c r="Q2" s="39" t="s">
        <v>439</v>
      </c>
      <c r="R2" s="39" t="s">
        <v>440</v>
      </c>
      <c r="S2" s="39" t="s">
        <v>441</v>
      </c>
      <c r="T2" s="39" t="s">
        <v>442</v>
      </c>
      <c r="U2" s="39" t="s">
        <v>443</v>
      </c>
      <c r="W2" s="61">
        <v>100</v>
      </c>
      <c r="X2" s="61">
        <v>40</v>
      </c>
      <c r="Y2" s="61">
        <v>40</v>
      </c>
      <c r="Z2" s="61">
        <v>100</v>
      </c>
      <c r="AB2" s="39" t="s">
        <v>444</v>
      </c>
      <c r="AC2" s="39" t="s">
        <v>445</v>
      </c>
      <c r="AD2" s="39" t="s">
        <v>446</v>
      </c>
      <c r="AE2" s="39" t="s">
        <v>118</v>
      </c>
      <c r="AF2" s="39" t="s">
        <v>121</v>
      </c>
      <c r="AG2" s="39" t="s">
        <v>434</v>
      </c>
      <c r="AH2" s="39" t="s">
        <v>435</v>
      </c>
      <c r="AI2" s="39" t="s">
        <v>436</v>
      </c>
      <c r="AJ2" s="39" t="s">
        <v>437</v>
      </c>
      <c r="AK2" s="39" t="s">
        <v>447</v>
      </c>
      <c r="AL2" s="39" t="s">
        <v>448</v>
      </c>
      <c r="AM2" s="39" t="s">
        <v>449</v>
      </c>
      <c r="AN2" s="39" t="s">
        <v>438</v>
      </c>
      <c r="AO2" s="39" t="s">
        <v>450</v>
      </c>
      <c r="AP2" s="39" t="s">
        <v>440</v>
      </c>
      <c r="AQ2" s="39" t="s">
        <v>441</v>
      </c>
      <c r="AR2" s="39" t="s">
        <v>442</v>
      </c>
      <c r="AS2" s="39" t="s">
        <v>439</v>
      </c>
      <c r="AT2" s="39" t="s">
        <v>451</v>
      </c>
      <c r="AU2" s="39" t="s">
        <v>452</v>
      </c>
      <c r="AV2" s="39" t="s">
        <v>443</v>
      </c>
      <c r="AW2" s="39" t="inlineStr">
        <is>
          <t>片方x</t>
        </is>
      </c>
      <c r="AX2" s="39" t="inlineStr">
        <is>
          <t>片方y</t>
        </is>
      </c>
      <c r="AY2" s="39" t="inlineStr">
        <is>
          <t>片方通番</t>
        </is>
      </c>
      <c r="BD2" s="39" t="inlineStr">
        <is>
          <t>軸外</t>
        </is>
      </c>
      <c r="BF2" s="39" t="inlineStr">
        <is>
          <t>優先順 氏名</t>
        </is>
      </c>
      <c r="BG2" s="39" t="inlineStr">
        <is>
          <t>優先順 PK</t>
        </is>
      </c>
      <c r="BH2" s="39" t="inlineStr">
        <is>
          <t>優先順 梱包</t>
        </is>
      </c>
      <c r="BI2" s="39" t="inlineStr">
        <is>
          <t>目標</t>
        </is>
      </c>
      <c r="AZ2" s="39">
        <v>10</v>
      </c>
      <c r="BA2" s="39">
        <v>40</v>
      </c>
      <c r="BB2" s="39">
        <v>40</v>
      </c>
      <c r="BC2" s="39">
        <v>10</v>
      </c>
      <c r="BK2" s="39" t="inlineStr">
        <is>
          <t>会社目標(分/件)</t>
        </is>
      </c>
      <c r="BL2" s="62">
        <f>設定!$C$26</f>
        <v>1.6</v>
      </c>
    </row>
    <row r="3" spans="1:64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>IF($AY3="","",IF($AK3="PKのみ",$AH3,CHOOSE(MOD($AY3-1,6)+1,12,17,22,27,32,37)))</f>
        <v/>
      </c>
      <c r="AX3" s="62" t="str">
        <f>IF($AY3="","",IF($AK3="PKのみ",CHOOSE(MOD($AY3-1,6)+1,12,17,22,27,32,37),$AI3))</f>
        <v/>
      </c>
      <c r="AY3" s="62" t="str">
        <f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>IF($AG3="","",IF(OR(AND(ISNUMBER($AH3),OR($AH3&lt;10,$AH3&gt;190)),AND(ISNUMBER($AI3),OR($AI3&lt;10,$AI3&gt;190))),1,0))</f>
        <v>0</v>
      </c>
      <c r="BF3" s="61" t="str">
        <f>IFERROR(INDEX($AG$3:$AG$62,MATCH(SMALL($AM$3:$AM$62,ROW()-2),$AM$3:$AM$62,0)),"")</f>
        <v>平田学</v>
      </c>
      <c r="BG3" s="62">
        <f>IFERROR(INDEX($AH$3:$AH$62,MATCH(SMALL($AM$3:$AM$62,ROW()-2),$AM$3:$AM$62,0)),"")</f>
        <v>56.60244897959183</v>
      </c>
      <c r="BH3" s="61" t="str">
        <f>IFERROR(INDEX($AI$3:$AI$62,MATCH(SMALL($AM$3:$AM$62,ROW()-2),$AM$3:$AM$62,0)),"")</f>
        <v/>
      </c>
      <c r="BI3" s="62">
        <f>IF($BF3="","",100)</f>
        <v>100</v>
      </c>
      <c r="BK3" s="39" t="inlineStr">
        <is>
          <t>PK 総件数</t>
        </is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澤田凌</v>
      </c>
      <c r="B4" s="62">
        <f>IF(ピッキング!$K$8="","",ピッキング!$K$8)</f>
        <v>138.51606425702809</v>
      </c>
      <c r="C4" s="62">
        <f>IF(梱包!$K$8="","",梱包!$K$8)</f>
        <v>72.980283224400878</v>
      </c>
      <c r="D4" s="61">
        <f>IF(ピッキング!$I$8="","",ピッキング!$I$8)</f>
        <v>1724.5249999999999</v>
      </c>
      <c r="E4" s="61">
        <f>IF(ピッキング!$D$8="","",ピッキング!$D$8)</f>
        <v>1245</v>
      </c>
      <c r="F4" s="61">
        <f>IF(梱包!$I$8="","",梱包!$I$8)</f>
        <v>1116.5983333333334</v>
      </c>
      <c r="G4" s="61">
        <f>IF(梱包!$D$8="","",梱包!$D$8)</f>
        <v>1530</v>
      </c>
      <c r="H4" s="61">
        <f t="shared" si="0"/>
        <v>1</v>
      </c>
      <c r="I4" s="61">
        <f>IF(H4=1,SUM(H$3:H4),"")</f>
        <v>2</v>
      </c>
      <c r="J4" s="62">
        <f t="shared" si="1"/>
        <v>102.3828228228228</v>
      </c>
      <c r="K4" s="61" t="str">
        <f t="shared" si="2"/>
        <v>澤田凌</v>
      </c>
      <c r="L4" s="62">
        <f t="shared" si="3"/>
        <v>138.51606425702809</v>
      </c>
      <c r="M4" s="62">
        <f t="shared" si="4"/>
        <v>72.980283224400878</v>
      </c>
      <c r="N4" s="62">
        <f t="shared" si="5"/>
        <v>102.3828228228228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102.3828228228228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138.51606425702809</v>
      </c>
      <c r="AI4" s="62">
        <f t="shared" si="18"/>
        <v>72.980283224400878</v>
      </c>
      <c r="AJ4" s="62">
        <f t="shared" si="19"/>
        <v>102.3828228228228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102.38282682282281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>IF($AY4="","",IF($AK4="PKのみ",$AH4,CHOOSE(MOD($AY4-1,6)+1,12,17,22,27,32,37)))</f>
        <v/>
      </c>
      <c r="AX4" s="62" t="str">
        <f>IF($AY4="","",IF($AK4="PKのみ",CHOOSE(MOD($AY4-1,6)+1,12,17,22,27,32,37),$AI4))</f>
        <v/>
      </c>
      <c r="AY4" s="62" t="str">
        <f>IF($AK4="PKのみ",COUNTIFS($AK$3:$AK$62,"PKのみ",$AH$3:$AH$62,"&lt;"&amp;$AH4)+1,IF($AK4="梱包のみ",COUNTIFS($AK$3:$AK$62,"梱包のみ",$AI$3:$AI$62,"&lt;"&amp;$AI4)+1,""))</f>
        <v/>
      </c>
      <c r="BD4" s="62">
        <f>IF($AG4="","",IF(OR(AND(ISNUMBER($AH4),OR($AH4&lt;10,$AH4&gt;190)),AND(ISNUMBER($AI4),OR($AI4&lt;10,$AI4&gt;190))),1,0))</f>
        <v>0</v>
      </c>
      <c r="BF4" s="61" t="str">
        <f>IFERROR(INDEX($AG$3:$AG$62,MATCH(SMALL($AM$3:$AM$62,ROW()-2),$AM$3:$AM$62,0)),"")</f>
        <v>森田美加</v>
      </c>
      <c r="BG4" s="62">
        <f>IFERROR(INDEX($AH$3:$AH$62,MATCH(SMALL($AM$3:$AM$62,ROW()-2),$AM$3:$AM$62,0)),"")</f>
        <v>98.22111111111111</v>
      </c>
      <c r="BH4" s="62">
        <f>IFERROR(INDEX($AI$3:$AI$62,MATCH(SMALL($AM$3:$AM$62,ROW()-2),$AM$3:$AM$62,0)),"")</f>
        <v>52.27737789203085</v>
      </c>
      <c r="BI4" s="62">
        <f>IF($BF4="","",100)</f>
        <v>100</v>
      </c>
      <c r="BK4" s="39" t="inlineStr">
        <is>
          <t>PK 総企業数</t>
        </is>
      </c>
      <c r="BL4" s="62">
        <f>SUM(ピッキング!$E$7:$E$66)</f>
        <v>9114</v>
      </c>
    </row>
    <row r="5" spans="1:64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>IF($AY5="","",IF($AK5="PKのみ",$AH5,CHOOSE(MOD($AY5-1,6)+1,12,17,22,27,32,37)))</f>
        <v/>
      </c>
      <c r="AX5" s="62" t="str">
        <f>IF($AY5="","",IF($AK5="PKのみ",CHOOSE(MOD($AY5-1,6)+1,12,17,22,27,32,37),$AI5))</f>
        <v/>
      </c>
      <c r="AY5" s="62" t="str">
        <f>IF($AK5="PKのみ",COUNTIFS($AK$3:$AK$62,"PKのみ",$AH$3:$AH$62,"&lt;"&amp;$AH5)+1,IF($AK5="梱包のみ",COUNTIFS($AK$3:$AK$62,"梱包のみ",$AI$3:$AI$62,"&lt;"&amp;$AI5)+1,""))</f>
        <v/>
      </c>
      <c r="BD5" s="62">
        <f>IF($AG5="","",IF(OR(AND(ISNUMBER($AH5),OR($AH5&lt;10,$AH5&gt;190)),AND(ISNUMBER($AI5),OR($AI5&lt;10,$AI5&gt;190))),1,0))</f>
        <v>0</v>
      </c>
      <c r="BF5" s="61" t="str">
        <f>IFERROR(INDEX($AG$3:$AG$62,MATCH(SMALL($AM$3:$AM$62,ROW()-2),$AM$3:$AM$62,0)),"")</f>
        <v>菊池敬</v>
      </c>
      <c r="BG5" s="62">
        <f>IFERROR(INDEX($AH$3:$AH$62,MATCH(SMALL($AM$3:$AM$62,ROW()-2),$AM$3:$AM$62,0)),"")</f>
        <v>85.86263157894736</v>
      </c>
      <c r="BH5" s="62">
        <f>IFERROR(INDEX($AI$3:$AI$62,MATCH(SMALL($AM$3:$AM$62,ROW()-2),$AM$3:$AM$62,0)),"")</f>
        <v>65.7034771774833</v>
      </c>
      <c r="BI5" s="62">
        <f>IF($BF5="","",100)</f>
        <v>100</v>
      </c>
      <c r="BK5" s="39" t="inlineStr">
        <is>
          <t>PK 総実測(分)</t>
        </is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>IF($AY6="","",IF($AK6="PKのみ",$AH6,CHOOSE(MOD($AY6-1,6)+1,12,17,22,27,32,37)))</f>
        <v/>
      </c>
      <c r="AX6" s="62" t="str">
        <f>IF($AY6="","",IF($AK6="PKのみ",CHOOSE(MOD($AY6-1,6)+1,12,17,22,27,32,37),$AI6))</f>
        <v/>
      </c>
      <c r="AY6" s="62" t="str">
        <f>IF($AK6="PKのみ",COUNTIFS($AK$3:$AK$62,"PKのみ",$AH$3:$AH$62,"&lt;"&amp;$AH6)+1,IF($AK6="梱包のみ",COUNTIFS($AK$3:$AK$62,"梱包のみ",$AI$3:$AI$62,"&lt;"&amp;$AI6)+1,""))</f>
        <v/>
      </c>
      <c r="BD6" s="62">
        <f>IF($AG6="","",IF(OR(AND(ISNUMBER($AH6),OR($AH6&lt;10,$AH6&gt;190)),AND(ISNUMBER($AI6),OR($AI6&lt;10,$AI6&gt;190))),1,0))</f>
        <v>0</v>
      </c>
      <c r="BF6" s="61" t="str">
        <f>IFERROR(INDEX($AG$3:$AG$62,MATCH(SMALL($AM$3:$AM$62,ROW()-2),$AM$3:$AM$62,0)),"")</f>
        <v>片岡達也</v>
      </c>
      <c r="BG6" s="62">
        <f>IFERROR(INDEX($AH$3:$AH$62,MATCH(SMALL($AM$3:$AM$62,ROW()-2),$AM$3:$AM$62,0)),"")</f>
        <v>76.88366336633663</v>
      </c>
      <c r="BH6" s="61" t="str">
        <f>IFERROR(INDEX($AI$3:$AI$62,MATCH(SMALL($AM$3:$AM$62,ROW()-2),$AM$3:$AM$62,0)),"")</f>
        <v/>
      </c>
      <c r="BI6" s="62">
        <f>IF($BF6="","",100)</f>
        <v>100</v>
      </c>
      <c r="BK6" s="39" t="inlineStr">
        <is>
          <t>PK 会社目標達成率(%)</t>
        </is>
      </c>
      <c r="BL6" s="62">
        <f>IF($BL$5=0,"",$BL$2*$BL$3/$BL$5*100)</f>
        <v>83.36414682588334</v>
      </c>
    </row>
    <row r="7" spans="1:64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>IF($AY7="","",IF($AK7="PKのみ",$AH7,CHOOSE(MOD($AY7-1,6)+1,12,17,22,27,32,37)))</f>
        <v>126.5595238095238</v>
      </c>
      <c r="AX7" s="62">
        <f>IF($AY7="","",IF($AK7="PKのみ",CHOOSE(MOD($AY7-1,6)+1,12,17,22,27,32,37),$AI7))</f>
        <v>27.0</v>
      </c>
      <c r="AY7" s="62">
        <f>IF($AK7="PKのみ",COUNTIFS($AK$3:$AK$62,"PKのみ",$AH$3:$AH$62,"&lt;"&amp;$AH7)+1,IF($AK7="梱包のみ",COUNTIFS($AK$3:$AK$62,"梱包のみ",$AI$3:$AI$62,"&lt;"&amp;$AI7)+1,""))</f>
        <v>10</v>
      </c>
      <c r="BD7" s="62">
        <f>IF($AG7="","",IF(OR(AND(ISNUMBER($AH7),OR($AH7&lt;10,$AH7&gt;190)),AND(ISNUMBER($AI7),OR($AI7&lt;10,$AI7&gt;190))),1,0))</f>
        <v>0</v>
      </c>
      <c r="BF7" s="61" t="str">
        <f>IFERROR(INDEX($AG$3:$AG$62,MATCH(SMALL($AM$3:$AM$62,ROW()-2),$AM$3:$AM$62,0)),"")</f>
        <v>木村千鶴</v>
      </c>
      <c r="BG7" s="62">
        <f>IFERROR(INDEX($AH$3:$AH$62,MATCH(SMALL($AM$3:$AM$62,ROW()-2),$AM$3:$AM$62,0)),"")</f>
        <v>99.64362464183381</v>
      </c>
      <c r="BH7" s="62">
        <f>IFERROR(INDEX($AI$3:$AI$62,MATCH(SMALL($AM$3:$AM$62,ROW()-2),$AM$3:$AM$62,0)),"")</f>
        <v>71.82954945441745</v>
      </c>
      <c r="BI7" s="62">
        <f>IF($BF7="","",100)</f>
        <v>100</v>
      </c>
      <c r="BK7" s="39" t="inlineStr">
        <is>
          <t>PK 1社あたり件数</t>
        </is>
      </c>
      <c r="BL7" s="62">
        <f>IF($BL$4=0,"",$BL$3/$BL$4)</f>
        <v>2.3314680710994073</v>
      </c>
    </row>
    <row r="8" spans="1:64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>IF($AY8="","",IF($AK8="PKのみ",$AH8,CHOOSE(MOD($AY8-1,6)+1,12,17,22,27,32,37)))</f>
        <v/>
      </c>
      <c r="AX8" s="62" t="str">
        <f>IF($AY8="","",IF($AK8="PKのみ",CHOOSE(MOD($AY8-1,6)+1,12,17,22,27,32,37),$AI8))</f>
        <v/>
      </c>
      <c r="AY8" s="62" t="str">
        <f>IF($AK8="PKのみ",COUNTIFS($AK$3:$AK$62,"PKのみ",$AH$3:$AH$62,"&lt;"&amp;$AH8)+1,IF($AK8="梱包のみ",COUNTIFS($AK$3:$AK$62,"梱包のみ",$AI$3:$AI$62,"&lt;"&amp;$AI8)+1,""))</f>
        <v/>
      </c>
      <c r="BD8" s="62">
        <f>IF($AG8="","",IF(OR(AND(ISNUMBER($AH8),OR($AH8&lt;10,$AH8&gt;190)),AND(ISNUMBER($AI8),OR($AI8&lt;10,$AI8&gt;190))),1,0))</f>
        <v>0</v>
      </c>
      <c r="BF8" s="61" t="str">
        <f>IFERROR(INDEX($AG$3:$AG$62,MATCH(SMALL($AM$3:$AM$62,ROW()-2),$AM$3:$AM$62,0)),"")</f>
        <v>上村和恵</v>
      </c>
      <c r="BG8" s="62">
        <f>IFERROR(INDEX($AH$3:$AH$62,MATCH(SMALL($AM$3:$AM$62,ROW()-2),$AM$3:$AM$62,0)),"")</f>
        <v>79.35816135084428</v>
      </c>
      <c r="BH8" s="61" t="str">
        <f>IFERROR(INDEX($AI$3:$AI$62,MATCH(SMALL($AM$3:$AM$62,ROW()-2),$AM$3:$AM$62,0)),"")</f>
        <v/>
      </c>
      <c r="BI8" s="62">
        <f>IF($BF8="","",100)</f>
        <v>100</v>
      </c>
      <c r="BK8" s="39" t="inlineStr">
        <is>
          <t>PK 段取り(秒/件)</t>
        </is>
      </c>
      <c r="BL8" s="62">
        <f>IF($BL$3=0,"",設定!$E$6*$BL$4/$BL$3)</f>
        <v>24.040646618664404</v>
      </c>
    </row>
    <row r="9" spans="1:64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>IF($AY9="","",IF($AK9="PKのみ",$AH9,CHOOSE(MOD($AY9-1,6)+1,12,17,22,27,32,37)))</f>
        <v/>
      </c>
      <c r="AX9" s="62" t="str">
        <f>IF($AY9="","",IF($AK9="PKのみ",CHOOSE(MOD($AY9-1,6)+1,12,17,22,27,32,37),$AI9))</f>
        <v/>
      </c>
      <c r="AY9" s="62" t="str">
        <f>IF($AK9="PKのみ",COUNTIFS($AK$3:$AK$62,"PKのみ",$AH$3:$AH$62,"&lt;"&amp;$AH9)+1,IF($AK9="梱包のみ",COUNTIFS($AK$3:$AK$62,"梱包のみ",$AI$3:$AI$62,"&lt;"&amp;$AI9)+1,""))</f>
        <v/>
      </c>
      <c r="BD9" s="62">
        <f>IF($AG9="","",IF(OR(AND(ISNUMBER($AH9),OR($AH9&lt;10,$AH9&gt;190)),AND(ISNUMBER($AI9),OR($AI9&lt;10,$AI9&gt;190))),1,0))</f>
        <v>0</v>
      </c>
      <c r="BF9" s="61" t="str">
        <f>IFERROR(INDEX($AG$3:$AG$62,MATCH(SMALL($AM$3:$AM$62,ROW()-2),$AM$3:$AM$62,0)),"")</f>
        <v>秋草文恵</v>
      </c>
      <c r="BG9" s="62">
        <f>IFERROR(INDEX($AH$3:$AH$62,MATCH(SMALL($AM$3:$AM$62,ROW()-2),$AM$3:$AM$62,0)),"")</f>
        <v>80.2896370582617</v>
      </c>
      <c r="BH9" s="61" t="str">
        <f>IFERROR(INDEX($AI$3:$AI$62,MATCH(SMALL($AM$3:$AM$62,ROW()-2),$AM$3:$AM$62,0)),"")</f>
        <v/>
      </c>
      <c r="BI9" s="62">
        <f>IF($BF9="","",100)</f>
        <v>100</v>
      </c>
      <c r="BK9" s="39" t="inlineStr">
        <is>
          <t>PK 1.6分に必要な1社件数</t>
        </is>
      </c>
      <c r="BL9" s="62">
        <f>IF(設定!$E$26-設定!$E$7&lt;=0,"",設定!$E$6/(設定!$E$26-設定!$E$7))</f>
        <v>2.7475490196078423</v>
      </c>
    </row>
    <row r="10" spans="1:64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>IF($AY10="","",IF($AK10="PKのみ",$AH10,CHOOSE(MOD($AY10-1,6)+1,12,17,22,27,32,37)))</f>
        <v/>
      </c>
      <c r="AX10" s="62" t="str">
        <f>IF($AY10="","",IF($AK10="PKのみ",CHOOSE(MOD($AY10-1,6)+1,12,17,22,27,32,37),$AI10))</f>
        <v/>
      </c>
      <c r="AY10" s="62" t="str">
        <f>IF($AK10="PKのみ",COUNTIFS($AK$3:$AK$62,"PKのみ",$AH$3:$AH$62,"&lt;"&amp;$AH10)+1,IF($AK10="梱包のみ",COUNTIFS($AK$3:$AK$62,"梱包のみ",$AI$3:$AI$62,"&lt;"&amp;$AI10)+1,""))</f>
        <v/>
      </c>
      <c r="BD10" s="62">
        <f>IF($AG10="","",IF(OR(AND(ISNUMBER($AH10),OR($AH10&lt;10,$AH10&gt;190)),AND(ISNUMBER($AI10),OR($AI10&lt;10,$AI10&gt;190))),1,0))</f>
        <v>0</v>
      </c>
      <c r="BF10" s="61" t="str">
        <f>IFERROR(INDEX($AG$3:$AG$62,MATCH(SMALL($AM$3:$AM$62,ROW()-2),$AM$3:$AM$62,0)),"")</f>
        <v>高橋正美</v>
      </c>
      <c r="BG10" s="62">
        <f>IFERROR(INDEX($AH$3:$AH$62,MATCH(SMALL($AM$3:$AM$62,ROW()-2),$AM$3:$AM$62,0)),"")</f>
        <v>80.89163346613546</v>
      </c>
      <c r="BH10" s="61" t="str">
        <f>IFERROR(INDEX($AI$3:$AI$62,MATCH(SMALL($AM$3:$AM$62,ROW()-2),$AM$3:$AM$62,0)),"")</f>
        <v/>
      </c>
      <c r="BI10" s="62">
        <f>IF($BF10="","",100)</f>
        <v>100</v>
      </c>
    </row>
    <row r="11" spans="1:64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102.3828228228228</v>
      </c>
      <c r="R11" s="61" t="str">
        <f t="shared" si="8"/>
        <v>澤田凌</v>
      </c>
      <c r="S11" s="62">
        <f t="shared" si="9"/>
        <v>138.51606425702809</v>
      </c>
      <c r="T11" s="62">
        <f t="shared" si="10"/>
        <v>72.980283224400878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>IF($AY11="","",IF($AK11="PKのみ",$AH11,CHOOSE(MOD($AY11-1,6)+1,12,17,22,27,32,37)))</f>
        <v/>
      </c>
      <c r="AX11" s="62" t="str">
        <f>IF($AY11="","",IF($AK11="PKのみ",CHOOSE(MOD($AY11-1,6)+1,12,17,22,27,32,37),$AI11))</f>
        <v/>
      </c>
      <c r="AY11" s="62" t="str">
        <f>IF($AK11="PKのみ",COUNTIFS($AK$3:$AK$62,"PKのみ",$AH$3:$AH$62,"&lt;"&amp;$AH11)+1,IF($AK11="梱包のみ",COUNTIFS($AK$3:$AK$62,"梱包のみ",$AI$3:$AI$62,"&lt;"&amp;$AI11)+1,""))</f>
        <v/>
      </c>
      <c r="BD11" s="62">
        <f>IF($AG11="","",IF(OR(AND(ISNUMBER($AH11),OR($AH11&lt;10,$AH11&gt;190)),AND(ISNUMBER($AI11),OR($AI11&lt;10,$AI11&gt;190))),1,0))</f>
        <v>0</v>
      </c>
      <c r="BF11" s="61" t="str">
        <f>IFERROR(INDEX($AG$3:$AG$62,MATCH(SMALL($AM$3:$AM$62,ROW()-2),$AM$3:$AM$62,0)),"")</f>
        <v>中村美佳</v>
      </c>
      <c r="BG11" s="62">
        <f>IFERROR(INDEX($AH$3:$AH$62,MATCH(SMALL($AM$3:$AM$62,ROW()-2),$AM$3:$AM$62,0)),"")</f>
        <v>121.32499999999997</v>
      </c>
      <c r="BH11" s="62">
        <f>IFERROR(INDEX($AI$3:$AI$62,MATCH(SMALL($AM$3:$AM$62,ROW()-2),$AM$3:$AM$62,0)),"")</f>
        <v>81.79246575342466</v>
      </c>
      <c r="BI11" s="62">
        <f>IF($BF11="","",100)</f>
        <v>100</v>
      </c>
      <c r="BK11" s="39" t="inlineStr">
        <is>
          <t>梱包 総件数</t>
        </is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102.38282682282281</v>
      </c>
      <c r="AP12" s="61" t="str">
        <f t="shared" si="24"/>
        <v>澤田凌</v>
      </c>
      <c r="AQ12" s="62">
        <f t="shared" si="25"/>
        <v>138.51606425702809</v>
      </c>
      <c r="AR12" s="62">
        <f t="shared" si="26"/>
        <v>72.980283224400878</v>
      </c>
      <c r="AS12" s="62">
        <f t="shared" si="27"/>
        <v>102.3828228228228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>IF($AY12="","",IF($AK12="PKのみ",$AH12,CHOOSE(MOD($AY12-1,6)+1,12,17,22,27,32,37)))</f>
        <v/>
      </c>
      <c r="AX12" s="62" t="str">
        <f>IF($AY12="","",IF($AK12="PKのみ",CHOOSE(MOD($AY12-1,6)+1,12,17,22,27,32,37),$AI12))</f>
        <v/>
      </c>
      <c r="AY12" s="62" t="str">
        <f>IF($AK12="PKのみ",COUNTIFS($AK$3:$AK$62,"PKのみ",$AH$3:$AH$62,"&lt;"&amp;$AH12)+1,IF($AK12="梱包のみ",COUNTIFS($AK$3:$AK$62,"梱包のみ",$AI$3:$AI$62,"&lt;"&amp;$AI12)+1,""))</f>
        <v/>
      </c>
      <c r="BD12" s="62">
        <f>IF($AG12="","",IF(OR(AND(ISNUMBER($AH12),OR($AH12&lt;10,$AH12&gt;190)),AND(ISNUMBER($AI12),OR($AI12&lt;10,$AI12&gt;190))),1,0))</f>
        <v>0</v>
      </c>
      <c r="BF12" s="61" t="str">
        <f>IFERROR(INDEX($AG$3:$AG$62,MATCH(SMALL($AM$3:$AM$62,ROW()-2),$AM$3:$AM$62,0)),"")</f>
        <v>廣瀬こずえ</v>
      </c>
      <c r="BG12" s="62">
        <f>IFERROR(INDEX($AH$3:$AH$62,MATCH(SMALL($AM$3:$AM$62,ROW()-2),$AM$3:$AM$62,0)),"")</f>
        <v>88.02662271805272</v>
      </c>
      <c r="BH12" s="61" t="str">
        <f>IFERROR(INDEX($AI$3:$AI$62,MATCH(SMALL($AM$3:$AM$62,ROW()-2),$AM$3:$AM$62,0)),"")</f>
        <v/>
      </c>
      <c r="BI12" s="62">
        <f>IF($BF12="","",100)</f>
        <v>100</v>
      </c>
      <c r="BK12" s="39" t="inlineStr">
        <is>
          <t>梱包 総実測(分)</t>
        </is>
      </c>
      <c r="BL12" s="62">
        <f>SUM(梱包!$D$7:$D$66)</f>
        <v>39187</v>
      </c>
    </row>
    <row r="13" spans="1:64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>IF($AY13="","",IF($AK13="PKのみ",$AH13,CHOOSE(MOD($AY13-1,6)+1,12,17,22,27,32,37)))</f>
        <v/>
      </c>
      <c r="AX13" s="62" t="str">
        <f>IF($AY13="","",IF($AK13="PKのみ",CHOOSE(MOD($AY13-1,6)+1,12,17,22,27,32,37),$AI13))</f>
        <v/>
      </c>
      <c r="AY13" s="62" t="str">
        <f>IF($AK13="PKのみ",COUNTIFS($AK$3:$AK$62,"PKのみ",$AH$3:$AH$62,"&lt;"&amp;$AH13)+1,IF($AK13="梱包のみ",COUNTIFS($AK$3:$AK$62,"梱包のみ",$AI$3:$AI$62,"&lt;"&amp;$AI13)+1,""))</f>
        <v/>
      </c>
      <c r="BD13" s="62">
        <f>IF($AG13="","",IF(OR(AND(ISNUMBER($AH13),OR($AH13&lt;10,$AH13&gt;190)),AND(ISNUMBER($AI13),OR($AI13&lt;10,$AI13&gt;190))),1,0))</f>
        <v>0</v>
      </c>
      <c r="BF13" s="61" t="str">
        <f>IFERROR(INDEX($AG$3:$AG$62,MATCH(SMALL($AM$3:$AM$62,ROW()-2),$AM$3:$AM$62,0)),"")</f>
        <v>向井ひかり</v>
      </c>
      <c r="BG13" s="62">
        <f>IFERROR(INDEX($AH$3:$AH$62,MATCH(SMALL($AM$3:$AM$62,ROW()-2),$AM$3:$AM$62,0)),"")</f>
        <v>89.99333688699362</v>
      </c>
      <c r="BH13" s="61" t="str">
        <f>IFERROR(INDEX($AI$3:$AI$62,MATCH(SMALL($AM$3:$AM$62,ROW()-2),$AM$3:$AM$62,0)),"")</f>
        <v/>
      </c>
      <c r="BI13" s="62">
        <f>IF($BF13="","",100)</f>
        <v>100</v>
      </c>
      <c r="BK13" s="39" t="inlineStr">
        <is>
          <t>梱包 会社目標達成率(%)</t>
        </is>
      </c>
      <c r="BL13" s="62">
        <f>IF($BL$12=0,"",設定!$C$27*$BL$11/$BL$12*100)</f>
        <v>99.89843570571875</v>
      </c>
    </row>
    <row r="14" spans="1:64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>IF($AY14="","",IF($AK14="PKのみ",$AH14,CHOOSE(MOD($AY14-1,6)+1,12,17,22,27,32,37)))</f>
        <v/>
      </c>
      <c r="AX14" s="62" t="str">
        <f>IF($AY14="","",IF($AK14="PKのみ",CHOOSE(MOD($AY14-1,6)+1,12,17,22,27,32,37),$AI14))</f>
        <v/>
      </c>
      <c r="AY14" s="62" t="str">
        <f>IF($AK14="PKのみ",COUNTIFS($AK$3:$AK$62,"PKのみ",$AH$3:$AH$62,"&lt;"&amp;$AH14)+1,IF($AK14="梱包のみ",COUNTIFS($AK$3:$AK$62,"梱包のみ",$AI$3:$AI$62,"&lt;"&amp;$AI14)+1,""))</f>
        <v/>
      </c>
      <c r="BD14" s="62">
        <f>IF($AG14="","",IF(OR(AND(ISNUMBER($AH14),OR($AH14&lt;10,$AH14&gt;190)),AND(ISNUMBER($AI14),OR($AI14&lt;10,$AI14&gt;190))),1,0))</f>
        <v>0</v>
      </c>
      <c r="BF14" s="61" t="str">
        <f>IFERROR(INDEX($AG$3:$AG$62,MATCH(SMALL($AM$3:$AM$62,ROW()-2),$AM$3:$AM$62,0)),"")</f>
        <v>奥野愛海</v>
      </c>
      <c r="BG14" s="62">
        <f>IFERROR(INDEX($AH$3:$AH$62,MATCH(SMALL($AM$3:$AM$62,ROW()-2),$AM$3:$AM$62,0)),"")</f>
        <v>91.34864864864863</v>
      </c>
      <c r="BH14" s="61" t="str">
        <f>IFERROR(INDEX($AI$3:$AI$62,MATCH(SMALL($AM$3:$AM$62,ROW()-2),$AM$3:$AM$62,0)),"")</f>
        <v/>
      </c>
      <c r="BI14" s="62">
        <f>IF($BF14="","",100)</f>
        <v>100</v>
      </c>
      <c r="BK14" s="39" t="inlineStr">
        <is>
          <t>PK 実測(秒/件)</t>
        </is>
      </c>
      <c r="BL14" s="62">
        <f>IF($BL$3=0,"",$BL$5*60/$BL$3)</f>
        <v>115.15741917266695</v>
      </c>
    </row>
    <row r="15" spans="1:64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>IF($AY15="","",IF($AK15="PKのみ",$AH15,CHOOSE(MOD($AY15-1,6)+1,12,17,22,27,32,37)))</f>
        <v/>
      </c>
      <c r="AX15" s="62" t="str">
        <f>IF($AY15="","",IF($AK15="PKのみ",CHOOSE(MOD($AY15-1,6)+1,12,17,22,27,32,37),$AI15))</f>
        <v/>
      </c>
      <c r="AY15" s="62" t="str">
        <f>IF($AK15="PKのみ",COUNTIFS($AK$3:$AK$62,"PKのみ",$AH$3:$AH$62,"&lt;"&amp;$AH15)+1,IF($AK15="梱包のみ",COUNTIFS($AK$3:$AK$62,"梱包のみ",$AI$3:$AI$62,"&lt;"&amp;$AI15)+1,""))</f>
        <v/>
      </c>
      <c r="BD15" s="62">
        <f>IF($AG15="","",IF(OR(AND(ISNUMBER($AH15),OR($AH15&lt;10,$AH15&gt;190)),AND(ISNUMBER($AI15),OR($AI15&lt;10,$AI15&gt;190))),1,0))</f>
        <v>0</v>
      </c>
      <c r="BF15" s="61" t="str">
        <f>IFERROR(INDEX($AG$3:$AG$62,MATCH(SMALL($AM$3:$AM$62,ROW()-2),$AM$3:$AM$62,0)),"")</f>
        <v>森本久美</v>
      </c>
      <c r="BG15" s="62">
        <f>IFERROR(INDEX($AH$3:$AH$62,MATCH(SMALL($AM$3:$AM$62,ROW()-2),$AM$3:$AM$62,0)),"")</f>
        <v>81.8917597765363</v>
      </c>
      <c r="BH15" s="62">
        <f>IFERROR(INDEX($AI$3:$AI$62,MATCH(SMALL($AM$3:$AM$62,ROW()-2),$AM$3:$AM$62,0)),"")</f>
        <v>100.98448866067606</v>
      </c>
      <c r="BI15" s="62">
        <f>IF($BF15="","",100)</f>
        <v>100</v>
      </c>
      <c r="BK15" s="39" t="inlineStr">
        <is>
          <t>PK 標準(秒/件)</t>
        </is>
      </c>
      <c r="BL15" s="62">
        <f>IF($BL$3=0,"",設定!$E$6*$BL$4/$BL$3+設定!$E$7)</f>
        <v>99.64064661866439</v>
      </c>
    </row>
    <row r="16" spans="1:64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>IF($AY16="","",IF($AK16="PKのみ",$AH16,CHOOSE(MOD($AY16-1,6)+1,12,17,22,27,32,37)))</f>
        <v>100.59261744966443</v>
      </c>
      <c r="AX16" s="62">
        <f>IF($AY16="","",IF($AK16="PKのみ",CHOOSE(MOD($AY16-1,6)+1,12,17,22,27,32,37),$AI16))</f>
        <v>22.0</v>
      </c>
      <c r="AY16" s="62">
        <f>IF($AK16="PKのみ",COUNTIFS($AK$3:$AK$62,"PKのみ",$AH$3:$AH$62,"&lt;"&amp;$AH16)+1,IF($AK16="梱包のみ",COUNTIFS($AK$3:$AK$62,"梱包のみ",$AI$3:$AI$62,"&lt;"&amp;$AI16)+1,""))</f>
        <v>9</v>
      </c>
      <c r="BD16" s="62">
        <f>IF($AG16="","",IF(OR(AND(ISNUMBER($AH16),OR($AH16&lt;10,$AH16&gt;190)),AND(ISNUMBER($AI16),OR($AI16&lt;10,$AI16&gt;190))),1,0))</f>
        <v>0</v>
      </c>
      <c r="BF16" s="61" t="str">
        <f>IFERROR(INDEX($AG$3:$AG$62,MATCH(SMALL($AM$3:$AM$62,ROW()-2),$AM$3:$AM$62,0)),"")</f>
        <v>中納沙織</v>
      </c>
      <c r="BG16" s="62">
        <f>IFERROR(INDEX($AH$3:$AH$62,MATCH(SMALL($AM$3:$AM$62,ROW()-2),$AM$3:$AM$62,0)),"")</f>
        <v>101.71352549889134</v>
      </c>
      <c r="BH16" s="62">
        <f>IFERROR(INDEX($AI$3:$AI$62,MATCH(SMALL($AM$3:$AM$62,ROW()-2),$AM$3:$AM$62,0)),"")</f>
        <v>66.90456140350877</v>
      </c>
      <c r="BI16" s="62">
        <f>IF($BF16="","",100)</f>
        <v>100</v>
      </c>
      <c r="BK16" s="39" t="inlineStr">
        <is>
          <t>PK 未達 速さ由来</t>
        </is>
      </c>
      <c r="BL16" s="62">
        <f>IF($BL$3=0,"",$BL$14-$BL$15)</f>
        <v>15.516772554002557</v>
      </c>
    </row>
    <row r="17" spans="1:64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>IF($AY17="","",IF($AK17="PKのみ",$AH17,CHOOSE(MOD($AY17-1,6)+1,12,17,22,27,32,37)))</f>
        <v/>
      </c>
      <c r="AX17" s="62" t="str">
        <f>IF($AY17="","",IF($AK17="PKのみ",CHOOSE(MOD($AY17-1,6)+1,12,17,22,27,32,37),$AI17))</f>
        <v/>
      </c>
      <c r="AY17" s="62" t="str">
        <f>IF($AK17="PKのみ",COUNTIFS($AK$3:$AK$62,"PKのみ",$AH$3:$AH$62,"&lt;"&amp;$AH17)+1,IF($AK17="梱包のみ",COUNTIFS($AK$3:$AK$62,"梱包のみ",$AI$3:$AI$62,"&lt;"&amp;$AI17)+1,""))</f>
        <v/>
      </c>
      <c r="BD17" s="62">
        <f>IF($AG17="","",IF(OR(AND(ISNUMBER($AH17),OR($AH17&lt;10,$AH17&gt;190)),AND(ISNUMBER($AI17),OR($AI17&lt;10,$AI17&gt;190))),1,0))</f>
        <v>0</v>
      </c>
      <c r="BF17" s="61" t="str">
        <f>IFERROR(INDEX($AG$3:$AG$62,MATCH(SMALL($AM$3:$AM$62,ROW()-2),$AM$3:$AM$62,0)),"")</f>
        <v>山本祥吉</v>
      </c>
      <c r="BG17" s="62">
        <f>IFERROR(INDEX($AH$3:$AH$62,MATCH(SMALL($AM$3:$AM$62,ROW()-2),$AM$3:$AM$62,0)),"")</f>
        <v>106.22178879910837</v>
      </c>
      <c r="BH17" s="62">
        <f>IFERROR(INDEX($AI$3:$AI$62,MATCH(SMALL($AM$3:$AM$62,ROW()-2),$AM$3:$AM$62,0)),"")</f>
        <v>84.7367397454031</v>
      </c>
      <c r="BI17" s="62">
        <f>IF($BF17="","",100)</f>
        <v>100</v>
      </c>
      <c r="BK17" s="39" t="inlineStr">
        <is>
          <t>PK 未達 構成由来</t>
        </is>
      </c>
      <c r="BL17" s="62">
        <f>IF($BL$3=0,"",$BL$15-設定!$E$26)</f>
        <v>3.640646618664391</v>
      </c>
    </row>
    <row r="18" spans="1:64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>IF($AY18="","",IF($AK18="PKのみ",$AH18,CHOOSE(MOD($AY18-1,6)+1,12,17,22,27,32,37)))</f>
        <v/>
      </c>
      <c r="AX18" s="62" t="str">
        <f>IF($AY18="","",IF($AK18="PKのみ",CHOOSE(MOD($AY18-1,6)+1,12,17,22,27,32,37),$AI18))</f>
        <v/>
      </c>
      <c r="AY18" s="62" t="str">
        <f>IF($AK18="PKのみ",COUNTIFS($AK$3:$AK$62,"PKのみ",$AH$3:$AH$62,"&lt;"&amp;$AH18)+1,IF($AK18="梱包のみ",COUNTIFS($AK$3:$AK$62,"梱包のみ",$AI$3:$AI$62,"&lt;"&amp;$AI18)+1,""))</f>
        <v/>
      </c>
      <c r="BD18" s="62">
        <f>IF($AG18="","",IF(OR(AND(ISNUMBER($AH18),OR($AH18&lt;10,$AH18&gt;190)),AND(ISNUMBER($AI18),OR($AI18&lt;10,$AI18&gt;190))),1,0))</f>
        <v>0</v>
      </c>
      <c r="BF18" s="61" t="str">
        <f>IFERROR(INDEX($AG$3:$AG$62,MATCH(SMALL($AM$3:$AM$62,ROW()-2),$AM$3:$AM$62,0)),"")</f>
        <v>鈴木香織</v>
      </c>
      <c r="BG18" s="62">
        <f>IFERROR(INDEX($AH$3:$AH$62,MATCH(SMALL($AM$3:$AM$62,ROW()-2),$AM$3:$AM$62,0)),"")</f>
        <v>96.54257425742574</v>
      </c>
      <c r="BH18" s="62">
        <f>IFERROR(INDEX($AI$3:$AI$62,MATCH(SMALL($AM$3:$AM$62,ROW()-2),$AM$3:$AM$62,0)),"")</f>
        <v>97.37824675324676</v>
      </c>
      <c r="BI18" s="62">
        <f>IF($BF18="","",100)</f>
        <v>100</v>
      </c>
      <c r="BK18" s="39" t="inlineStr">
        <is>
          <t>PK 未達 合計</t>
        </is>
      </c>
      <c r="BL18" s="62">
        <f>IF($BL$3=0,"",$BL$14-設定!$E$26)</f>
        <v>19.15741917266695</v>
      </c>
    </row>
    <row r="19" spans="1:64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>IF($AY19="","",IF($AK19="PKのみ",$AH19,CHOOSE(MOD($AY19-1,6)+1,12,17,22,27,32,37)))</f>
        <v/>
      </c>
      <c r="AX19" s="62" t="str">
        <f>IF($AY19="","",IF($AK19="PKのみ",CHOOSE(MOD($AY19-1,6)+1,12,17,22,27,32,37),$AI19))</f>
        <v/>
      </c>
      <c r="AY19" s="62" t="str">
        <f>IF($AK19="PKのみ",COUNTIFS($AK$3:$AK$62,"PKのみ",$AH$3:$AH$62,"&lt;"&amp;$AH19)+1,IF($AK19="梱包のみ",COUNTIFS($AK$3:$AK$62,"梱包のみ",$AI$3:$AI$62,"&lt;"&amp;$AI19)+1,""))</f>
        <v/>
      </c>
      <c r="BD19" s="62">
        <f>IF($AG19="","",IF(OR(AND(ISNUMBER($AH19),OR($AH19&lt;10,$AH19&gt;190)),AND(ISNUMBER($AI19),OR($AI19&lt;10,$AI19&gt;190))),1,0))</f>
        <v>0</v>
      </c>
      <c r="BF19" s="61" t="str">
        <f>IFERROR(INDEX($AG$3:$AG$62,MATCH(SMALL($AM$3:$AM$62,ROW()-2),$AM$3:$AM$62,0)),"")</f>
        <v>高橋佐織</v>
      </c>
      <c r="BG19" s="62">
        <f>IFERROR(INDEX($AH$3:$AH$62,MATCH(SMALL($AM$3:$AM$62,ROW()-2),$AM$3:$AM$62,0)),"")</f>
        <v>106.8047477744807</v>
      </c>
      <c r="BH19" s="62">
        <f>IFERROR(INDEX($AI$3:$AI$62,MATCH(SMALL($AM$3:$AM$62,ROW()-2),$AM$3:$AM$62,0)),"")</f>
        <v>93.86370603420457</v>
      </c>
      <c r="BI19" s="62">
        <f>IF($BF19="","",100)</f>
        <v>100</v>
      </c>
    </row>
    <row r="20" spans="1:64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>IF($AY20="","",IF($AK20="PKのみ",$AH20,CHOOSE(MOD($AY20-1,6)+1,12,17,22,27,32,37)))</f>
        <v>91.34864864864863</v>
      </c>
      <c r="AX20" s="62">
        <f>IF($AY20="","",IF($AK20="PKのみ",CHOOSE(MOD($AY20-1,6)+1,12,17,22,27,32,37),$AI20))</f>
        <v>17.0</v>
      </c>
      <c r="AY20" s="62">
        <f>IF($AK20="PKのみ",COUNTIFS($AK$3:$AK$62,"PKのみ",$AH$3:$AH$62,"&lt;"&amp;$AH20)+1,IF($AK20="梱包のみ",COUNTIFS($AK$3:$AK$62,"梱包のみ",$AI$3:$AI$62,"&lt;"&amp;$AI20)+1,""))</f>
        <v>8</v>
      </c>
      <c r="BD20" s="62">
        <f>IF($AG20="","",IF(OR(AND(ISNUMBER($AH20),OR($AH20&lt;10,$AH20&gt;190)),AND(ISNUMBER($AI20),OR($AI20&lt;10,$AI20&gt;190))),1,0))</f>
        <v>0</v>
      </c>
      <c r="BF20" s="61" t="str">
        <f>IFERROR(INDEX($AG$3:$AG$62,MATCH(SMALL($AM$3:$AM$62,ROW()-2),$AM$3:$AM$62,0)),"")</f>
        <v>後藤克行</v>
      </c>
      <c r="BG20" s="62">
        <f>IFERROR(INDEX($AH$3:$AH$62,MATCH(SMALL($AM$3:$AM$62,ROW()-2),$AM$3:$AM$62,0)),"")</f>
        <v>111.60069735006972</v>
      </c>
      <c r="BH20" s="62">
        <f>IFERROR(INDEX($AI$3:$AI$62,MATCH(SMALL($AM$3:$AM$62,ROW()-2),$AM$3:$AM$62,0)),"")</f>
        <v>80.32650966183573</v>
      </c>
      <c r="BI20" s="62">
        <f>IF($BF20="","",100)</f>
        <v>100</v>
      </c>
    </row>
    <row r="21" spans="1:64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>IF($AY21="","",IF($AK21="PKのみ",$AH21,CHOOSE(MOD($AY21-1,6)+1,12,17,22,27,32,37)))</f>
        <v/>
      </c>
      <c r="AX21" s="62" t="str">
        <f>IF($AY21="","",IF($AK21="PKのみ",CHOOSE(MOD($AY21-1,6)+1,12,17,22,27,32,37),$AI21))</f>
        <v/>
      </c>
      <c r="AY21" s="62" t="str">
        <f>IF($AK21="PKのみ",COUNTIFS($AK$3:$AK$62,"PKのみ",$AH$3:$AH$62,"&lt;"&amp;$AH21)+1,IF($AK21="梱包のみ",COUNTIFS($AK$3:$AK$62,"梱包のみ",$AI$3:$AI$62,"&lt;"&amp;$AI21)+1,""))</f>
        <v/>
      </c>
      <c r="BD21" s="62">
        <f>IF($AG21="","",IF(OR(AND(ISNUMBER($AH21),OR($AH21&lt;10,$AH21&gt;190)),AND(ISNUMBER($AI21),OR($AI21&lt;10,$AI21&gt;190))),1,0))</f>
        <v>0</v>
      </c>
      <c r="BF21" s="61" t="str">
        <f>IFERROR(INDEX($AG$3:$AG$62,MATCH(SMALL($AM$3:$AM$62,ROW()-2),$AM$3:$AM$62,0)),"")</f>
        <v>石戸谷亜子</v>
      </c>
      <c r="BG21" s="62">
        <f>IFERROR(INDEX($AH$3:$AH$62,MATCH(SMALL($AM$3:$AM$62,ROW()-2),$AM$3:$AM$62,0)),"")</f>
        <v>100.59261744966443</v>
      </c>
      <c r="BH21" s="61" t="str">
        <f>IFERROR(INDEX($AI$3:$AI$62,MATCH(SMALL($AM$3:$AM$62,ROW()-2),$AM$3:$AM$62,0)),"")</f>
        <v/>
      </c>
      <c r="BI21" s="62">
        <f>IF($BF21="","",100)</f>
        <v>100</v>
      </c>
    </row>
    <row r="22" spans="1:64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>IF($AY22="","",IF($AK22="PKのみ",$AH22,CHOOSE(MOD($AY22-1,6)+1,12,17,22,27,32,37)))</f>
        <v>89.99333688699362</v>
      </c>
      <c r="AX22" s="62">
        <f>IF($AY22="","",IF($AK22="PKのみ",CHOOSE(MOD($AY22-1,6)+1,12,17,22,27,32,37),$AI22))</f>
        <v>12.0</v>
      </c>
      <c r="AY22" s="62">
        <f>IF($AK22="PKのみ",COUNTIFS($AK$3:$AK$62,"PKのみ",$AH$3:$AH$62,"&lt;"&amp;$AH22)+1,IF($AK22="梱包のみ",COUNTIFS($AK$3:$AK$62,"梱包のみ",$AI$3:$AI$62,"&lt;"&amp;$AI22)+1,""))</f>
        <v>7</v>
      </c>
      <c r="BD22" s="62">
        <f>IF($AG22="","",IF(OR(AND(ISNUMBER($AH22),OR($AH22&lt;10,$AH22&gt;190)),AND(ISNUMBER($AI22),OR($AI22&lt;10,$AI22&gt;190))),1,0))</f>
        <v>0</v>
      </c>
      <c r="BF22" s="61" t="str">
        <f>IFERROR(INDEX($AG$3:$AG$62,MATCH(SMALL($AM$3:$AM$62,ROW()-2),$AM$3:$AM$62,0)),"")</f>
        <v>澤田凌</v>
      </c>
      <c r="BG22" s="62">
        <f>IFERROR(INDEX($AH$3:$AH$62,MATCH(SMALL($AM$3:$AM$62,ROW()-2),$AM$3:$AM$62,0)),"")</f>
        <v>138.5160642570281</v>
      </c>
      <c r="BH22" s="62">
        <f>IFERROR(INDEX($AI$3:$AI$62,MATCH(SMALL($AM$3:$AM$62,ROW()-2),$AM$3:$AM$62,0)),"")</f>
        <v>72.98028322440088</v>
      </c>
      <c r="BI22" s="62">
        <f>IF($BF22="","",100)</f>
        <v>100</v>
      </c>
    </row>
    <row r="23" spans="1:64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>IF($AY23="","",IF($AK23="PKのみ",$AH23,CHOOSE(MOD($AY23-1,6)+1,12,17,22,27,32,37)))</f>
        <v>76.88366336633663</v>
      </c>
      <c r="AX23" s="62">
        <f>IF($AY23="","",IF($AK23="PKのみ",CHOOSE(MOD($AY23-1,6)+1,12,17,22,27,32,37),$AI23))</f>
        <v>17.0</v>
      </c>
      <c r="AY23" s="62">
        <f>IF($AK23="PKのみ",COUNTIFS($AK$3:$AK$62,"PKのみ",$AH$3:$AH$62,"&lt;"&amp;$AH23)+1,IF($AK23="梱包のみ",COUNTIFS($AK$3:$AK$62,"梱包のみ",$AI$3:$AI$62,"&lt;"&amp;$AI23)+1,""))</f>
        <v>2</v>
      </c>
      <c r="BD23" s="62">
        <f>IF($AG23="","",IF(OR(AND(ISNUMBER($AH23),OR($AH23&lt;10,$AH23&gt;190)),AND(ISNUMBER($AI23),OR($AI23&lt;10,$AI23&gt;190))),1,0))</f>
        <v>0</v>
      </c>
    </row>
    <row r="24" spans="1:64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>IF($AY24="","",IF($AK24="PKのみ",$AH24,CHOOSE(MOD($AY24-1,6)+1,12,17,22,27,32,37)))</f>
        <v>88.02662271805272</v>
      </c>
      <c r="AX24" s="62">
        <f>IF($AY24="","",IF($AK24="PKのみ",CHOOSE(MOD($AY24-1,6)+1,12,17,22,27,32,37),$AI24))</f>
        <v>37.0</v>
      </c>
      <c r="AY24" s="62">
        <f>IF($AK24="PKのみ",COUNTIFS($AK$3:$AK$62,"PKのみ",$AH$3:$AH$62,"&lt;"&amp;$AH24)+1,IF($AK24="梱包のみ",COUNTIFS($AK$3:$AK$62,"梱包のみ",$AI$3:$AI$62,"&lt;"&amp;$AI24)+1,""))</f>
        <v>6</v>
      </c>
      <c r="BD24" s="62">
        <f>IF($AG24="","",IF(OR(AND(ISNUMBER($AH24),OR($AH24&lt;10,$AH24&gt;190)),AND(ISNUMBER($AI24),OR($AI24&lt;10,$AI24&gt;190))),1,0))</f>
        <v>0</v>
      </c>
    </row>
    <row r="25" spans="1:64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>IF($AY25="","",IF($AK25="PKのみ",$AH25,CHOOSE(MOD($AY25-1,6)+1,12,17,22,27,32,37)))</f>
        <v/>
      </c>
      <c r="AX25" s="62" t="str">
        <f>IF($AY25="","",IF($AK25="PKのみ",CHOOSE(MOD($AY25-1,6)+1,12,17,22,27,32,37),$AI25))</f>
        <v/>
      </c>
      <c r="AY25" s="62" t="str">
        <f>IF($AK25="PKのみ",COUNTIFS($AK$3:$AK$62,"PKのみ",$AH$3:$AH$62,"&lt;"&amp;$AH25)+1,IF($AK25="梱包のみ",COUNTIFS($AK$3:$AK$62,"梱包のみ",$AI$3:$AI$62,"&lt;"&amp;$AI25)+1,""))</f>
        <v/>
      </c>
      <c r="BD25" s="62">
        <f>IF($AG25="","",IF(OR(AND(ISNUMBER($AH25),OR($AH25&lt;10,$AH25&gt;190)),AND(ISNUMBER($AI25),OR($AI25&lt;10,$AI25&gt;190))),1,0))</f>
        <v>0</v>
      </c>
    </row>
    <row r="26" spans="1:64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>IF($AY26="","",IF($AK26="PKのみ",$AH26,CHOOSE(MOD($AY26-1,6)+1,12,17,22,27,32,37)))</f>
        <v/>
      </c>
      <c r="AX26" s="62" t="str">
        <f>IF($AY26="","",IF($AK26="PKのみ",CHOOSE(MOD($AY26-1,6)+1,12,17,22,27,32,37),$AI26))</f>
        <v/>
      </c>
      <c r="AY26" s="62" t="str">
        <f>IF($AK26="PKのみ",COUNTIFS($AK$3:$AK$62,"PKのみ",$AH$3:$AH$62,"&lt;"&amp;$AH26)+1,IF($AK26="梱包のみ",COUNTIFS($AK$3:$AK$62,"梱包のみ",$AI$3:$AI$62,"&lt;"&amp;$AI26)+1,""))</f>
        <v/>
      </c>
      <c r="BD26" s="62">
        <f>IF($AG26="","",IF(OR(AND(ISNUMBER($AH26),OR($AH26&lt;10,$AH26&gt;190)),AND(ISNUMBER($AI26),OR($AI26&lt;10,$AI26&gt;190))),1,0))</f>
        <v>0</v>
      </c>
    </row>
    <row r="27" spans="1:64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>IF($AY27="","",IF($AK27="PKのみ",$AH27,CHOOSE(MOD($AY27-1,6)+1,12,17,22,27,32,37)))</f>
        <v>80.89163346613546</v>
      </c>
      <c r="AX27" s="62">
        <f>IF($AY27="","",IF($AK27="PKのみ",CHOOSE(MOD($AY27-1,6)+1,12,17,22,27,32,37),$AI27))</f>
        <v>32.0</v>
      </c>
      <c r="AY27" s="62">
        <f>IF($AK27="PKのみ",COUNTIFS($AK$3:$AK$62,"PKのみ",$AH$3:$AH$62,"&lt;"&amp;$AH27)+1,IF($AK27="梱包のみ",COUNTIFS($AK$3:$AK$62,"梱包のみ",$AI$3:$AI$62,"&lt;"&amp;$AI27)+1,""))</f>
        <v>5</v>
      </c>
      <c r="BD27" s="62">
        <f>IF($AG27="","",IF(OR(AND(ISNUMBER($AH27),OR($AH27&lt;10,$AH27&gt;190)),AND(ISNUMBER($AI27),OR($AI27&lt;10,$AI27&gt;190))),1,0))</f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>IF($AY28="","",IF($AK28="PKのみ",$AH28,CHOOSE(MOD($AY28-1,6)+1,12,17,22,27,32,37)))</f>
        <v>80.2896370582617</v>
      </c>
      <c r="AX28" s="62">
        <f>IF($AY28="","",IF($AK28="PKのみ",CHOOSE(MOD($AY28-1,6)+1,12,17,22,27,32,37),$AI28))</f>
        <v>27.0</v>
      </c>
      <c r="AY28" s="62">
        <f>IF($AK28="PKのみ",COUNTIFS($AK$3:$AK$62,"PKのみ",$AH$3:$AH$62,"&lt;"&amp;$AH28)+1,IF($AK28="梱包のみ",COUNTIFS($AK$3:$AK$62,"梱包のみ",$AI$3:$AI$62,"&lt;"&amp;$AI28)+1,""))</f>
        <v>4</v>
      </c>
      <c r="BD28" s="62">
        <f>IF($AG28="","",IF(OR(AND(ISNUMBER($AH28),OR($AH28&lt;10,$AH28&gt;190)),AND(ISNUMBER($AI28),OR($AI28&lt;10,$AI28&gt;190))),1,0))</f>
        <v>0</v>
      </c>
    </row>
    <row r="29" spans="1:64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>IF($AY29="","",IF($AK29="PKのみ",$AH29,CHOOSE(MOD($AY29-1,6)+1,12,17,22,27,32,37)))</f>
        <v>79.35816135084428</v>
      </c>
      <c r="AX29" s="62">
        <f>IF($AY29="","",IF($AK29="PKのみ",CHOOSE(MOD($AY29-1,6)+1,12,17,22,27,32,37),$AI29))</f>
        <v>22.0</v>
      </c>
      <c r="AY29" s="62">
        <f>IF($AK29="PKのみ",COUNTIFS($AK$3:$AK$62,"PKのみ",$AH$3:$AH$62,"&lt;"&amp;$AH29)+1,IF($AK29="梱包のみ",COUNTIFS($AK$3:$AK$62,"梱包のみ",$AI$3:$AI$62,"&lt;"&amp;$AI29)+1,""))</f>
        <v>3</v>
      </c>
      <c r="BD29" s="62">
        <f>IF($AG29="","",IF(OR(AND(ISNUMBER($AH29),OR($AH29&lt;10,$AH29&gt;190)),AND(ISNUMBER($AI29),OR($AI29&lt;10,$AI29&gt;190))),1,0))</f>
        <v>0</v>
      </c>
    </row>
    <row r="30" spans="1:64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>IF($AY30="","",IF($AK30="PKのみ",$AH30,CHOOSE(MOD($AY30-1,6)+1,12,17,22,27,32,37)))</f>
        <v>56.60244897959183</v>
      </c>
      <c r="AX30" s="62">
        <f>IF($AY30="","",IF($AK30="PKのみ",CHOOSE(MOD($AY30-1,6)+1,12,17,22,27,32,37),$AI30))</f>
        <v>12.0</v>
      </c>
      <c r="AY30" s="62">
        <f>IF($AK30="PKのみ",COUNTIFS($AK$3:$AK$62,"PKのみ",$AH$3:$AH$62,"&lt;"&amp;$AH30)+1,IF($AK30="梱包のみ",COUNTIFS($AK$3:$AK$62,"梱包のみ",$AI$3:$AI$62,"&lt;"&amp;$AI30)+1,""))</f>
        <v>1</v>
      </c>
      <c r="BD30" s="62">
        <f>IF($AG30="","",IF(OR(AND(ISNUMBER($AH30),OR($AH30&lt;10,$AH30&gt;190)),AND(ISNUMBER($AI30),OR($AI30&lt;10,$AI30&gt;190))),1,0))</f>
        <v>0</v>
      </c>
    </row>
    <row r="31" spans="1:64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>IF($AY31="","",IF($AK31="PKのみ",$AH31,CHOOSE(MOD($AY31-1,6)+1,12,17,22,27,32,37)))</f>
        <v/>
      </c>
      <c r="AX31" s="62" t="str">
        <f>IF($AY31="","",IF($AK31="PKのみ",CHOOSE(MOD($AY31-1,6)+1,12,17,22,27,32,37),$AI31))</f>
        <v/>
      </c>
      <c r="AY31" s="62" t="str">
        <f>IF($AK31="PKのみ",COUNTIFS($AK$3:$AK$62,"PKのみ",$AH$3:$AH$62,"&lt;"&amp;$AH31)+1,IF($AK31="梱包のみ",COUNTIFS($AK$3:$AK$62,"梱包のみ",$AI$3:$AI$62,"&lt;"&amp;$AI31)+1,""))</f>
        <v/>
      </c>
      <c r="BD31" s="62">
        <f>IF($AG31="","",IF(OR(AND(ISNUMBER($AH31),OR($AH31&lt;10,$AH31&gt;190)),AND(ISNUMBER($AI31),OR($AI31&lt;10,$AI31&gt;190))),1,0))</f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>IF($AY32="","",IF($AK32="PKのみ",$AH32,CHOOSE(MOD($AY32-1,6)+1,12,17,22,27,32,37)))</f>
        <v/>
      </c>
      <c r="AX32" s="62" t="str">
        <f>IF($AY32="","",IF($AK32="PKのみ",CHOOSE(MOD($AY32-1,6)+1,12,17,22,27,32,37),$AI32))</f>
        <v/>
      </c>
      <c r="AY32" s="62" t="str">
        <f>IF($AK32="PKのみ",COUNTIFS($AK$3:$AK$62,"PKのみ",$AH$3:$AH$62,"&lt;"&amp;$AH32)+1,IF($AK32="梱包のみ",COUNTIFS($AK$3:$AK$62,"梱包のみ",$AI$3:$AI$62,"&lt;"&amp;$AI32)+1,""))</f>
        <v/>
      </c>
      <c r="BD32" s="62" t="str">
        <f>IF($AG32="","",IF(OR(AND(ISNUMBER($AH32),OR($AH32&lt;10,$AH32&gt;190)),AND(ISNUMBER($AI32),OR($AI32&lt;10,$AI32&gt;190))),1,0))</f>
        <v/>
      </c>
    </row>
    <row r="33" spans="1:64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>IF($AY33="","",IF($AK33="PKのみ",$AH33,CHOOSE(MOD($AY33-1,6)+1,12,17,22,27,32,37)))</f>
        <v/>
      </c>
      <c r="AX33" s="62" t="str">
        <f>IF($AY33="","",IF($AK33="PKのみ",CHOOSE(MOD($AY33-1,6)+1,12,17,22,27,32,37),$AI33))</f>
        <v/>
      </c>
      <c r="AY33" s="62" t="str">
        <f>IF($AK33="PKのみ",COUNTIFS($AK$3:$AK$62,"PKのみ",$AH$3:$AH$62,"&lt;"&amp;$AH33)+1,IF($AK33="梱包のみ",COUNTIFS($AK$3:$AK$62,"梱包のみ",$AI$3:$AI$62,"&lt;"&amp;$AI33)+1,""))</f>
        <v/>
      </c>
      <c r="BD33" s="62" t="str">
        <f>IF($AG33="","",IF(OR(AND(ISNUMBER($AH33),OR($AH33&lt;10,$AH33&gt;190)),AND(ISNUMBER($AI33),OR($AI33&lt;10,$AI33&gt;190))),1,0))</f>
        <v/>
      </c>
    </row>
    <row r="34" spans="1:64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>IF($AY34="","",IF($AK34="PKのみ",$AH34,CHOOSE(MOD($AY34-1,6)+1,12,17,22,27,32,37)))</f>
        <v/>
      </c>
      <c r="AX34" s="62" t="str">
        <f>IF($AY34="","",IF($AK34="PKのみ",CHOOSE(MOD($AY34-1,6)+1,12,17,22,27,32,37),$AI34))</f>
        <v/>
      </c>
      <c r="AY34" s="62" t="str">
        <f>IF($AK34="PKのみ",COUNTIFS($AK$3:$AK$62,"PKのみ",$AH$3:$AH$62,"&lt;"&amp;$AH34)+1,IF($AK34="梱包のみ",COUNTIFS($AK$3:$AK$62,"梱包のみ",$AI$3:$AI$62,"&lt;"&amp;$AI34)+1,""))</f>
        <v/>
      </c>
      <c r="BD34" s="62" t="str">
        <f>IF($AG34="","",IF(OR(AND(ISNUMBER($AH34),OR($AH34&lt;10,$AH34&gt;190)),AND(ISNUMBER($AI34),OR($AI34&lt;10,$AI34&gt;190))),1,0))</f>
        <v/>
      </c>
    </row>
    <row r="35" spans="1:64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1">IF(AND(ISNUMBER(B35),ISNUMBER(C35)),1,0)</f>
        <v>0</v>
      </c>
      <c r="I35" s="61" t="str">
        <f>IF(H35=1,SUM(H$3:H35),"")</f>
        <v/>
      </c>
      <c r="J35" s="62" t="str">
        <f t="shared" ref="J35:J62" si="32">IF(H35=1,(D35+F35)/(E35+G35)*100,"")</f>
        <v/>
      </c>
      <c r="K35" s="61" t="str">
        <f t="shared" ref="K35:K62" si="33">IFERROR(INDEX($A$3:$A$62,MATCH(ROW()-2,$I$3:$I$62,0)),"")</f>
        <v/>
      </c>
      <c r="L35" s="62" t="str">
        <f t="shared" ref="L35:L62" si="34">IFERROR(INDEX($B$3:$B$62,MATCH(ROW()-2,$I$3:$I$62,0)),"")</f>
        <v/>
      </c>
      <c r="M35" s="62" t="str">
        <f t="shared" ref="M35:M62" si="35">IFERROR(INDEX($C$3:$C$62,MATCH(ROW()-2,$I$3:$I$62,0)),"")</f>
        <v/>
      </c>
      <c r="N35" s="62" t="str">
        <f t="shared" ref="N35:N62" si="36">IFERROR(INDEX($J$3:$J$62,MATCH(ROW()-2,$I$3:$I$62,0)),"")</f>
        <v/>
      </c>
      <c r="O35" s="61" t="str">
        <f t="shared" ref="O35:O62" si="37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38">IFERROR(LARGE($N$3:$N$62,P35),"")</f>
        <v/>
      </c>
      <c r="R35" s="61" t="str">
        <f t="shared" ref="R35:R62" si="39">IFERROR(INDEX($K$3:$K$62,MATCH(Q35,$N$3:$N$62,0)),"")</f>
        <v/>
      </c>
      <c r="S35" s="62" t="str">
        <f t="shared" ref="S35:S62" si="40">IFERROR(INDEX($L$3:$L$62,MATCH(Q35,$N$3:$N$62,0)),"")</f>
        <v/>
      </c>
      <c r="T35" s="62" t="str">
        <f t="shared" ref="T35:T62" si="41">IFERROR(INDEX($M$3:$M$62,MATCH(Q35,$N$3:$N$62,0)),"")</f>
        <v/>
      </c>
      <c r="U35" s="61" t="str">
        <f t="shared" ref="U35:U62" si="42">IF(R35="","",100)</f>
        <v/>
      </c>
      <c r="AB35" s="61">
        <f t="shared" ref="AB35:AB62" si="43">IF(OR(ISNUMBER(B35),ISNUMBER(C35)),1,0)</f>
        <v>0</v>
      </c>
      <c r="AC35" s="61" t="str">
        <f>IF(AB35=1,SUM(AB$3:AB35),"")</f>
        <v/>
      </c>
      <c r="AD35" s="62" t="str">
        <f t="shared" ref="AD35:AD62" si="44">IF(AB35&lt;&gt;1,"",(IF(ISNUMBER(D35),D35,0)+IF(ISNUMBER(F35),F35,0))/(IF(ISNUMBER(E35),E35,0)+IF(ISNUMBER(G35),G35,0))*100)</f>
        <v/>
      </c>
      <c r="AE35" s="61" t="str">
        <f t="shared" ref="AE35:AE62" si="45">IF(AB35&lt;&gt;1,"",IF(AND(ISNUMBER(B35),ISNUMBER(C35)),"両方",IF(ISNUMBER(B35),"PKのみ","梱包のみ")))</f>
        <v/>
      </c>
      <c r="AF35" s="61" t="str">
        <f t="shared" ref="AF35:AF62" si="46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47">IFERROR(INDEX($A$3:$A$62,MATCH(ROW()-2,$AC$3:$AC$62,0)),"")</f>
        <v/>
      </c>
      <c r="AH35" s="62" t="str">
        <f t="shared" ref="AH35:AH62" si="48">IFERROR(INDEX($B$3:$B$62,MATCH(ROW()-2,$AC$3:$AC$62,0)),"")</f>
        <v/>
      </c>
      <c r="AI35" s="62" t="str">
        <f t="shared" ref="AI35:AI62" si="49">IFERROR(INDEX($C$3:$C$62,MATCH(ROW()-2,$AC$3:$AC$62,0)),"")</f>
        <v/>
      </c>
      <c r="AJ35" s="62" t="str">
        <f t="shared" ref="AJ35:AJ62" si="50">IFERROR(INDEX($AD$3:$AD$62,MATCH(ROW()-2,$AC$3:$AC$62,0)),"")</f>
        <v/>
      </c>
      <c r="AK35" s="61" t="str">
        <f t="shared" ref="AK35:AK62" si="51">IFERROR(INDEX($AE$3:$AE$62,MATCH(ROW()-2,$AC$3:$AC$62,0)),"")</f>
        <v/>
      </c>
      <c r="AL35" s="61" t="str">
        <f t="shared" ref="AL35:AL62" si="52">IFERROR(INDEX($AF$3:$AF$62,MATCH(ROW()-2,$AC$3:$AC$62,0)),"")</f>
        <v/>
      </c>
      <c r="AM35" s="61" t="str">
        <f t="shared" ref="AM35:AM62" si="53">IF(AJ35="","",AJ35+ROW()/1000000)</f>
        <v/>
      </c>
      <c r="AN35" s="61">
        <v>33</v>
      </c>
      <c r="AO35" s="61" t="str">
        <f t="shared" ref="AO35:AO62" si="54">IFERROR(LARGE($AM$3:$AM$62,AN35),"")</f>
        <v/>
      </c>
      <c r="AP35" s="61" t="str">
        <f t="shared" ref="AP35:AP62" si="55">IFERROR(INDEX($AG$3:$AG$62,MATCH(AO35,$AM$3:$AM$62,0)),"")</f>
        <v/>
      </c>
      <c r="AQ35" s="62" t="str">
        <f t="shared" ref="AQ35:AQ62" si="56">IFERROR(INDEX($AH$3:$AH$62,MATCH(AO35,$AM$3:$AM$62,0)),"")</f>
        <v/>
      </c>
      <c r="AR35" s="62" t="str">
        <f t="shared" ref="AR35:AR62" si="57">IFERROR(INDEX($AI$3:$AI$62,MATCH(AO35,$AM$3:$AM$62,0)),"")</f>
        <v/>
      </c>
      <c r="AS35" s="62" t="str">
        <f t="shared" ref="AS35:AS62" si="58">IFERROR(INDEX($AJ$3:$AJ$62,MATCH(AO35,$AM$3:$AM$62,0)),"")</f>
        <v/>
      </c>
      <c r="AT35" s="61" t="str">
        <f t="shared" ref="AT35:AT62" si="59">IFERROR(INDEX($AK$3:$AK$62,MATCH(AO35,$AM$3:$AM$62,0)),"")</f>
        <v/>
      </c>
      <c r="AU35" s="61" t="str">
        <f t="shared" ref="AU35:AU62" si="60">IFERROR(INDEX($AL$3:$AL$62,MATCH(AO35,$AM$3:$AM$62,0)),"")</f>
        <v/>
      </c>
      <c r="AV35" s="61" t="str">
        <f t="shared" ref="AV35:AV62" si="61">IF(AP35="","",100)</f>
        <v/>
      </c>
      <c r="AW35" s="62" t="str">
        <f>IF($AY35="","",IF($AK35="PKのみ",$AH35,CHOOSE(MOD($AY35-1,6)+1,12,17,22,27,32,37)))</f>
        <v/>
      </c>
      <c r="AX35" s="62" t="str">
        <f>IF($AY35="","",IF($AK35="PKのみ",CHOOSE(MOD($AY35-1,6)+1,12,17,22,27,32,37),$AI35))</f>
        <v/>
      </c>
      <c r="AY35" s="62" t="str">
        <f>IF($AK35="PKのみ",COUNTIFS($AK$3:$AK$62,"PKのみ",$AH$3:$AH$62,"&lt;"&amp;$AH35)+1,IF($AK35="梱包のみ",COUNTIFS($AK$3:$AK$62,"梱包のみ",$AI$3:$AI$62,"&lt;"&amp;$AI35)+1,""))</f>
        <v/>
      </c>
      <c r="BD35" s="62" t="str">
        <f>IF($AG35="","",IF(OR(AND(ISNUMBER($AH35),OR($AH35&lt;10,$AH35&gt;190)),AND(ISNUMBER($AI35),OR($AI35&lt;10,$AI35&gt;190))),1,0))</f>
        <v/>
      </c>
    </row>
    <row r="36" spans="1:64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1"/>
        <v>0</v>
      </c>
      <c r="I36" s="61" t="str">
        <f>IF(H36=1,SUM(H$3:H36),"")</f>
        <v/>
      </c>
      <c r="J36" s="62" t="str">
        <f t="shared" si="32"/>
        <v/>
      </c>
      <c r="K36" s="61" t="str">
        <f t="shared" si="33"/>
        <v/>
      </c>
      <c r="L36" s="62" t="str">
        <f t="shared" si="34"/>
        <v/>
      </c>
      <c r="M36" s="62" t="str">
        <f t="shared" si="35"/>
        <v/>
      </c>
      <c r="N36" s="62" t="str">
        <f t="shared" si="36"/>
        <v/>
      </c>
      <c r="O36" s="61" t="str">
        <f t="shared" si="37"/>
        <v/>
      </c>
      <c r="P36" s="61">
        <v>34</v>
      </c>
      <c r="Q36" s="62" t="str">
        <f t="shared" si="38"/>
        <v/>
      </c>
      <c r="R36" s="61" t="str">
        <f t="shared" si="39"/>
        <v/>
      </c>
      <c r="S36" s="62" t="str">
        <f t="shared" si="40"/>
        <v/>
      </c>
      <c r="T36" s="62" t="str">
        <f t="shared" si="41"/>
        <v/>
      </c>
      <c r="U36" s="61" t="str">
        <f t="shared" si="42"/>
        <v/>
      </c>
      <c r="AB36" s="61">
        <f t="shared" si="43"/>
        <v>0</v>
      </c>
      <c r="AC36" s="61" t="str">
        <f>IF(AB36=1,SUM(AB$3:AB36),"")</f>
        <v/>
      </c>
      <c r="AD36" s="62" t="str">
        <f t="shared" si="44"/>
        <v/>
      </c>
      <c r="AE36" s="61" t="str">
        <f t="shared" si="45"/>
        <v/>
      </c>
      <c r="AF36" s="61" t="str">
        <f t="shared" si="46"/>
        <v/>
      </c>
      <c r="AG36" s="61" t="str">
        <f t="shared" si="47"/>
        <v/>
      </c>
      <c r="AH36" s="62" t="str">
        <f t="shared" si="48"/>
        <v/>
      </c>
      <c r="AI36" s="62" t="str">
        <f t="shared" si="49"/>
        <v/>
      </c>
      <c r="AJ36" s="62" t="str">
        <f t="shared" si="50"/>
        <v/>
      </c>
      <c r="AK36" s="61" t="str">
        <f t="shared" si="51"/>
        <v/>
      </c>
      <c r="AL36" s="61" t="str">
        <f t="shared" si="52"/>
        <v/>
      </c>
      <c r="AM36" s="61" t="str">
        <f t="shared" si="53"/>
        <v/>
      </c>
      <c r="AN36" s="61">
        <v>34</v>
      </c>
      <c r="AO36" s="61" t="str">
        <f t="shared" si="54"/>
        <v/>
      </c>
      <c r="AP36" s="61" t="str">
        <f t="shared" si="55"/>
        <v/>
      </c>
      <c r="AQ36" s="62" t="str">
        <f t="shared" si="56"/>
        <v/>
      </c>
      <c r="AR36" s="62" t="str">
        <f t="shared" si="57"/>
        <v/>
      </c>
      <c r="AS36" s="62" t="str">
        <f t="shared" si="58"/>
        <v/>
      </c>
      <c r="AT36" s="61" t="str">
        <f t="shared" si="59"/>
        <v/>
      </c>
      <c r="AU36" s="61" t="str">
        <f t="shared" si="60"/>
        <v/>
      </c>
      <c r="AV36" s="61" t="str">
        <f t="shared" si="61"/>
        <v/>
      </c>
      <c r="AW36" s="62" t="str">
        <f>IF($AY36="","",IF($AK36="PKのみ",$AH36,CHOOSE(MOD($AY36-1,6)+1,12,17,22,27,32,37)))</f>
        <v/>
      </c>
      <c r="AX36" s="62" t="str">
        <f>IF($AY36="","",IF($AK36="PKのみ",CHOOSE(MOD($AY36-1,6)+1,12,17,22,27,32,37),$AI36))</f>
        <v/>
      </c>
      <c r="AY36" s="62" t="str">
        <f>IF($AK36="PKのみ",COUNTIFS($AK$3:$AK$62,"PKのみ",$AH$3:$AH$62,"&lt;"&amp;$AH36)+1,IF($AK36="梱包のみ",COUNTIFS($AK$3:$AK$62,"梱包のみ",$AI$3:$AI$62,"&lt;"&amp;$AI36)+1,""))</f>
        <v/>
      </c>
      <c r="BD36" s="62" t="str">
        <f>IF($AG36="","",IF(OR(AND(ISNUMBER($AH36),OR($AH36&lt;10,$AH36&gt;190)),AND(ISNUMBER($AI36),OR($AI36&lt;10,$AI36&gt;190))),1,0))</f>
        <v/>
      </c>
    </row>
    <row r="37" spans="1:64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1"/>
        <v>0</v>
      </c>
      <c r="I37" s="61" t="str">
        <f>IF(H37=1,SUM(H$3:H37),"")</f>
        <v/>
      </c>
      <c r="J37" s="62" t="str">
        <f t="shared" si="32"/>
        <v/>
      </c>
      <c r="K37" s="61" t="str">
        <f t="shared" si="33"/>
        <v/>
      </c>
      <c r="L37" s="62" t="str">
        <f t="shared" si="34"/>
        <v/>
      </c>
      <c r="M37" s="62" t="str">
        <f t="shared" si="35"/>
        <v/>
      </c>
      <c r="N37" s="62" t="str">
        <f t="shared" si="36"/>
        <v/>
      </c>
      <c r="O37" s="61" t="str">
        <f t="shared" si="37"/>
        <v/>
      </c>
      <c r="P37" s="61">
        <v>35</v>
      </c>
      <c r="Q37" s="62" t="str">
        <f t="shared" si="38"/>
        <v/>
      </c>
      <c r="R37" s="61" t="str">
        <f t="shared" si="39"/>
        <v/>
      </c>
      <c r="S37" s="62" t="str">
        <f t="shared" si="40"/>
        <v/>
      </c>
      <c r="T37" s="62" t="str">
        <f t="shared" si="41"/>
        <v/>
      </c>
      <c r="U37" s="61" t="str">
        <f t="shared" si="42"/>
        <v/>
      </c>
      <c r="AB37" s="61">
        <f t="shared" si="43"/>
        <v>0</v>
      </c>
      <c r="AC37" s="61" t="str">
        <f>IF(AB37=1,SUM(AB$3:AB37),"")</f>
        <v/>
      </c>
      <c r="AD37" s="62" t="str">
        <f t="shared" si="44"/>
        <v/>
      </c>
      <c r="AE37" s="61" t="str">
        <f t="shared" si="45"/>
        <v/>
      </c>
      <c r="AF37" s="61" t="str">
        <f t="shared" si="46"/>
        <v/>
      </c>
      <c r="AG37" s="61" t="str">
        <f t="shared" si="47"/>
        <v/>
      </c>
      <c r="AH37" s="62" t="str">
        <f t="shared" si="48"/>
        <v/>
      </c>
      <c r="AI37" s="62" t="str">
        <f t="shared" si="49"/>
        <v/>
      </c>
      <c r="AJ37" s="62" t="str">
        <f t="shared" si="50"/>
        <v/>
      </c>
      <c r="AK37" s="61" t="str">
        <f t="shared" si="51"/>
        <v/>
      </c>
      <c r="AL37" s="61" t="str">
        <f t="shared" si="52"/>
        <v/>
      </c>
      <c r="AM37" s="61" t="str">
        <f t="shared" si="53"/>
        <v/>
      </c>
      <c r="AN37" s="61">
        <v>35</v>
      </c>
      <c r="AO37" s="61" t="str">
        <f t="shared" si="54"/>
        <v/>
      </c>
      <c r="AP37" s="61" t="str">
        <f t="shared" si="55"/>
        <v/>
      </c>
      <c r="AQ37" s="62" t="str">
        <f t="shared" si="56"/>
        <v/>
      </c>
      <c r="AR37" s="62" t="str">
        <f t="shared" si="57"/>
        <v/>
      </c>
      <c r="AS37" s="62" t="str">
        <f t="shared" si="58"/>
        <v/>
      </c>
      <c r="AT37" s="61" t="str">
        <f t="shared" si="59"/>
        <v/>
      </c>
      <c r="AU37" s="61" t="str">
        <f t="shared" si="60"/>
        <v/>
      </c>
      <c r="AV37" s="61" t="str">
        <f t="shared" si="61"/>
        <v/>
      </c>
      <c r="AW37" s="62" t="str">
        <f>IF($AY37="","",IF($AK37="PKのみ",$AH37,CHOOSE(MOD($AY37-1,6)+1,12,17,22,27,32,37)))</f>
        <v/>
      </c>
      <c r="AX37" s="62" t="str">
        <f>IF($AY37="","",IF($AK37="PKのみ",CHOOSE(MOD($AY37-1,6)+1,12,17,22,27,32,37),$AI37))</f>
        <v/>
      </c>
      <c r="AY37" s="62" t="str">
        <f>IF($AK37="PKのみ",COUNTIFS($AK$3:$AK$62,"PKのみ",$AH$3:$AH$62,"&lt;"&amp;$AH37)+1,IF($AK37="梱包のみ",COUNTIFS($AK$3:$AK$62,"梱包のみ",$AI$3:$AI$62,"&lt;"&amp;$AI37)+1,""))</f>
        <v/>
      </c>
      <c r="BD37" s="62" t="str">
        <f>IF($AG37="","",IF(OR(AND(ISNUMBER($AH37),OR($AH37&lt;10,$AH37&gt;190)),AND(ISNUMBER($AI37),OR($AI37&lt;10,$AI37&gt;190))),1,0))</f>
        <v/>
      </c>
    </row>
    <row r="38" spans="1:64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1"/>
        <v>0</v>
      </c>
      <c r="I38" s="61" t="str">
        <f>IF(H38=1,SUM(H$3:H38),"")</f>
        <v/>
      </c>
      <c r="J38" s="62" t="str">
        <f t="shared" si="32"/>
        <v/>
      </c>
      <c r="K38" s="61" t="str">
        <f t="shared" si="33"/>
        <v/>
      </c>
      <c r="L38" s="62" t="str">
        <f t="shared" si="34"/>
        <v/>
      </c>
      <c r="M38" s="62" t="str">
        <f t="shared" si="35"/>
        <v/>
      </c>
      <c r="N38" s="62" t="str">
        <f t="shared" si="36"/>
        <v/>
      </c>
      <c r="O38" s="61" t="str">
        <f t="shared" si="37"/>
        <v/>
      </c>
      <c r="P38" s="61">
        <v>36</v>
      </c>
      <c r="Q38" s="62" t="str">
        <f t="shared" si="38"/>
        <v/>
      </c>
      <c r="R38" s="61" t="str">
        <f t="shared" si="39"/>
        <v/>
      </c>
      <c r="S38" s="62" t="str">
        <f t="shared" si="40"/>
        <v/>
      </c>
      <c r="T38" s="62" t="str">
        <f t="shared" si="41"/>
        <v/>
      </c>
      <c r="U38" s="61" t="str">
        <f t="shared" si="42"/>
        <v/>
      </c>
      <c r="AB38" s="61">
        <f t="shared" si="43"/>
        <v>0</v>
      </c>
      <c r="AC38" s="61" t="str">
        <f>IF(AB38=1,SUM(AB$3:AB38),"")</f>
        <v/>
      </c>
      <c r="AD38" s="62" t="str">
        <f t="shared" si="44"/>
        <v/>
      </c>
      <c r="AE38" s="61" t="str">
        <f t="shared" si="45"/>
        <v/>
      </c>
      <c r="AF38" s="61" t="str">
        <f t="shared" si="46"/>
        <v/>
      </c>
      <c r="AG38" s="61" t="str">
        <f t="shared" si="47"/>
        <v/>
      </c>
      <c r="AH38" s="62" t="str">
        <f t="shared" si="48"/>
        <v/>
      </c>
      <c r="AI38" s="62" t="str">
        <f t="shared" si="49"/>
        <v/>
      </c>
      <c r="AJ38" s="62" t="str">
        <f t="shared" si="50"/>
        <v/>
      </c>
      <c r="AK38" s="61" t="str">
        <f t="shared" si="51"/>
        <v/>
      </c>
      <c r="AL38" s="61" t="str">
        <f t="shared" si="52"/>
        <v/>
      </c>
      <c r="AM38" s="61" t="str">
        <f t="shared" si="53"/>
        <v/>
      </c>
      <c r="AN38" s="61">
        <v>36</v>
      </c>
      <c r="AO38" s="61" t="str">
        <f t="shared" si="54"/>
        <v/>
      </c>
      <c r="AP38" s="61" t="str">
        <f t="shared" si="55"/>
        <v/>
      </c>
      <c r="AQ38" s="62" t="str">
        <f t="shared" si="56"/>
        <v/>
      </c>
      <c r="AR38" s="62" t="str">
        <f t="shared" si="57"/>
        <v/>
      </c>
      <c r="AS38" s="62" t="str">
        <f t="shared" si="58"/>
        <v/>
      </c>
      <c r="AT38" s="61" t="str">
        <f t="shared" si="59"/>
        <v/>
      </c>
      <c r="AU38" s="61" t="str">
        <f t="shared" si="60"/>
        <v/>
      </c>
      <c r="AV38" s="61" t="str">
        <f t="shared" si="61"/>
        <v/>
      </c>
      <c r="AW38" s="62" t="str">
        <f>IF($AY38="","",IF($AK38="PKのみ",$AH38,CHOOSE(MOD($AY38-1,6)+1,12,17,22,27,32,37)))</f>
        <v/>
      </c>
      <c r="AX38" s="62" t="str">
        <f>IF($AY38="","",IF($AK38="PKのみ",CHOOSE(MOD($AY38-1,6)+1,12,17,22,27,32,37),$AI38))</f>
        <v/>
      </c>
      <c r="AY38" s="62" t="str">
        <f>IF($AK38="PKのみ",COUNTIFS($AK$3:$AK$62,"PKのみ",$AH$3:$AH$62,"&lt;"&amp;$AH38)+1,IF($AK38="梱包のみ",COUNTIFS($AK$3:$AK$62,"梱包のみ",$AI$3:$AI$62,"&lt;"&amp;$AI38)+1,""))</f>
        <v/>
      </c>
      <c r="BD38" s="62" t="str">
        <f>IF($AG38="","",IF(OR(AND(ISNUMBER($AH38),OR($AH38&lt;10,$AH38&gt;190)),AND(ISNUMBER($AI38),OR($AI38&lt;10,$AI38&gt;190))),1,0))</f>
        <v/>
      </c>
    </row>
    <row r="39" spans="1:64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1"/>
        <v>0</v>
      </c>
      <c r="I39" s="61" t="str">
        <f>IF(H39=1,SUM(H$3:H39),"")</f>
        <v/>
      </c>
      <c r="J39" s="62" t="str">
        <f t="shared" si="32"/>
        <v/>
      </c>
      <c r="K39" s="61" t="str">
        <f t="shared" si="33"/>
        <v/>
      </c>
      <c r="L39" s="62" t="str">
        <f t="shared" si="34"/>
        <v/>
      </c>
      <c r="M39" s="62" t="str">
        <f t="shared" si="35"/>
        <v/>
      </c>
      <c r="N39" s="62" t="str">
        <f t="shared" si="36"/>
        <v/>
      </c>
      <c r="O39" s="61" t="str">
        <f t="shared" si="37"/>
        <v/>
      </c>
      <c r="P39" s="61">
        <v>37</v>
      </c>
      <c r="Q39" s="62" t="str">
        <f t="shared" si="38"/>
        <v/>
      </c>
      <c r="R39" s="61" t="str">
        <f t="shared" si="39"/>
        <v/>
      </c>
      <c r="S39" s="62" t="str">
        <f t="shared" si="40"/>
        <v/>
      </c>
      <c r="T39" s="62" t="str">
        <f t="shared" si="41"/>
        <v/>
      </c>
      <c r="U39" s="61" t="str">
        <f t="shared" si="42"/>
        <v/>
      </c>
      <c r="AB39" s="61">
        <f t="shared" si="43"/>
        <v>0</v>
      </c>
      <c r="AC39" s="61" t="str">
        <f>IF(AB39=1,SUM(AB$3:AB39),"")</f>
        <v/>
      </c>
      <c r="AD39" s="62" t="str">
        <f t="shared" si="44"/>
        <v/>
      </c>
      <c r="AE39" s="61" t="str">
        <f t="shared" si="45"/>
        <v/>
      </c>
      <c r="AF39" s="61" t="str">
        <f t="shared" si="46"/>
        <v/>
      </c>
      <c r="AG39" s="61" t="str">
        <f t="shared" si="47"/>
        <v/>
      </c>
      <c r="AH39" s="62" t="str">
        <f t="shared" si="48"/>
        <v/>
      </c>
      <c r="AI39" s="62" t="str">
        <f t="shared" si="49"/>
        <v/>
      </c>
      <c r="AJ39" s="62" t="str">
        <f t="shared" si="50"/>
        <v/>
      </c>
      <c r="AK39" s="61" t="str">
        <f t="shared" si="51"/>
        <v/>
      </c>
      <c r="AL39" s="61" t="str">
        <f t="shared" si="52"/>
        <v/>
      </c>
      <c r="AM39" s="61" t="str">
        <f t="shared" si="53"/>
        <v/>
      </c>
      <c r="AN39" s="61">
        <v>37</v>
      </c>
      <c r="AO39" s="61" t="str">
        <f t="shared" si="54"/>
        <v/>
      </c>
      <c r="AP39" s="61" t="str">
        <f t="shared" si="55"/>
        <v/>
      </c>
      <c r="AQ39" s="62" t="str">
        <f t="shared" si="56"/>
        <v/>
      </c>
      <c r="AR39" s="62" t="str">
        <f t="shared" si="57"/>
        <v/>
      </c>
      <c r="AS39" s="62" t="str">
        <f t="shared" si="58"/>
        <v/>
      </c>
      <c r="AT39" s="61" t="str">
        <f t="shared" si="59"/>
        <v/>
      </c>
      <c r="AU39" s="61" t="str">
        <f t="shared" si="60"/>
        <v/>
      </c>
      <c r="AV39" s="61" t="str">
        <f t="shared" si="61"/>
        <v/>
      </c>
      <c r="AW39" s="62" t="str">
        <f>IF($AY39="","",IF($AK39="PKのみ",$AH39,CHOOSE(MOD($AY39-1,6)+1,12,17,22,27,32,37)))</f>
        <v/>
      </c>
      <c r="AX39" s="62" t="str">
        <f>IF($AY39="","",IF($AK39="PKのみ",CHOOSE(MOD($AY39-1,6)+1,12,17,22,27,32,37),$AI39))</f>
        <v/>
      </c>
      <c r="AY39" s="62" t="str">
        <f>IF($AK39="PKのみ",COUNTIFS($AK$3:$AK$62,"PKのみ",$AH$3:$AH$62,"&lt;"&amp;$AH39)+1,IF($AK39="梱包のみ",COUNTIFS($AK$3:$AK$62,"梱包のみ",$AI$3:$AI$62,"&lt;"&amp;$AI39)+1,""))</f>
        <v/>
      </c>
      <c r="BD39" s="62" t="str">
        <f>IF($AG39="","",IF(OR(AND(ISNUMBER($AH39),OR($AH39&lt;10,$AH39&gt;190)),AND(ISNUMBER($AI39),OR($AI39&lt;10,$AI39&gt;190))),1,0))</f>
        <v/>
      </c>
    </row>
    <row r="40" spans="1:64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1"/>
        <v>0</v>
      </c>
      <c r="I40" s="61" t="str">
        <f>IF(H40=1,SUM(H$3:H40),"")</f>
        <v/>
      </c>
      <c r="J40" s="62" t="str">
        <f t="shared" si="32"/>
        <v/>
      </c>
      <c r="K40" s="61" t="str">
        <f t="shared" si="33"/>
        <v/>
      </c>
      <c r="L40" s="62" t="str">
        <f t="shared" si="34"/>
        <v/>
      </c>
      <c r="M40" s="62" t="str">
        <f t="shared" si="35"/>
        <v/>
      </c>
      <c r="N40" s="62" t="str">
        <f t="shared" si="36"/>
        <v/>
      </c>
      <c r="O40" s="61" t="str">
        <f t="shared" si="37"/>
        <v/>
      </c>
      <c r="P40" s="61">
        <v>38</v>
      </c>
      <c r="Q40" s="62" t="str">
        <f t="shared" si="38"/>
        <v/>
      </c>
      <c r="R40" s="61" t="str">
        <f t="shared" si="39"/>
        <v/>
      </c>
      <c r="S40" s="62" t="str">
        <f t="shared" si="40"/>
        <v/>
      </c>
      <c r="T40" s="62" t="str">
        <f t="shared" si="41"/>
        <v/>
      </c>
      <c r="U40" s="61" t="str">
        <f t="shared" si="42"/>
        <v/>
      </c>
      <c r="AB40" s="61">
        <f t="shared" si="43"/>
        <v>0</v>
      </c>
      <c r="AC40" s="61" t="str">
        <f>IF(AB40=1,SUM(AB$3:AB40),"")</f>
        <v/>
      </c>
      <c r="AD40" s="62" t="str">
        <f t="shared" si="44"/>
        <v/>
      </c>
      <c r="AE40" s="61" t="str">
        <f t="shared" si="45"/>
        <v/>
      </c>
      <c r="AF40" s="61" t="str">
        <f t="shared" si="46"/>
        <v/>
      </c>
      <c r="AG40" s="61" t="str">
        <f t="shared" si="47"/>
        <v/>
      </c>
      <c r="AH40" s="62" t="str">
        <f t="shared" si="48"/>
        <v/>
      </c>
      <c r="AI40" s="62" t="str">
        <f t="shared" si="49"/>
        <v/>
      </c>
      <c r="AJ40" s="62" t="str">
        <f t="shared" si="50"/>
        <v/>
      </c>
      <c r="AK40" s="61" t="str">
        <f t="shared" si="51"/>
        <v/>
      </c>
      <c r="AL40" s="61" t="str">
        <f t="shared" si="52"/>
        <v/>
      </c>
      <c r="AM40" s="61" t="str">
        <f t="shared" si="53"/>
        <v/>
      </c>
      <c r="AN40" s="61">
        <v>38</v>
      </c>
      <c r="AO40" s="61" t="str">
        <f t="shared" si="54"/>
        <v/>
      </c>
      <c r="AP40" s="61" t="str">
        <f t="shared" si="55"/>
        <v/>
      </c>
      <c r="AQ40" s="62" t="str">
        <f t="shared" si="56"/>
        <v/>
      </c>
      <c r="AR40" s="62" t="str">
        <f t="shared" si="57"/>
        <v/>
      </c>
      <c r="AS40" s="62" t="str">
        <f t="shared" si="58"/>
        <v/>
      </c>
      <c r="AT40" s="61" t="str">
        <f t="shared" si="59"/>
        <v/>
      </c>
      <c r="AU40" s="61" t="str">
        <f t="shared" si="60"/>
        <v/>
      </c>
      <c r="AV40" s="61" t="str">
        <f t="shared" si="61"/>
        <v/>
      </c>
      <c r="AW40" s="62" t="str">
        <f>IF($AY40="","",IF($AK40="PKのみ",$AH40,CHOOSE(MOD($AY40-1,6)+1,12,17,22,27,32,37)))</f>
        <v/>
      </c>
      <c r="AX40" s="62" t="str">
        <f>IF($AY40="","",IF($AK40="PKのみ",CHOOSE(MOD($AY40-1,6)+1,12,17,22,27,32,37),$AI40))</f>
        <v/>
      </c>
      <c r="AY40" s="62" t="str">
        <f>IF($AK40="PKのみ",COUNTIFS($AK$3:$AK$62,"PKのみ",$AH$3:$AH$62,"&lt;"&amp;$AH40)+1,IF($AK40="梱包のみ",COUNTIFS($AK$3:$AK$62,"梱包のみ",$AI$3:$AI$62,"&lt;"&amp;$AI40)+1,""))</f>
        <v/>
      </c>
      <c r="BD40" s="62" t="str">
        <f>IF($AG40="","",IF(OR(AND(ISNUMBER($AH40),OR($AH40&lt;10,$AH40&gt;190)),AND(ISNUMBER($AI40),OR($AI40&lt;10,$AI40&gt;190))),1,0))</f>
        <v/>
      </c>
    </row>
    <row r="41" spans="1:64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1"/>
        <v>0</v>
      </c>
      <c r="I41" s="61" t="str">
        <f>IF(H41=1,SUM(H$3:H41),"")</f>
        <v/>
      </c>
      <c r="J41" s="62" t="str">
        <f t="shared" si="32"/>
        <v/>
      </c>
      <c r="K41" s="61" t="str">
        <f t="shared" si="33"/>
        <v/>
      </c>
      <c r="L41" s="62" t="str">
        <f t="shared" si="34"/>
        <v/>
      </c>
      <c r="M41" s="62" t="str">
        <f t="shared" si="35"/>
        <v/>
      </c>
      <c r="N41" s="62" t="str">
        <f t="shared" si="36"/>
        <v/>
      </c>
      <c r="O41" s="61" t="str">
        <f t="shared" si="37"/>
        <v/>
      </c>
      <c r="P41" s="61">
        <v>39</v>
      </c>
      <c r="Q41" s="62" t="str">
        <f t="shared" si="38"/>
        <v/>
      </c>
      <c r="R41" s="61" t="str">
        <f t="shared" si="39"/>
        <v/>
      </c>
      <c r="S41" s="62" t="str">
        <f t="shared" si="40"/>
        <v/>
      </c>
      <c r="T41" s="62" t="str">
        <f t="shared" si="41"/>
        <v/>
      </c>
      <c r="U41" s="61" t="str">
        <f t="shared" si="42"/>
        <v/>
      </c>
      <c r="AB41" s="61">
        <f t="shared" si="43"/>
        <v>0</v>
      </c>
      <c r="AC41" s="61" t="str">
        <f>IF(AB41=1,SUM(AB$3:AB41),"")</f>
        <v/>
      </c>
      <c r="AD41" s="62" t="str">
        <f t="shared" si="44"/>
        <v/>
      </c>
      <c r="AE41" s="61" t="str">
        <f t="shared" si="45"/>
        <v/>
      </c>
      <c r="AF41" s="61" t="str">
        <f t="shared" si="46"/>
        <v/>
      </c>
      <c r="AG41" s="61" t="str">
        <f t="shared" si="47"/>
        <v/>
      </c>
      <c r="AH41" s="62" t="str">
        <f t="shared" si="48"/>
        <v/>
      </c>
      <c r="AI41" s="62" t="str">
        <f t="shared" si="49"/>
        <v/>
      </c>
      <c r="AJ41" s="62" t="str">
        <f t="shared" si="50"/>
        <v/>
      </c>
      <c r="AK41" s="61" t="str">
        <f t="shared" si="51"/>
        <v/>
      </c>
      <c r="AL41" s="61" t="str">
        <f t="shared" si="52"/>
        <v/>
      </c>
      <c r="AM41" s="61" t="str">
        <f t="shared" si="53"/>
        <v/>
      </c>
      <c r="AN41" s="61">
        <v>39</v>
      </c>
      <c r="AO41" s="61" t="str">
        <f t="shared" si="54"/>
        <v/>
      </c>
      <c r="AP41" s="61" t="str">
        <f t="shared" si="55"/>
        <v/>
      </c>
      <c r="AQ41" s="62" t="str">
        <f t="shared" si="56"/>
        <v/>
      </c>
      <c r="AR41" s="62" t="str">
        <f t="shared" si="57"/>
        <v/>
      </c>
      <c r="AS41" s="62" t="str">
        <f t="shared" si="58"/>
        <v/>
      </c>
      <c r="AT41" s="61" t="str">
        <f t="shared" si="59"/>
        <v/>
      </c>
      <c r="AU41" s="61" t="str">
        <f t="shared" si="60"/>
        <v/>
      </c>
      <c r="AV41" s="61" t="str">
        <f t="shared" si="61"/>
        <v/>
      </c>
      <c r="AW41" s="62" t="str">
        <f>IF($AY41="","",IF($AK41="PKのみ",$AH41,CHOOSE(MOD($AY41-1,6)+1,12,17,22,27,32,37)))</f>
        <v/>
      </c>
      <c r="AX41" s="62" t="str">
        <f>IF($AY41="","",IF($AK41="PKのみ",CHOOSE(MOD($AY41-1,6)+1,12,17,22,27,32,37),$AI41))</f>
        <v/>
      </c>
      <c r="AY41" s="62" t="str">
        <f>IF($AK41="PKのみ",COUNTIFS($AK$3:$AK$62,"PKのみ",$AH$3:$AH$62,"&lt;"&amp;$AH41)+1,IF($AK41="梱包のみ",COUNTIFS($AK$3:$AK$62,"梱包のみ",$AI$3:$AI$62,"&lt;"&amp;$AI41)+1,""))</f>
        <v/>
      </c>
      <c r="BD41" s="62" t="str">
        <f>IF($AG41="","",IF(OR(AND(ISNUMBER($AH41),OR($AH41&lt;10,$AH41&gt;190)),AND(ISNUMBER($AI41),OR($AI41&lt;10,$AI41&gt;190))),1,0))</f>
        <v/>
      </c>
    </row>
    <row r="42" spans="1:64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1"/>
        <v>0</v>
      </c>
      <c r="I42" s="61" t="str">
        <f>IF(H42=1,SUM(H$3:H42),"")</f>
        <v/>
      </c>
      <c r="J42" s="62" t="str">
        <f t="shared" si="32"/>
        <v/>
      </c>
      <c r="K42" s="61" t="str">
        <f t="shared" si="33"/>
        <v/>
      </c>
      <c r="L42" s="62" t="str">
        <f t="shared" si="34"/>
        <v/>
      </c>
      <c r="M42" s="62" t="str">
        <f t="shared" si="35"/>
        <v/>
      </c>
      <c r="N42" s="62" t="str">
        <f t="shared" si="36"/>
        <v/>
      </c>
      <c r="O42" s="61" t="str">
        <f t="shared" si="37"/>
        <v/>
      </c>
      <c r="P42" s="61">
        <v>40</v>
      </c>
      <c r="Q42" s="62" t="str">
        <f t="shared" si="38"/>
        <v/>
      </c>
      <c r="R42" s="61" t="str">
        <f t="shared" si="39"/>
        <v/>
      </c>
      <c r="S42" s="62" t="str">
        <f t="shared" si="40"/>
        <v/>
      </c>
      <c r="T42" s="62" t="str">
        <f t="shared" si="41"/>
        <v/>
      </c>
      <c r="U42" s="61" t="str">
        <f t="shared" si="42"/>
        <v/>
      </c>
      <c r="AB42" s="61">
        <f t="shared" si="43"/>
        <v>0</v>
      </c>
      <c r="AC42" s="61" t="str">
        <f>IF(AB42=1,SUM(AB$3:AB42),"")</f>
        <v/>
      </c>
      <c r="AD42" s="62" t="str">
        <f t="shared" si="44"/>
        <v/>
      </c>
      <c r="AE42" s="61" t="str">
        <f t="shared" si="45"/>
        <v/>
      </c>
      <c r="AF42" s="61" t="str">
        <f t="shared" si="46"/>
        <v/>
      </c>
      <c r="AG42" s="61" t="str">
        <f t="shared" si="47"/>
        <v/>
      </c>
      <c r="AH42" s="62" t="str">
        <f t="shared" si="48"/>
        <v/>
      </c>
      <c r="AI42" s="62" t="str">
        <f t="shared" si="49"/>
        <v/>
      </c>
      <c r="AJ42" s="62" t="str">
        <f t="shared" si="50"/>
        <v/>
      </c>
      <c r="AK42" s="61" t="str">
        <f t="shared" si="51"/>
        <v/>
      </c>
      <c r="AL42" s="61" t="str">
        <f t="shared" si="52"/>
        <v/>
      </c>
      <c r="AM42" s="61" t="str">
        <f t="shared" si="53"/>
        <v/>
      </c>
      <c r="AN42" s="61">
        <v>40</v>
      </c>
      <c r="AO42" s="61" t="str">
        <f t="shared" si="54"/>
        <v/>
      </c>
      <c r="AP42" s="61" t="str">
        <f t="shared" si="55"/>
        <v/>
      </c>
      <c r="AQ42" s="62" t="str">
        <f t="shared" si="56"/>
        <v/>
      </c>
      <c r="AR42" s="62" t="str">
        <f t="shared" si="57"/>
        <v/>
      </c>
      <c r="AS42" s="62" t="str">
        <f t="shared" si="58"/>
        <v/>
      </c>
      <c r="AT42" s="61" t="str">
        <f t="shared" si="59"/>
        <v/>
      </c>
      <c r="AU42" s="61" t="str">
        <f t="shared" si="60"/>
        <v/>
      </c>
      <c r="AV42" s="61" t="str">
        <f t="shared" si="61"/>
        <v/>
      </c>
      <c r="AW42" s="62" t="str">
        <f>IF($AY42="","",IF($AK42="PKのみ",$AH42,CHOOSE(MOD($AY42-1,6)+1,12,17,22,27,32,37)))</f>
        <v/>
      </c>
      <c r="AX42" s="62" t="str">
        <f>IF($AY42="","",IF($AK42="PKのみ",CHOOSE(MOD($AY42-1,6)+1,12,17,22,27,32,37),$AI42))</f>
        <v/>
      </c>
      <c r="AY42" s="62" t="str">
        <f>IF($AK42="PKのみ",COUNTIFS($AK$3:$AK$62,"PKのみ",$AH$3:$AH$62,"&lt;"&amp;$AH42)+1,IF($AK42="梱包のみ",COUNTIFS($AK$3:$AK$62,"梱包のみ",$AI$3:$AI$62,"&lt;"&amp;$AI42)+1,""))</f>
        <v/>
      </c>
      <c r="BD42" s="62" t="str">
        <f>IF($AG42="","",IF(OR(AND(ISNUMBER($AH42),OR($AH42&lt;10,$AH42&gt;190)),AND(ISNUMBER($AI42),OR($AI42&lt;10,$AI42&gt;190))),1,0))</f>
        <v/>
      </c>
    </row>
    <row r="43" spans="1:64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1"/>
        <v>0</v>
      </c>
      <c r="I43" s="61" t="str">
        <f>IF(H43=1,SUM(H$3:H43),"")</f>
        <v/>
      </c>
      <c r="J43" s="62" t="str">
        <f t="shared" si="32"/>
        <v/>
      </c>
      <c r="K43" s="61" t="str">
        <f t="shared" si="33"/>
        <v/>
      </c>
      <c r="L43" s="62" t="str">
        <f t="shared" si="34"/>
        <v/>
      </c>
      <c r="M43" s="62" t="str">
        <f t="shared" si="35"/>
        <v/>
      </c>
      <c r="N43" s="62" t="str">
        <f t="shared" si="36"/>
        <v/>
      </c>
      <c r="O43" s="61" t="str">
        <f t="shared" si="37"/>
        <v/>
      </c>
      <c r="P43" s="61">
        <v>41</v>
      </c>
      <c r="Q43" s="62" t="str">
        <f t="shared" si="38"/>
        <v/>
      </c>
      <c r="R43" s="61" t="str">
        <f t="shared" si="39"/>
        <v/>
      </c>
      <c r="S43" s="62" t="str">
        <f t="shared" si="40"/>
        <v/>
      </c>
      <c r="T43" s="62" t="str">
        <f t="shared" si="41"/>
        <v/>
      </c>
      <c r="U43" s="61" t="str">
        <f t="shared" si="42"/>
        <v/>
      </c>
      <c r="AB43" s="61">
        <f t="shared" si="43"/>
        <v>0</v>
      </c>
      <c r="AC43" s="61" t="str">
        <f>IF(AB43=1,SUM(AB$3:AB43),"")</f>
        <v/>
      </c>
      <c r="AD43" s="62" t="str">
        <f t="shared" si="44"/>
        <v/>
      </c>
      <c r="AE43" s="61" t="str">
        <f t="shared" si="45"/>
        <v/>
      </c>
      <c r="AF43" s="61" t="str">
        <f t="shared" si="46"/>
        <v/>
      </c>
      <c r="AG43" s="61" t="str">
        <f t="shared" si="47"/>
        <v/>
      </c>
      <c r="AH43" s="62" t="str">
        <f t="shared" si="48"/>
        <v/>
      </c>
      <c r="AI43" s="62" t="str">
        <f t="shared" si="49"/>
        <v/>
      </c>
      <c r="AJ43" s="62" t="str">
        <f t="shared" si="50"/>
        <v/>
      </c>
      <c r="AK43" s="61" t="str">
        <f t="shared" si="51"/>
        <v/>
      </c>
      <c r="AL43" s="61" t="str">
        <f t="shared" si="52"/>
        <v/>
      </c>
      <c r="AM43" s="61" t="str">
        <f t="shared" si="53"/>
        <v/>
      </c>
      <c r="AN43" s="61">
        <v>41</v>
      </c>
      <c r="AO43" s="61" t="str">
        <f t="shared" si="54"/>
        <v/>
      </c>
      <c r="AP43" s="61" t="str">
        <f t="shared" si="55"/>
        <v/>
      </c>
      <c r="AQ43" s="62" t="str">
        <f t="shared" si="56"/>
        <v/>
      </c>
      <c r="AR43" s="62" t="str">
        <f t="shared" si="57"/>
        <v/>
      </c>
      <c r="AS43" s="62" t="str">
        <f t="shared" si="58"/>
        <v/>
      </c>
      <c r="AT43" s="61" t="str">
        <f t="shared" si="59"/>
        <v/>
      </c>
      <c r="AU43" s="61" t="str">
        <f t="shared" si="60"/>
        <v/>
      </c>
      <c r="AV43" s="61" t="str">
        <f t="shared" si="61"/>
        <v/>
      </c>
      <c r="AW43" s="62" t="str">
        <f>IF($AY43="","",IF($AK43="PKのみ",$AH43,CHOOSE(MOD($AY43-1,6)+1,12,17,22,27,32,37)))</f>
        <v/>
      </c>
      <c r="AX43" s="62" t="str">
        <f>IF($AY43="","",IF($AK43="PKのみ",CHOOSE(MOD($AY43-1,6)+1,12,17,22,27,32,37),$AI43))</f>
        <v/>
      </c>
      <c r="AY43" s="62" t="str">
        <f>IF($AK43="PKのみ",COUNTIFS($AK$3:$AK$62,"PKのみ",$AH$3:$AH$62,"&lt;"&amp;$AH43)+1,IF($AK43="梱包のみ",COUNTIFS($AK$3:$AK$62,"梱包のみ",$AI$3:$AI$62,"&lt;"&amp;$AI43)+1,""))</f>
        <v/>
      </c>
      <c r="BD43" s="62" t="str">
        <f>IF($AG43="","",IF(OR(AND(ISNUMBER($AH43),OR($AH43&lt;10,$AH43&gt;190)),AND(ISNUMBER($AI43),OR($AI43&lt;10,$AI43&gt;190))),1,0))</f>
        <v/>
      </c>
    </row>
    <row r="44" spans="1:64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1"/>
        <v>0</v>
      </c>
      <c r="I44" s="61" t="str">
        <f>IF(H44=1,SUM(H$3:H44),"")</f>
        <v/>
      </c>
      <c r="J44" s="62" t="str">
        <f t="shared" si="32"/>
        <v/>
      </c>
      <c r="K44" s="61" t="str">
        <f t="shared" si="33"/>
        <v/>
      </c>
      <c r="L44" s="62" t="str">
        <f t="shared" si="34"/>
        <v/>
      </c>
      <c r="M44" s="62" t="str">
        <f t="shared" si="35"/>
        <v/>
      </c>
      <c r="N44" s="62" t="str">
        <f t="shared" si="36"/>
        <v/>
      </c>
      <c r="O44" s="61" t="str">
        <f t="shared" si="37"/>
        <v/>
      </c>
      <c r="P44" s="61">
        <v>42</v>
      </c>
      <c r="Q44" s="62" t="str">
        <f t="shared" si="38"/>
        <v/>
      </c>
      <c r="R44" s="61" t="str">
        <f t="shared" si="39"/>
        <v/>
      </c>
      <c r="S44" s="62" t="str">
        <f t="shared" si="40"/>
        <v/>
      </c>
      <c r="T44" s="62" t="str">
        <f t="shared" si="41"/>
        <v/>
      </c>
      <c r="U44" s="61" t="str">
        <f t="shared" si="42"/>
        <v/>
      </c>
      <c r="AB44" s="61">
        <f t="shared" si="43"/>
        <v>0</v>
      </c>
      <c r="AC44" s="61" t="str">
        <f>IF(AB44=1,SUM(AB$3:AB44),"")</f>
        <v/>
      </c>
      <c r="AD44" s="62" t="str">
        <f t="shared" si="44"/>
        <v/>
      </c>
      <c r="AE44" s="61" t="str">
        <f t="shared" si="45"/>
        <v/>
      </c>
      <c r="AF44" s="61" t="str">
        <f t="shared" si="46"/>
        <v/>
      </c>
      <c r="AG44" s="61" t="str">
        <f t="shared" si="47"/>
        <v/>
      </c>
      <c r="AH44" s="62" t="str">
        <f t="shared" si="48"/>
        <v/>
      </c>
      <c r="AI44" s="62" t="str">
        <f t="shared" si="49"/>
        <v/>
      </c>
      <c r="AJ44" s="62" t="str">
        <f t="shared" si="50"/>
        <v/>
      </c>
      <c r="AK44" s="61" t="str">
        <f t="shared" si="51"/>
        <v/>
      </c>
      <c r="AL44" s="61" t="str">
        <f t="shared" si="52"/>
        <v/>
      </c>
      <c r="AM44" s="61" t="str">
        <f t="shared" si="53"/>
        <v/>
      </c>
      <c r="AN44" s="61">
        <v>42</v>
      </c>
      <c r="AO44" s="61" t="str">
        <f t="shared" si="54"/>
        <v/>
      </c>
      <c r="AP44" s="61" t="str">
        <f t="shared" si="55"/>
        <v/>
      </c>
      <c r="AQ44" s="62" t="str">
        <f t="shared" si="56"/>
        <v/>
      </c>
      <c r="AR44" s="62" t="str">
        <f t="shared" si="57"/>
        <v/>
      </c>
      <c r="AS44" s="62" t="str">
        <f t="shared" si="58"/>
        <v/>
      </c>
      <c r="AT44" s="61" t="str">
        <f t="shared" si="59"/>
        <v/>
      </c>
      <c r="AU44" s="61" t="str">
        <f t="shared" si="60"/>
        <v/>
      </c>
      <c r="AV44" s="61" t="str">
        <f t="shared" si="61"/>
        <v/>
      </c>
      <c r="AW44" s="62" t="str">
        <f>IF($AY44="","",IF($AK44="PKのみ",$AH44,CHOOSE(MOD($AY44-1,6)+1,12,17,22,27,32,37)))</f>
        <v/>
      </c>
      <c r="AX44" s="62" t="str">
        <f>IF($AY44="","",IF($AK44="PKのみ",CHOOSE(MOD($AY44-1,6)+1,12,17,22,27,32,37),$AI44))</f>
        <v/>
      </c>
      <c r="AY44" s="62" t="str">
        <f>IF($AK44="PKのみ",COUNTIFS($AK$3:$AK$62,"PKのみ",$AH$3:$AH$62,"&lt;"&amp;$AH44)+1,IF($AK44="梱包のみ",COUNTIFS($AK$3:$AK$62,"梱包のみ",$AI$3:$AI$62,"&lt;"&amp;$AI44)+1,""))</f>
        <v/>
      </c>
      <c r="BD44" s="62" t="str">
        <f>IF($AG44="","",IF(OR(AND(ISNUMBER($AH44),OR($AH44&lt;10,$AH44&gt;190)),AND(ISNUMBER($AI44),OR($AI44&lt;10,$AI44&gt;190))),1,0))</f>
        <v/>
      </c>
    </row>
    <row r="45" spans="1:64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1"/>
        <v>0</v>
      </c>
      <c r="I45" s="61" t="str">
        <f>IF(H45=1,SUM(H$3:H45),"")</f>
        <v/>
      </c>
      <c r="J45" s="62" t="str">
        <f t="shared" si="32"/>
        <v/>
      </c>
      <c r="K45" s="61" t="str">
        <f t="shared" si="33"/>
        <v/>
      </c>
      <c r="L45" s="62" t="str">
        <f t="shared" si="34"/>
        <v/>
      </c>
      <c r="M45" s="62" t="str">
        <f t="shared" si="35"/>
        <v/>
      </c>
      <c r="N45" s="62" t="str">
        <f t="shared" si="36"/>
        <v/>
      </c>
      <c r="O45" s="61" t="str">
        <f t="shared" si="37"/>
        <v/>
      </c>
      <c r="P45" s="61">
        <v>43</v>
      </c>
      <c r="Q45" s="62" t="str">
        <f t="shared" si="38"/>
        <v/>
      </c>
      <c r="R45" s="61" t="str">
        <f t="shared" si="39"/>
        <v/>
      </c>
      <c r="S45" s="62" t="str">
        <f t="shared" si="40"/>
        <v/>
      </c>
      <c r="T45" s="62" t="str">
        <f t="shared" si="41"/>
        <v/>
      </c>
      <c r="U45" s="61" t="str">
        <f t="shared" si="42"/>
        <v/>
      </c>
      <c r="AB45" s="61">
        <f t="shared" si="43"/>
        <v>0</v>
      </c>
      <c r="AC45" s="61" t="str">
        <f>IF(AB45=1,SUM(AB$3:AB45),"")</f>
        <v/>
      </c>
      <c r="AD45" s="62" t="str">
        <f t="shared" si="44"/>
        <v/>
      </c>
      <c r="AE45" s="61" t="str">
        <f t="shared" si="45"/>
        <v/>
      </c>
      <c r="AF45" s="61" t="str">
        <f t="shared" si="46"/>
        <v/>
      </c>
      <c r="AG45" s="61" t="str">
        <f t="shared" si="47"/>
        <v/>
      </c>
      <c r="AH45" s="62" t="str">
        <f t="shared" si="48"/>
        <v/>
      </c>
      <c r="AI45" s="62" t="str">
        <f t="shared" si="49"/>
        <v/>
      </c>
      <c r="AJ45" s="62" t="str">
        <f t="shared" si="50"/>
        <v/>
      </c>
      <c r="AK45" s="61" t="str">
        <f t="shared" si="51"/>
        <v/>
      </c>
      <c r="AL45" s="61" t="str">
        <f t="shared" si="52"/>
        <v/>
      </c>
      <c r="AM45" s="61" t="str">
        <f t="shared" si="53"/>
        <v/>
      </c>
      <c r="AN45" s="61">
        <v>43</v>
      </c>
      <c r="AO45" s="61" t="str">
        <f t="shared" si="54"/>
        <v/>
      </c>
      <c r="AP45" s="61" t="str">
        <f t="shared" si="55"/>
        <v/>
      </c>
      <c r="AQ45" s="62" t="str">
        <f t="shared" si="56"/>
        <v/>
      </c>
      <c r="AR45" s="62" t="str">
        <f t="shared" si="57"/>
        <v/>
      </c>
      <c r="AS45" s="62" t="str">
        <f t="shared" si="58"/>
        <v/>
      </c>
      <c r="AT45" s="61" t="str">
        <f t="shared" si="59"/>
        <v/>
      </c>
      <c r="AU45" s="61" t="str">
        <f t="shared" si="60"/>
        <v/>
      </c>
      <c r="AV45" s="61" t="str">
        <f t="shared" si="61"/>
        <v/>
      </c>
      <c r="AW45" s="62" t="str">
        <f>IF($AY45="","",IF($AK45="PKのみ",$AH45,CHOOSE(MOD($AY45-1,6)+1,12,17,22,27,32,37)))</f>
        <v/>
      </c>
      <c r="AX45" s="62" t="str">
        <f>IF($AY45="","",IF($AK45="PKのみ",CHOOSE(MOD($AY45-1,6)+1,12,17,22,27,32,37),$AI45))</f>
        <v/>
      </c>
      <c r="AY45" s="62" t="str">
        <f>IF($AK45="PKのみ",COUNTIFS($AK$3:$AK$62,"PKのみ",$AH$3:$AH$62,"&lt;"&amp;$AH45)+1,IF($AK45="梱包のみ",COUNTIFS($AK$3:$AK$62,"梱包のみ",$AI$3:$AI$62,"&lt;"&amp;$AI45)+1,""))</f>
        <v/>
      </c>
      <c r="BD45" s="62" t="str">
        <f>IF($AG45="","",IF(OR(AND(ISNUMBER($AH45),OR($AH45&lt;10,$AH45&gt;190)),AND(ISNUMBER($AI45),OR($AI45&lt;10,$AI45&gt;190))),1,0))</f>
        <v/>
      </c>
    </row>
    <row r="46" spans="1:64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1"/>
        <v>0</v>
      </c>
      <c r="I46" s="61" t="str">
        <f>IF(H46=1,SUM(H$3:H46),"")</f>
        <v/>
      </c>
      <c r="J46" s="62" t="str">
        <f t="shared" si="32"/>
        <v/>
      </c>
      <c r="K46" s="61" t="str">
        <f t="shared" si="33"/>
        <v/>
      </c>
      <c r="L46" s="62" t="str">
        <f t="shared" si="34"/>
        <v/>
      </c>
      <c r="M46" s="62" t="str">
        <f t="shared" si="35"/>
        <v/>
      </c>
      <c r="N46" s="62" t="str">
        <f t="shared" si="36"/>
        <v/>
      </c>
      <c r="O46" s="61" t="str">
        <f t="shared" si="37"/>
        <v/>
      </c>
      <c r="P46" s="61">
        <v>44</v>
      </c>
      <c r="Q46" s="62" t="str">
        <f t="shared" si="38"/>
        <v/>
      </c>
      <c r="R46" s="61" t="str">
        <f t="shared" si="39"/>
        <v/>
      </c>
      <c r="S46" s="62" t="str">
        <f t="shared" si="40"/>
        <v/>
      </c>
      <c r="T46" s="62" t="str">
        <f t="shared" si="41"/>
        <v/>
      </c>
      <c r="U46" s="61" t="str">
        <f t="shared" si="42"/>
        <v/>
      </c>
      <c r="AB46" s="61">
        <f t="shared" si="43"/>
        <v>0</v>
      </c>
      <c r="AC46" s="61" t="str">
        <f>IF(AB46=1,SUM(AB$3:AB46),"")</f>
        <v/>
      </c>
      <c r="AD46" s="62" t="str">
        <f t="shared" si="44"/>
        <v/>
      </c>
      <c r="AE46" s="61" t="str">
        <f t="shared" si="45"/>
        <v/>
      </c>
      <c r="AF46" s="61" t="str">
        <f t="shared" si="46"/>
        <v/>
      </c>
      <c r="AG46" s="61" t="str">
        <f t="shared" si="47"/>
        <v/>
      </c>
      <c r="AH46" s="62" t="str">
        <f t="shared" si="48"/>
        <v/>
      </c>
      <c r="AI46" s="62" t="str">
        <f t="shared" si="49"/>
        <v/>
      </c>
      <c r="AJ46" s="62" t="str">
        <f t="shared" si="50"/>
        <v/>
      </c>
      <c r="AK46" s="61" t="str">
        <f t="shared" si="51"/>
        <v/>
      </c>
      <c r="AL46" s="61" t="str">
        <f t="shared" si="52"/>
        <v/>
      </c>
      <c r="AM46" s="61" t="str">
        <f t="shared" si="53"/>
        <v/>
      </c>
      <c r="AN46" s="61">
        <v>44</v>
      </c>
      <c r="AO46" s="61" t="str">
        <f t="shared" si="54"/>
        <v/>
      </c>
      <c r="AP46" s="61" t="str">
        <f t="shared" si="55"/>
        <v/>
      </c>
      <c r="AQ46" s="62" t="str">
        <f t="shared" si="56"/>
        <v/>
      </c>
      <c r="AR46" s="62" t="str">
        <f t="shared" si="57"/>
        <v/>
      </c>
      <c r="AS46" s="62" t="str">
        <f t="shared" si="58"/>
        <v/>
      </c>
      <c r="AT46" s="61" t="str">
        <f t="shared" si="59"/>
        <v/>
      </c>
      <c r="AU46" s="61" t="str">
        <f t="shared" si="60"/>
        <v/>
      </c>
      <c r="AV46" s="61" t="str">
        <f t="shared" si="61"/>
        <v/>
      </c>
      <c r="AW46" s="62" t="str">
        <f>IF($AY46="","",IF($AK46="PKのみ",$AH46,CHOOSE(MOD($AY46-1,6)+1,12,17,22,27,32,37)))</f>
        <v/>
      </c>
      <c r="AX46" s="62" t="str">
        <f>IF($AY46="","",IF($AK46="PKのみ",CHOOSE(MOD($AY46-1,6)+1,12,17,22,27,32,37),$AI46))</f>
        <v/>
      </c>
      <c r="AY46" s="62" t="str">
        <f>IF($AK46="PKのみ",COUNTIFS($AK$3:$AK$62,"PKのみ",$AH$3:$AH$62,"&lt;"&amp;$AH46)+1,IF($AK46="梱包のみ",COUNTIFS($AK$3:$AK$62,"梱包のみ",$AI$3:$AI$62,"&lt;"&amp;$AI46)+1,""))</f>
        <v/>
      </c>
      <c r="BD46" s="62" t="str">
        <f>IF($AG46="","",IF(OR(AND(ISNUMBER($AH46),OR($AH46&lt;10,$AH46&gt;190)),AND(ISNUMBER($AI46),OR($AI46&lt;10,$AI46&gt;190))),1,0))</f>
        <v/>
      </c>
    </row>
    <row r="47" spans="1:64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1"/>
        <v>0</v>
      </c>
      <c r="I47" s="61" t="str">
        <f>IF(H47=1,SUM(H$3:H47),"")</f>
        <v/>
      </c>
      <c r="J47" s="62" t="str">
        <f t="shared" si="32"/>
        <v/>
      </c>
      <c r="K47" s="61" t="str">
        <f t="shared" si="33"/>
        <v/>
      </c>
      <c r="L47" s="62" t="str">
        <f t="shared" si="34"/>
        <v/>
      </c>
      <c r="M47" s="62" t="str">
        <f t="shared" si="35"/>
        <v/>
      </c>
      <c r="N47" s="62" t="str">
        <f t="shared" si="36"/>
        <v/>
      </c>
      <c r="O47" s="61" t="str">
        <f t="shared" si="37"/>
        <v/>
      </c>
      <c r="P47" s="61">
        <v>45</v>
      </c>
      <c r="Q47" s="62" t="str">
        <f t="shared" si="38"/>
        <v/>
      </c>
      <c r="R47" s="61" t="str">
        <f t="shared" si="39"/>
        <v/>
      </c>
      <c r="S47" s="62" t="str">
        <f t="shared" si="40"/>
        <v/>
      </c>
      <c r="T47" s="62" t="str">
        <f t="shared" si="41"/>
        <v/>
      </c>
      <c r="U47" s="61" t="str">
        <f t="shared" si="42"/>
        <v/>
      </c>
      <c r="AB47" s="61">
        <f t="shared" si="43"/>
        <v>0</v>
      </c>
      <c r="AC47" s="61" t="str">
        <f>IF(AB47=1,SUM(AB$3:AB47),"")</f>
        <v/>
      </c>
      <c r="AD47" s="62" t="str">
        <f t="shared" si="44"/>
        <v/>
      </c>
      <c r="AE47" s="61" t="str">
        <f t="shared" si="45"/>
        <v/>
      </c>
      <c r="AF47" s="61" t="str">
        <f t="shared" si="46"/>
        <v/>
      </c>
      <c r="AG47" s="61" t="str">
        <f t="shared" si="47"/>
        <v/>
      </c>
      <c r="AH47" s="62" t="str">
        <f t="shared" si="48"/>
        <v/>
      </c>
      <c r="AI47" s="62" t="str">
        <f t="shared" si="49"/>
        <v/>
      </c>
      <c r="AJ47" s="62" t="str">
        <f t="shared" si="50"/>
        <v/>
      </c>
      <c r="AK47" s="61" t="str">
        <f t="shared" si="51"/>
        <v/>
      </c>
      <c r="AL47" s="61" t="str">
        <f t="shared" si="52"/>
        <v/>
      </c>
      <c r="AM47" s="61" t="str">
        <f t="shared" si="53"/>
        <v/>
      </c>
      <c r="AN47" s="61">
        <v>45</v>
      </c>
      <c r="AO47" s="61" t="str">
        <f t="shared" si="54"/>
        <v/>
      </c>
      <c r="AP47" s="61" t="str">
        <f t="shared" si="55"/>
        <v/>
      </c>
      <c r="AQ47" s="62" t="str">
        <f t="shared" si="56"/>
        <v/>
      </c>
      <c r="AR47" s="62" t="str">
        <f t="shared" si="57"/>
        <v/>
      </c>
      <c r="AS47" s="62" t="str">
        <f t="shared" si="58"/>
        <v/>
      </c>
      <c r="AT47" s="61" t="str">
        <f t="shared" si="59"/>
        <v/>
      </c>
      <c r="AU47" s="61" t="str">
        <f t="shared" si="60"/>
        <v/>
      </c>
      <c r="AV47" s="61" t="str">
        <f t="shared" si="61"/>
        <v/>
      </c>
      <c r="AW47" s="62" t="str">
        <f>IF($AY47="","",IF($AK47="PKのみ",$AH47,CHOOSE(MOD($AY47-1,6)+1,12,17,22,27,32,37)))</f>
        <v/>
      </c>
      <c r="AX47" s="62" t="str">
        <f>IF($AY47="","",IF($AK47="PKのみ",CHOOSE(MOD($AY47-1,6)+1,12,17,22,27,32,37),$AI47))</f>
        <v/>
      </c>
      <c r="AY47" s="62" t="str">
        <f>IF($AK47="PKのみ",COUNTIFS($AK$3:$AK$62,"PKのみ",$AH$3:$AH$62,"&lt;"&amp;$AH47)+1,IF($AK47="梱包のみ",COUNTIFS($AK$3:$AK$62,"梱包のみ",$AI$3:$AI$62,"&lt;"&amp;$AI47)+1,""))</f>
        <v/>
      </c>
      <c r="BD47" s="62" t="str">
        <f>IF($AG47="","",IF(OR(AND(ISNUMBER($AH47),OR($AH47&lt;10,$AH47&gt;190)),AND(ISNUMBER($AI47),OR($AI47&lt;10,$AI47&gt;190))),1,0))</f>
        <v/>
      </c>
    </row>
    <row r="48" spans="1:64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1"/>
        <v>0</v>
      </c>
      <c r="I48" s="61" t="str">
        <f>IF(H48=1,SUM(H$3:H48),"")</f>
        <v/>
      </c>
      <c r="J48" s="62" t="str">
        <f t="shared" si="32"/>
        <v/>
      </c>
      <c r="K48" s="61" t="str">
        <f t="shared" si="33"/>
        <v/>
      </c>
      <c r="L48" s="62" t="str">
        <f t="shared" si="34"/>
        <v/>
      </c>
      <c r="M48" s="62" t="str">
        <f t="shared" si="35"/>
        <v/>
      </c>
      <c r="N48" s="62" t="str">
        <f t="shared" si="36"/>
        <v/>
      </c>
      <c r="O48" s="61" t="str">
        <f t="shared" si="37"/>
        <v/>
      </c>
      <c r="P48" s="61">
        <v>46</v>
      </c>
      <c r="Q48" s="62" t="str">
        <f t="shared" si="38"/>
        <v/>
      </c>
      <c r="R48" s="61" t="str">
        <f t="shared" si="39"/>
        <v/>
      </c>
      <c r="S48" s="62" t="str">
        <f t="shared" si="40"/>
        <v/>
      </c>
      <c r="T48" s="62" t="str">
        <f t="shared" si="41"/>
        <v/>
      </c>
      <c r="U48" s="61" t="str">
        <f t="shared" si="42"/>
        <v/>
      </c>
      <c r="AB48" s="61">
        <f t="shared" si="43"/>
        <v>0</v>
      </c>
      <c r="AC48" s="61" t="str">
        <f>IF(AB48=1,SUM(AB$3:AB48),"")</f>
        <v/>
      </c>
      <c r="AD48" s="62" t="str">
        <f t="shared" si="44"/>
        <v/>
      </c>
      <c r="AE48" s="61" t="str">
        <f t="shared" si="45"/>
        <v/>
      </c>
      <c r="AF48" s="61" t="str">
        <f t="shared" si="46"/>
        <v/>
      </c>
      <c r="AG48" s="61" t="str">
        <f t="shared" si="47"/>
        <v/>
      </c>
      <c r="AH48" s="62" t="str">
        <f t="shared" si="48"/>
        <v/>
      </c>
      <c r="AI48" s="62" t="str">
        <f t="shared" si="49"/>
        <v/>
      </c>
      <c r="AJ48" s="62" t="str">
        <f t="shared" si="50"/>
        <v/>
      </c>
      <c r="AK48" s="61" t="str">
        <f t="shared" si="51"/>
        <v/>
      </c>
      <c r="AL48" s="61" t="str">
        <f t="shared" si="52"/>
        <v/>
      </c>
      <c r="AM48" s="61" t="str">
        <f t="shared" si="53"/>
        <v/>
      </c>
      <c r="AN48" s="61">
        <v>46</v>
      </c>
      <c r="AO48" s="61" t="str">
        <f t="shared" si="54"/>
        <v/>
      </c>
      <c r="AP48" s="61" t="str">
        <f t="shared" si="55"/>
        <v/>
      </c>
      <c r="AQ48" s="62" t="str">
        <f t="shared" si="56"/>
        <v/>
      </c>
      <c r="AR48" s="62" t="str">
        <f t="shared" si="57"/>
        <v/>
      </c>
      <c r="AS48" s="62" t="str">
        <f t="shared" si="58"/>
        <v/>
      </c>
      <c r="AT48" s="61" t="str">
        <f t="shared" si="59"/>
        <v/>
      </c>
      <c r="AU48" s="61" t="str">
        <f t="shared" si="60"/>
        <v/>
      </c>
      <c r="AV48" s="61" t="str">
        <f t="shared" si="61"/>
        <v/>
      </c>
      <c r="AW48" s="62" t="str">
        <f>IF($AY48="","",IF($AK48="PKのみ",$AH48,CHOOSE(MOD($AY48-1,6)+1,12,17,22,27,32,37)))</f>
        <v/>
      </c>
      <c r="AX48" s="62" t="str">
        <f>IF($AY48="","",IF($AK48="PKのみ",CHOOSE(MOD($AY48-1,6)+1,12,17,22,27,32,37),$AI48))</f>
        <v/>
      </c>
      <c r="AY48" s="62" t="str">
        <f>IF($AK48="PKのみ",COUNTIFS($AK$3:$AK$62,"PKのみ",$AH$3:$AH$62,"&lt;"&amp;$AH48)+1,IF($AK48="梱包のみ",COUNTIFS($AK$3:$AK$62,"梱包のみ",$AI$3:$AI$62,"&lt;"&amp;$AI48)+1,""))</f>
        <v/>
      </c>
      <c r="BD48" s="62" t="str">
        <f>IF($AG48="","",IF(OR(AND(ISNUMBER($AH48),OR($AH48&lt;10,$AH48&gt;190)),AND(ISNUMBER($AI48),OR($AI48&lt;10,$AI48&gt;190))),1,0))</f>
        <v/>
      </c>
    </row>
    <row r="49" spans="1:64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1"/>
        <v>0</v>
      </c>
      <c r="I49" s="61" t="str">
        <f>IF(H49=1,SUM(H$3:H49),"")</f>
        <v/>
      </c>
      <c r="J49" s="62" t="str">
        <f t="shared" si="32"/>
        <v/>
      </c>
      <c r="K49" s="61" t="str">
        <f t="shared" si="33"/>
        <v/>
      </c>
      <c r="L49" s="62" t="str">
        <f t="shared" si="34"/>
        <v/>
      </c>
      <c r="M49" s="62" t="str">
        <f t="shared" si="35"/>
        <v/>
      </c>
      <c r="N49" s="62" t="str">
        <f t="shared" si="36"/>
        <v/>
      </c>
      <c r="O49" s="61" t="str">
        <f t="shared" si="37"/>
        <v/>
      </c>
      <c r="P49" s="61">
        <v>47</v>
      </c>
      <c r="Q49" s="62" t="str">
        <f t="shared" si="38"/>
        <v/>
      </c>
      <c r="R49" s="61" t="str">
        <f t="shared" si="39"/>
        <v/>
      </c>
      <c r="S49" s="62" t="str">
        <f t="shared" si="40"/>
        <v/>
      </c>
      <c r="T49" s="62" t="str">
        <f t="shared" si="41"/>
        <v/>
      </c>
      <c r="U49" s="61" t="str">
        <f t="shared" si="42"/>
        <v/>
      </c>
      <c r="AB49" s="61">
        <f t="shared" si="43"/>
        <v>0</v>
      </c>
      <c r="AC49" s="61" t="str">
        <f>IF(AB49=1,SUM(AB$3:AB49),"")</f>
        <v/>
      </c>
      <c r="AD49" s="62" t="str">
        <f t="shared" si="44"/>
        <v/>
      </c>
      <c r="AE49" s="61" t="str">
        <f t="shared" si="45"/>
        <v/>
      </c>
      <c r="AF49" s="61" t="str">
        <f t="shared" si="46"/>
        <v/>
      </c>
      <c r="AG49" s="61" t="str">
        <f t="shared" si="47"/>
        <v/>
      </c>
      <c r="AH49" s="62" t="str">
        <f t="shared" si="48"/>
        <v/>
      </c>
      <c r="AI49" s="62" t="str">
        <f t="shared" si="49"/>
        <v/>
      </c>
      <c r="AJ49" s="62" t="str">
        <f t="shared" si="50"/>
        <v/>
      </c>
      <c r="AK49" s="61" t="str">
        <f t="shared" si="51"/>
        <v/>
      </c>
      <c r="AL49" s="61" t="str">
        <f t="shared" si="52"/>
        <v/>
      </c>
      <c r="AM49" s="61" t="str">
        <f t="shared" si="53"/>
        <v/>
      </c>
      <c r="AN49" s="61">
        <v>47</v>
      </c>
      <c r="AO49" s="61" t="str">
        <f t="shared" si="54"/>
        <v/>
      </c>
      <c r="AP49" s="61" t="str">
        <f t="shared" si="55"/>
        <v/>
      </c>
      <c r="AQ49" s="62" t="str">
        <f t="shared" si="56"/>
        <v/>
      </c>
      <c r="AR49" s="62" t="str">
        <f t="shared" si="57"/>
        <v/>
      </c>
      <c r="AS49" s="62" t="str">
        <f t="shared" si="58"/>
        <v/>
      </c>
      <c r="AT49" s="61" t="str">
        <f t="shared" si="59"/>
        <v/>
      </c>
      <c r="AU49" s="61" t="str">
        <f t="shared" si="60"/>
        <v/>
      </c>
      <c r="AV49" s="61" t="str">
        <f t="shared" si="61"/>
        <v/>
      </c>
      <c r="AW49" s="62" t="str">
        <f>IF($AY49="","",IF($AK49="PKのみ",$AH49,CHOOSE(MOD($AY49-1,6)+1,12,17,22,27,32,37)))</f>
        <v/>
      </c>
      <c r="AX49" s="62" t="str">
        <f>IF($AY49="","",IF($AK49="PKのみ",CHOOSE(MOD($AY49-1,6)+1,12,17,22,27,32,37),$AI49))</f>
        <v/>
      </c>
      <c r="AY49" s="62" t="str">
        <f>IF($AK49="PKのみ",COUNTIFS($AK$3:$AK$62,"PKのみ",$AH$3:$AH$62,"&lt;"&amp;$AH49)+1,IF($AK49="梱包のみ",COUNTIFS($AK$3:$AK$62,"梱包のみ",$AI$3:$AI$62,"&lt;"&amp;$AI49)+1,""))</f>
        <v/>
      </c>
      <c r="BD49" s="62" t="str">
        <f>IF($AG49="","",IF(OR(AND(ISNUMBER($AH49),OR($AH49&lt;10,$AH49&gt;190)),AND(ISNUMBER($AI49),OR($AI49&lt;10,$AI49&gt;190))),1,0))</f>
        <v/>
      </c>
    </row>
    <row r="50" spans="1:64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1"/>
        <v>0</v>
      </c>
      <c r="I50" s="61" t="str">
        <f>IF(H50=1,SUM(H$3:H50),"")</f>
        <v/>
      </c>
      <c r="J50" s="62" t="str">
        <f t="shared" si="32"/>
        <v/>
      </c>
      <c r="K50" s="61" t="str">
        <f t="shared" si="33"/>
        <v/>
      </c>
      <c r="L50" s="62" t="str">
        <f t="shared" si="34"/>
        <v/>
      </c>
      <c r="M50" s="62" t="str">
        <f t="shared" si="35"/>
        <v/>
      </c>
      <c r="N50" s="62" t="str">
        <f t="shared" si="36"/>
        <v/>
      </c>
      <c r="O50" s="61" t="str">
        <f t="shared" si="37"/>
        <v/>
      </c>
      <c r="P50" s="61">
        <v>48</v>
      </c>
      <c r="Q50" s="62" t="str">
        <f t="shared" si="38"/>
        <v/>
      </c>
      <c r="R50" s="61" t="str">
        <f t="shared" si="39"/>
        <v/>
      </c>
      <c r="S50" s="62" t="str">
        <f t="shared" si="40"/>
        <v/>
      </c>
      <c r="T50" s="62" t="str">
        <f t="shared" si="41"/>
        <v/>
      </c>
      <c r="U50" s="61" t="str">
        <f t="shared" si="42"/>
        <v/>
      </c>
      <c r="AB50" s="61">
        <f t="shared" si="43"/>
        <v>0</v>
      </c>
      <c r="AC50" s="61" t="str">
        <f>IF(AB50=1,SUM(AB$3:AB50),"")</f>
        <v/>
      </c>
      <c r="AD50" s="62" t="str">
        <f t="shared" si="44"/>
        <v/>
      </c>
      <c r="AE50" s="61" t="str">
        <f t="shared" si="45"/>
        <v/>
      </c>
      <c r="AF50" s="61" t="str">
        <f t="shared" si="46"/>
        <v/>
      </c>
      <c r="AG50" s="61" t="str">
        <f t="shared" si="47"/>
        <v/>
      </c>
      <c r="AH50" s="62" t="str">
        <f t="shared" si="48"/>
        <v/>
      </c>
      <c r="AI50" s="62" t="str">
        <f t="shared" si="49"/>
        <v/>
      </c>
      <c r="AJ50" s="62" t="str">
        <f t="shared" si="50"/>
        <v/>
      </c>
      <c r="AK50" s="61" t="str">
        <f t="shared" si="51"/>
        <v/>
      </c>
      <c r="AL50" s="61" t="str">
        <f t="shared" si="52"/>
        <v/>
      </c>
      <c r="AM50" s="61" t="str">
        <f t="shared" si="53"/>
        <v/>
      </c>
      <c r="AN50" s="61">
        <v>48</v>
      </c>
      <c r="AO50" s="61" t="str">
        <f t="shared" si="54"/>
        <v/>
      </c>
      <c r="AP50" s="61" t="str">
        <f t="shared" si="55"/>
        <v/>
      </c>
      <c r="AQ50" s="62" t="str">
        <f t="shared" si="56"/>
        <v/>
      </c>
      <c r="AR50" s="62" t="str">
        <f t="shared" si="57"/>
        <v/>
      </c>
      <c r="AS50" s="62" t="str">
        <f t="shared" si="58"/>
        <v/>
      </c>
      <c r="AT50" s="61" t="str">
        <f t="shared" si="59"/>
        <v/>
      </c>
      <c r="AU50" s="61" t="str">
        <f t="shared" si="60"/>
        <v/>
      </c>
      <c r="AV50" s="61" t="str">
        <f t="shared" si="61"/>
        <v/>
      </c>
      <c r="AW50" s="62" t="str">
        <f>IF($AY50="","",IF($AK50="PKのみ",$AH50,CHOOSE(MOD($AY50-1,6)+1,12,17,22,27,32,37)))</f>
        <v/>
      </c>
      <c r="AX50" s="62" t="str">
        <f>IF($AY50="","",IF($AK50="PKのみ",CHOOSE(MOD($AY50-1,6)+1,12,17,22,27,32,37),$AI50))</f>
        <v/>
      </c>
      <c r="AY50" s="62" t="str">
        <f>IF($AK50="PKのみ",COUNTIFS($AK$3:$AK$62,"PKのみ",$AH$3:$AH$62,"&lt;"&amp;$AH50)+1,IF($AK50="梱包のみ",COUNTIFS($AK$3:$AK$62,"梱包のみ",$AI$3:$AI$62,"&lt;"&amp;$AI50)+1,""))</f>
        <v/>
      </c>
      <c r="BD50" s="62" t="str">
        <f>IF($AG50="","",IF(OR(AND(ISNUMBER($AH50),OR($AH50&lt;10,$AH50&gt;190)),AND(ISNUMBER($AI50),OR($AI50&lt;10,$AI50&gt;190))),1,0))</f>
        <v/>
      </c>
    </row>
    <row r="51" spans="1:64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1"/>
        <v>0</v>
      </c>
      <c r="I51" s="61" t="str">
        <f>IF(H51=1,SUM(H$3:H51),"")</f>
        <v/>
      </c>
      <c r="J51" s="62" t="str">
        <f t="shared" si="32"/>
        <v/>
      </c>
      <c r="K51" s="61" t="str">
        <f t="shared" si="33"/>
        <v/>
      </c>
      <c r="L51" s="62" t="str">
        <f t="shared" si="34"/>
        <v/>
      </c>
      <c r="M51" s="62" t="str">
        <f t="shared" si="35"/>
        <v/>
      </c>
      <c r="N51" s="62" t="str">
        <f t="shared" si="36"/>
        <v/>
      </c>
      <c r="O51" s="61" t="str">
        <f t="shared" si="37"/>
        <v/>
      </c>
      <c r="P51" s="61">
        <v>49</v>
      </c>
      <c r="Q51" s="62" t="str">
        <f t="shared" si="38"/>
        <v/>
      </c>
      <c r="R51" s="61" t="str">
        <f t="shared" si="39"/>
        <v/>
      </c>
      <c r="S51" s="62" t="str">
        <f t="shared" si="40"/>
        <v/>
      </c>
      <c r="T51" s="62" t="str">
        <f t="shared" si="41"/>
        <v/>
      </c>
      <c r="U51" s="61" t="str">
        <f t="shared" si="42"/>
        <v/>
      </c>
      <c r="AB51" s="61">
        <f t="shared" si="43"/>
        <v>0</v>
      </c>
      <c r="AC51" s="61" t="str">
        <f>IF(AB51=1,SUM(AB$3:AB51),"")</f>
        <v/>
      </c>
      <c r="AD51" s="62" t="str">
        <f t="shared" si="44"/>
        <v/>
      </c>
      <c r="AE51" s="61" t="str">
        <f t="shared" si="45"/>
        <v/>
      </c>
      <c r="AF51" s="61" t="str">
        <f t="shared" si="46"/>
        <v/>
      </c>
      <c r="AG51" s="61" t="str">
        <f t="shared" si="47"/>
        <v/>
      </c>
      <c r="AH51" s="62" t="str">
        <f t="shared" si="48"/>
        <v/>
      </c>
      <c r="AI51" s="62" t="str">
        <f t="shared" si="49"/>
        <v/>
      </c>
      <c r="AJ51" s="62" t="str">
        <f t="shared" si="50"/>
        <v/>
      </c>
      <c r="AK51" s="61" t="str">
        <f t="shared" si="51"/>
        <v/>
      </c>
      <c r="AL51" s="61" t="str">
        <f t="shared" si="52"/>
        <v/>
      </c>
      <c r="AM51" s="61" t="str">
        <f t="shared" si="53"/>
        <v/>
      </c>
      <c r="AN51" s="61">
        <v>49</v>
      </c>
      <c r="AO51" s="61" t="str">
        <f t="shared" si="54"/>
        <v/>
      </c>
      <c r="AP51" s="61" t="str">
        <f t="shared" si="55"/>
        <v/>
      </c>
      <c r="AQ51" s="62" t="str">
        <f t="shared" si="56"/>
        <v/>
      </c>
      <c r="AR51" s="62" t="str">
        <f t="shared" si="57"/>
        <v/>
      </c>
      <c r="AS51" s="62" t="str">
        <f t="shared" si="58"/>
        <v/>
      </c>
      <c r="AT51" s="61" t="str">
        <f t="shared" si="59"/>
        <v/>
      </c>
      <c r="AU51" s="61" t="str">
        <f t="shared" si="60"/>
        <v/>
      </c>
      <c r="AV51" s="61" t="str">
        <f t="shared" si="61"/>
        <v/>
      </c>
      <c r="AW51" s="62" t="str">
        <f>IF($AY51="","",IF($AK51="PKのみ",$AH51,CHOOSE(MOD($AY51-1,6)+1,12,17,22,27,32,37)))</f>
        <v/>
      </c>
      <c r="AX51" s="62" t="str">
        <f>IF($AY51="","",IF($AK51="PKのみ",CHOOSE(MOD($AY51-1,6)+1,12,17,22,27,32,37),$AI51))</f>
        <v/>
      </c>
      <c r="AY51" s="62" t="str">
        <f>IF($AK51="PKのみ",COUNTIFS($AK$3:$AK$62,"PKのみ",$AH$3:$AH$62,"&lt;"&amp;$AH51)+1,IF($AK51="梱包のみ",COUNTIFS($AK$3:$AK$62,"梱包のみ",$AI$3:$AI$62,"&lt;"&amp;$AI51)+1,""))</f>
        <v/>
      </c>
      <c r="BD51" s="62" t="str">
        <f>IF($AG51="","",IF(OR(AND(ISNUMBER($AH51),OR($AH51&lt;10,$AH51&gt;190)),AND(ISNUMBER($AI51),OR($AI51&lt;10,$AI51&gt;190))),1,0))</f>
        <v/>
      </c>
    </row>
    <row r="52" spans="1:64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1"/>
        <v>0</v>
      </c>
      <c r="I52" s="61" t="str">
        <f>IF(H52=1,SUM(H$3:H52),"")</f>
        <v/>
      </c>
      <c r="J52" s="62" t="str">
        <f t="shared" si="32"/>
        <v/>
      </c>
      <c r="K52" s="61" t="str">
        <f t="shared" si="33"/>
        <v/>
      </c>
      <c r="L52" s="62" t="str">
        <f t="shared" si="34"/>
        <v/>
      </c>
      <c r="M52" s="62" t="str">
        <f t="shared" si="35"/>
        <v/>
      </c>
      <c r="N52" s="62" t="str">
        <f t="shared" si="36"/>
        <v/>
      </c>
      <c r="O52" s="61" t="str">
        <f t="shared" si="37"/>
        <v/>
      </c>
      <c r="P52" s="61">
        <v>50</v>
      </c>
      <c r="Q52" s="62" t="str">
        <f t="shared" si="38"/>
        <v/>
      </c>
      <c r="R52" s="61" t="str">
        <f t="shared" si="39"/>
        <v/>
      </c>
      <c r="S52" s="62" t="str">
        <f t="shared" si="40"/>
        <v/>
      </c>
      <c r="T52" s="62" t="str">
        <f t="shared" si="41"/>
        <v/>
      </c>
      <c r="U52" s="61" t="str">
        <f t="shared" si="42"/>
        <v/>
      </c>
      <c r="AB52" s="61">
        <f t="shared" si="43"/>
        <v>0</v>
      </c>
      <c r="AC52" s="61" t="str">
        <f>IF(AB52=1,SUM(AB$3:AB52),"")</f>
        <v/>
      </c>
      <c r="AD52" s="62" t="str">
        <f t="shared" si="44"/>
        <v/>
      </c>
      <c r="AE52" s="61" t="str">
        <f t="shared" si="45"/>
        <v/>
      </c>
      <c r="AF52" s="61" t="str">
        <f t="shared" si="46"/>
        <v/>
      </c>
      <c r="AG52" s="61" t="str">
        <f t="shared" si="47"/>
        <v/>
      </c>
      <c r="AH52" s="62" t="str">
        <f t="shared" si="48"/>
        <v/>
      </c>
      <c r="AI52" s="62" t="str">
        <f t="shared" si="49"/>
        <v/>
      </c>
      <c r="AJ52" s="62" t="str">
        <f t="shared" si="50"/>
        <v/>
      </c>
      <c r="AK52" s="61" t="str">
        <f t="shared" si="51"/>
        <v/>
      </c>
      <c r="AL52" s="61" t="str">
        <f t="shared" si="52"/>
        <v/>
      </c>
      <c r="AM52" s="61" t="str">
        <f t="shared" si="53"/>
        <v/>
      </c>
      <c r="AN52" s="61">
        <v>50</v>
      </c>
      <c r="AO52" s="61" t="str">
        <f t="shared" si="54"/>
        <v/>
      </c>
      <c r="AP52" s="61" t="str">
        <f t="shared" si="55"/>
        <v/>
      </c>
      <c r="AQ52" s="62" t="str">
        <f t="shared" si="56"/>
        <v/>
      </c>
      <c r="AR52" s="62" t="str">
        <f t="shared" si="57"/>
        <v/>
      </c>
      <c r="AS52" s="62" t="str">
        <f t="shared" si="58"/>
        <v/>
      </c>
      <c r="AT52" s="61" t="str">
        <f t="shared" si="59"/>
        <v/>
      </c>
      <c r="AU52" s="61" t="str">
        <f t="shared" si="60"/>
        <v/>
      </c>
      <c r="AV52" s="61" t="str">
        <f t="shared" si="61"/>
        <v/>
      </c>
      <c r="AW52" s="62" t="str">
        <f>IF($AY52="","",IF($AK52="PKのみ",$AH52,CHOOSE(MOD($AY52-1,6)+1,12,17,22,27,32,37)))</f>
        <v/>
      </c>
      <c r="AX52" s="62" t="str">
        <f>IF($AY52="","",IF($AK52="PKのみ",CHOOSE(MOD($AY52-1,6)+1,12,17,22,27,32,37),$AI52))</f>
        <v/>
      </c>
      <c r="AY52" s="62" t="str">
        <f>IF($AK52="PKのみ",COUNTIFS($AK$3:$AK$62,"PKのみ",$AH$3:$AH$62,"&lt;"&amp;$AH52)+1,IF($AK52="梱包のみ",COUNTIFS($AK$3:$AK$62,"梱包のみ",$AI$3:$AI$62,"&lt;"&amp;$AI52)+1,""))</f>
        <v/>
      </c>
      <c r="BD52" s="62" t="str">
        <f>IF($AG52="","",IF(OR(AND(ISNUMBER($AH52),OR($AH52&lt;10,$AH52&gt;190)),AND(ISNUMBER($AI52),OR($AI52&lt;10,$AI52&gt;190))),1,0))</f>
        <v/>
      </c>
    </row>
    <row r="53" spans="1:64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1"/>
        <v>0</v>
      </c>
      <c r="I53" s="61" t="str">
        <f>IF(H53=1,SUM(H$3:H53),"")</f>
        <v/>
      </c>
      <c r="J53" s="62" t="str">
        <f t="shared" si="32"/>
        <v/>
      </c>
      <c r="K53" s="61" t="str">
        <f t="shared" si="33"/>
        <v/>
      </c>
      <c r="L53" s="62" t="str">
        <f t="shared" si="34"/>
        <v/>
      </c>
      <c r="M53" s="62" t="str">
        <f t="shared" si="35"/>
        <v/>
      </c>
      <c r="N53" s="62" t="str">
        <f t="shared" si="36"/>
        <v/>
      </c>
      <c r="O53" s="61" t="str">
        <f t="shared" si="37"/>
        <v/>
      </c>
      <c r="P53" s="61">
        <v>51</v>
      </c>
      <c r="Q53" s="62" t="str">
        <f t="shared" si="38"/>
        <v/>
      </c>
      <c r="R53" s="61" t="str">
        <f t="shared" si="39"/>
        <v/>
      </c>
      <c r="S53" s="62" t="str">
        <f t="shared" si="40"/>
        <v/>
      </c>
      <c r="T53" s="62" t="str">
        <f t="shared" si="41"/>
        <v/>
      </c>
      <c r="U53" s="61" t="str">
        <f t="shared" si="42"/>
        <v/>
      </c>
      <c r="AB53" s="61">
        <f t="shared" si="43"/>
        <v>0</v>
      </c>
      <c r="AC53" s="61" t="str">
        <f>IF(AB53=1,SUM(AB$3:AB53),"")</f>
        <v/>
      </c>
      <c r="AD53" s="62" t="str">
        <f t="shared" si="44"/>
        <v/>
      </c>
      <c r="AE53" s="61" t="str">
        <f t="shared" si="45"/>
        <v/>
      </c>
      <c r="AF53" s="61" t="str">
        <f t="shared" si="46"/>
        <v/>
      </c>
      <c r="AG53" s="61" t="str">
        <f t="shared" si="47"/>
        <v/>
      </c>
      <c r="AH53" s="62" t="str">
        <f t="shared" si="48"/>
        <v/>
      </c>
      <c r="AI53" s="62" t="str">
        <f t="shared" si="49"/>
        <v/>
      </c>
      <c r="AJ53" s="62" t="str">
        <f t="shared" si="50"/>
        <v/>
      </c>
      <c r="AK53" s="61" t="str">
        <f t="shared" si="51"/>
        <v/>
      </c>
      <c r="AL53" s="61" t="str">
        <f t="shared" si="52"/>
        <v/>
      </c>
      <c r="AM53" s="61" t="str">
        <f t="shared" si="53"/>
        <v/>
      </c>
      <c r="AN53" s="61">
        <v>51</v>
      </c>
      <c r="AO53" s="61" t="str">
        <f t="shared" si="54"/>
        <v/>
      </c>
      <c r="AP53" s="61" t="str">
        <f t="shared" si="55"/>
        <v/>
      </c>
      <c r="AQ53" s="62" t="str">
        <f t="shared" si="56"/>
        <v/>
      </c>
      <c r="AR53" s="62" t="str">
        <f t="shared" si="57"/>
        <v/>
      </c>
      <c r="AS53" s="62" t="str">
        <f t="shared" si="58"/>
        <v/>
      </c>
      <c r="AT53" s="61" t="str">
        <f t="shared" si="59"/>
        <v/>
      </c>
      <c r="AU53" s="61" t="str">
        <f t="shared" si="60"/>
        <v/>
      </c>
      <c r="AV53" s="61" t="str">
        <f t="shared" si="61"/>
        <v/>
      </c>
      <c r="AW53" s="62" t="str">
        <f>IF($AY53="","",IF($AK53="PKのみ",$AH53,CHOOSE(MOD($AY53-1,6)+1,12,17,22,27,32,37)))</f>
        <v/>
      </c>
      <c r="AX53" s="62" t="str">
        <f>IF($AY53="","",IF($AK53="PKのみ",CHOOSE(MOD($AY53-1,6)+1,12,17,22,27,32,37),$AI53))</f>
        <v/>
      </c>
      <c r="AY53" s="62" t="str">
        <f>IF($AK53="PKのみ",COUNTIFS($AK$3:$AK$62,"PKのみ",$AH$3:$AH$62,"&lt;"&amp;$AH53)+1,IF($AK53="梱包のみ",COUNTIFS($AK$3:$AK$62,"梱包のみ",$AI$3:$AI$62,"&lt;"&amp;$AI53)+1,""))</f>
        <v/>
      </c>
      <c r="BD53" s="62" t="str">
        <f>IF($AG53="","",IF(OR(AND(ISNUMBER($AH53),OR($AH53&lt;10,$AH53&gt;190)),AND(ISNUMBER($AI53),OR($AI53&lt;10,$AI53&gt;190))),1,0))</f>
        <v/>
      </c>
    </row>
    <row r="54" spans="1:64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1"/>
        <v>0</v>
      </c>
      <c r="I54" s="61" t="str">
        <f>IF(H54=1,SUM(H$3:H54),"")</f>
        <v/>
      </c>
      <c r="J54" s="62" t="str">
        <f t="shared" si="32"/>
        <v/>
      </c>
      <c r="K54" s="61" t="str">
        <f t="shared" si="33"/>
        <v/>
      </c>
      <c r="L54" s="62" t="str">
        <f t="shared" si="34"/>
        <v/>
      </c>
      <c r="M54" s="62" t="str">
        <f t="shared" si="35"/>
        <v/>
      </c>
      <c r="N54" s="62" t="str">
        <f t="shared" si="36"/>
        <v/>
      </c>
      <c r="O54" s="61" t="str">
        <f t="shared" si="37"/>
        <v/>
      </c>
      <c r="P54" s="61">
        <v>52</v>
      </c>
      <c r="Q54" s="62" t="str">
        <f t="shared" si="38"/>
        <v/>
      </c>
      <c r="R54" s="61" t="str">
        <f t="shared" si="39"/>
        <v/>
      </c>
      <c r="S54" s="62" t="str">
        <f t="shared" si="40"/>
        <v/>
      </c>
      <c r="T54" s="62" t="str">
        <f t="shared" si="41"/>
        <v/>
      </c>
      <c r="U54" s="61" t="str">
        <f t="shared" si="42"/>
        <v/>
      </c>
      <c r="AB54" s="61">
        <f t="shared" si="43"/>
        <v>0</v>
      </c>
      <c r="AC54" s="61" t="str">
        <f>IF(AB54=1,SUM(AB$3:AB54),"")</f>
        <v/>
      </c>
      <c r="AD54" s="62" t="str">
        <f t="shared" si="44"/>
        <v/>
      </c>
      <c r="AE54" s="61" t="str">
        <f t="shared" si="45"/>
        <v/>
      </c>
      <c r="AF54" s="61" t="str">
        <f t="shared" si="46"/>
        <v/>
      </c>
      <c r="AG54" s="61" t="str">
        <f t="shared" si="47"/>
        <v/>
      </c>
      <c r="AH54" s="62" t="str">
        <f t="shared" si="48"/>
        <v/>
      </c>
      <c r="AI54" s="62" t="str">
        <f t="shared" si="49"/>
        <v/>
      </c>
      <c r="AJ54" s="62" t="str">
        <f t="shared" si="50"/>
        <v/>
      </c>
      <c r="AK54" s="61" t="str">
        <f t="shared" si="51"/>
        <v/>
      </c>
      <c r="AL54" s="61" t="str">
        <f t="shared" si="52"/>
        <v/>
      </c>
      <c r="AM54" s="61" t="str">
        <f t="shared" si="53"/>
        <v/>
      </c>
      <c r="AN54" s="61">
        <v>52</v>
      </c>
      <c r="AO54" s="61" t="str">
        <f t="shared" si="54"/>
        <v/>
      </c>
      <c r="AP54" s="61" t="str">
        <f t="shared" si="55"/>
        <v/>
      </c>
      <c r="AQ54" s="62" t="str">
        <f t="shared" si="56"/>
        <v/>
      </c>
      <c r="AR54" s="62" t="str">
        <f t="shared" si="57"/>
        <v/>
      </c>
      <c r="AS54" s="62" t="str">
        <f t="shared" si="58"/>
        <v/>
      </c>
      <c r="AT54" s="61" t="str">
        <f t="shared" si="59"/>
        <v/>
      </c>
      <c r="AU54" s="61" t="str">
        <f t="shared" si="60"/>
        <v/>
      </c>
      <c r="AV54" s="61" t="str">
        <f t="shared" si="61"/>
        <v/>
      </c>
      <c r="AW54" s="62" t="str">
        <f>IF($AY54="","",IF($AK54="PKのみ",$AH54,CHOOSE(MOD($AY54-1,6)+1,12,17,22,27,32,37)))</f>
        <v/>
      </c>
      <c r="AX54" s="62" t="str">
        <f>IF($AY54="","",IF($AK54="PKのみ",CHOOSE(MOD($AY54-1,6)+1,12,17,22,27,32,37),$AI54))</f>
        <v/>
      </c>
      <c r="AY54" s="62" t="str">
        <f>IF($AK54="PKのみ",COUNTIFS($AK$3:$AK$62,"PKのみ",$AH$3:$AH$62,"&lt;"&amp;$AH54)+1,IF($AK54="梱包のみ",COUNTIFS($AK$3:$AK$62,"梱包のみ",$AI$3:$AI$62,"&lt;"&amp;$AI54)+1,""))</f>
        <v/>
      </c>
      <c r="BD54" s="62" t="str">
        <f>IF($AG54="","",IF(OR(AND(ISNUMBER($AH54),OR($AH54&lt;10,$AH54&gt;190)),AND(ISNUMBER($AI54),OR($AI54&lt;10,$AI54&gt;190))),1,0))</f>
        <v/>
      </c>
    </row>
    <row r="55" spans="1:64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1"/>
        <v>0</v>
      </c>
      <c r="I55" s="61" t="str">
        <f>IF(H55=1,SUM(H$3:H55),"")</f>
        <v/>
      </c>
      <c r="J55" s="62" t="str">
        <f t="shared" si="32"/>
        <v/>
      </c>
      <c r="K55" s="61" t="str">
        <f t="shared" si="33"/>
        <v/>
      </c>
      <c r="L55" s="62" t="str">
        <f t="shared" si="34"/>
        <v/>
      </c>
      <c r="M55" s="62" t="str">
        <f t="shared" si="35"/>
        <v/>
      </c>
      <c r="N55" s="62" t="str">
        <f t="shared" si="36"/>
        <v/>
      </c>
      <c r="O55" s="61" t="str">
        <f t="shared" si="37"/>
        <v/>
      </c>
      <c r="P55" s="61">
        <v>53</v>
      </c>
      <c r="Q55" s="62" t="str">
        <f t="shared" si="38"/>
        <v/>
      </c>
      <c r="R55" s="61" t="str">
        <f t="shared" si="39"/>
        <v/>
      </c>
      <c r="S55" s="62" t="str">
        <f t="shared" si="40"/>
        <v/>
      </c>
      <c r="T55" s="62" t="str">
        <f t="shared" si="41"/>
        <v/>
      </c>
      <c r="U55" s="61" t="str">
        <f t="shared" si="42"/>
        <v/>
      </c>
      <c r="AB55" s="61">
        <f t="shared" si="43"/>
        <v>0</v>
      </c>
      <c r="AC55" s="61" t="str">
        <f>IF(AB55=1,SUM(AB$3:AB55),"")</f>
        <v/>
      </c>
      <c r="AD55" s="62" t="str">
        <f t="shared" si="44"/>
        <v/>
      </c>
      <c r="AE55" s="61" t="str">
        <f t="shared" si="45"/>
        <v/>
      </c>
      <c r="AF55" s="61" t="str">
        <f t="shared" si="46"/>
        <v/>
      </c>
      <c r="AG55" s="61" t="str">
        <f t="shared" si="47"/>
        <v/>
      </c>
      <c r="AH55" s="62" t="str">
        <f t="shared" si="48"/>
        <v/>
      </c>
      <c r="AI55" s="62" t="str">
        <f t="shared" si="49"/>
        <v/>
      </c>
      <c r="AJ55" s="62" t="str">
        <f t="shared" si="50"/>
        <v/>
      </c>
      <c r="AK55" s="61" t="str">
        <f t="shared" si="51"/>
        <v/>
      </c>
      <c r="AL55" s="61" t="str">
        <f t="shared" si="52"/>
        <v/>
      </c>
      <c r="AM55" s="61" t="str">
        <f t="shared" si="53"/>
        <v/>
      </c>
      <c r="AN55" s="61">
        <v>53</v>
      </c>
      <c r="AO55" s="61" t="str">
        <f t="shared" si="54"/>
        <v/>
      </c>
      <c r="AP55" s="61" t="str">
        <f t="shared" si="55"/>
        <v/>
      </c>
      <c r="AQ55" s="62" t="str">
        <f t="shared" si="56"/>
        <v/>
      </c>
      <c r="AR55" s="62" t="str">
        <f t="shared" si="57"/>
        <v/>
      </c>
      <c r="AS55" s="62" t="str">
        <f t="shared" si="58"/>
        <v/>
      </c>
      <c r="AT55" s="61" t="str">
        <f t="shared" si="59"/>
        <v/>
      </c>
      <c r="AU55" s="61" t="str">
        <f t="shared" si="60"/>
        <v/>
      </c>
      <c r="AV55" s="61" t="str">
        <f t="shared" si="61"/>
        <v/>
      </c>
      <c r="AW55" s="62" t="str">
        <f>IF($AY55="","",IF($AK55="PKのみ",$AH55,CHOOSE(MOD($AY55-1,6)+1,12,17,22,27,32,37)))</f>
        <v/>
      </c>
      <c r="AX55" s="62" t="str">
        <f>IF($AY55="","",IF($AK55="PKのみ",CHOOSE(MOD($AY55-1,6)+1,12,17,22,27,32,37),$AI55))</f>
        <v/>
      </c>
      <c r="AY55" s="62" t="str">
        <f>IF($AK55="PKのみ",COUNTIFS($AK$3:$AK$62,"PKのみ",$AH$3:$AH$62,"&lt;"&amp;$AH55)+1,IF($AK55="梱包のみ",COUNTIFS($AK$3:$AK$62,"梱包のみ",$AI$3:$AI$62,"&lt;"&amp;$AI55)+1,""))</f>
        <v/>
      </c>
      <c r="BD55" s="62" t="str">
        <f>IF($AG55="","",IF(OR(AND(ISNUMBER($AH55),OR($AH55&lt;10,$AH55&gt;190)),AND(ISNUMBER($AI55),OR($AI55&lt;10,$AI55&gt;190))),1,0))</f>
        <v/>
      </c>
    </row>
    <row r="56" spans="1:64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1"/>
        <v>0</v>
      </c>
      <c r="I56" s="61" t="str">
        <f>IF(H56=1,SUM(H$3:H56),"")</f>
        <v/>
      </c>
      <c r="J56" s="62" t="str">
        <f t="shared" si="32"/>
        <v/>
      </c>
      <c r="K56" s="61" t="str">
        <f t="shared" si="33"/>
        <v/>
      </c>
      <c r="L56" s="62" t="str">
        <f t="shared" si="34"/>
        <v/>
      </c>
      <c r="M56" s="62" t="str">
        <f t="shared" si="35"/>
        <v/>
      </c>
      <c r="N56" s="62" t="str">
        <f t="shared" si="36"/>
        <v/>
      </c>
      <c r="O56" s="61" t="str">
        <f t="shared" si="37"/>
        <v/>
      </c>
      <c r="P56" s="61">
        <v>54</v>
      </c>
      <c r="Q56" s="62" t="str">
        <f t="shared" si="38"/>
        <v/>
      </c>
      <c r="R56" s="61" t="str">
        <f t="shared" si="39"/>
        <v/>
      </c>
      <c r="S56" s="62" t="str">
        <f t="shared" si="40"/>
        <v/>
      </c>
      <c r="T56" s="62" t="str">
        <f t="shared" si="41"/>
        <v/>
      </c>
      <c r="U56" s="61" t="str">
        <f t="shared" si="42"/>
        <v/>
      </c>
      <c r="AB56" s="61">
        <f t="shared" si="43"/>
        <v>0</v>
      </c>
      <c r="AC56" s="61" t="str">
        <f>IF(AB56=1,SUM(AB$3:AB56),"")</f>
        <v/>
      </c>
      <c r="AD56" s="62" t="str">
        <f t="shared" si="44"/>
        <v/>
      </c>
      <c r="AE56" s="61" t="str">
        <f t="shared" si="45"/>
        <v/>
      </c>
      <c r="AF56" s="61" t="str">
        <f t="shared" si="46"/>
        <v/>
      </c>
      <c r="AG56" s="61" t="str">
        <f t="shared" si="47"/>
        <v/>
      </c>
      <c r="AH56" s="62" t="str">
        <f t="shared" si="48"/>
        <v/>
      </c>
      <c r="AI56" s="62" t="str">
        <f t="shared" si="49"/>
        <v/>
      </c>
      <c r="AJ56" s="62" t="str">
        <f t="shared" si="50"/>
        <v/>
      </c>
      <c r="AK56" s="61" t="str">
        <f t="shared" si="51"/>
        <v/>
      </c>
      <c r="AL56" s="61" t="str">
        <f t="shared" si="52"/>
        <v/>
      </c>
      <c r="AM56" s="61" t="str">
        <f t="shared" si="53"/>
        <v/>
      </c>
      <c r="AN56" s="61">
        <v>54</v>
      </c>
      <c r="AO56" s="61" t="str">
        <f t="shared" si="54"/>
        <v/>
      </c>
      <c r="AP56" s="61" t="str">
        <f t="shared" si="55"/>
        <v/>
      </c>
      <c r="AQ56" s="62" t="str">
        <f t="shared" si="56"/>
        <v/>
      </c>
      <c r="AR56" s="62" t="str">
        <f t="shared" si="57"/>
        <v/>
      </c>
      <c r="AS56" s="62" t="str">
        <f t="shared" si="58"/>
        <v/>
      </c>
      <c r="AT56" s="61" t="str">
        <f t="shared" si="59"/>
        <v/>
      </c>
      <c r="AU56" s="61" t="str">
        <f t="shared" si="60"/>
        <v/>
      </c>
      <c r="AV56" s="61" t="str">
        <f t="shared" si="61"/>
        <v/>
      </c>
      <c r="AW56" s="62" t="str">
        <f>IF($AY56="","",IF($AK56="PKのみ",$AH56,CHOOSE(MOD($AY56-1,6)+1,12,17,22,27,32,37)))</f>
        <v/>
      </c>
      <c r="AX56" s="62" t="str">
        <f>IF($AY56="","",IF($AK56="PKのみ",CHOOSE(MOD($AY56-1,6)+1,12,17,22,27,32,37),$AI56))</f>
        <v/>
      </c>
      <c r="AY56" s="62" t="str">
        <f>IF($AK56="PKのみ",COUNTIFS($AK$3:$AK$62,"PKのみ",$AH$3:$AH$62,"&lt;"&amp;$AH56)+1,IF($AK56="梱包のみ",COUNTIFS($AK$3:$AK$62,"梱包のみ",$AI$3:$AI$62,"&lt;"&amp;$AI56)+1,""))</f>
        <v/>
      </c>
      <c r="BD56" s="62" t="str">
        <f>IF($AG56="","",IF(OR(AND(ISNUMBER($AH56),OR($AH56&lt;10,$AH56&gt;190)),AND(ISNUMBER($AI56),OR($AI56&lt;10,$AI56&gt;190))),1,0))</f>
        <v/>
      </c>
    </row>
    <row r="57" spans="1:64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1"/>
        <v>0</v>
      </c>
      <c r="I57" s="61" t="str">
        <f>IF(H57=1,SUM(H$3:H57),"")</f>
        <v/>
      </c>
      <c r="J57" s="62" t="str">
        <f t="shared" si="32"/>
        <v/>
      </c>
      <c r="K57" s="61" t="str">
        <f t="shared" si="33"/>
        <v/>
      </c>
      <c r="L57" s="62" t="str">
        <f t="shared" si="34"/>
        <v/>
      </c>
      <c r="M57" s="62" t="str">
        <f t="shared" si="35"/>
        <v/>
      </c>
      <c r="N57" s="62" t="str">
        <f t="shared" si="36"/>
        <v/>
      </c>
      <c r="O57" s="61" t="str">
        <f t="shared" si="37"/>
        <v/>
      </c>
      <c r="P57" s="61">
        <v>55</v>
      </c>
      <c r="Q57" s="62" t="str">
        <f t="shared" si="38"/>
        <v/>
      </c>
      <c r="R57" s="61" t="str">
        <f t="shared" si="39"/>
        <v/>
      </c>
      <c r="S57" s="62" t="str">
        <f t="shared" si="40"/>
        <v/>
      </c>
      <c r="T57" s="62" t="str">
        <f t="shared" si="41"/>
        <v/>
      </c>
      <c r="U57" s="61" t="str">
        <f t="shared" si="42"/>
        <v/>
      </c>
      <c r="AB57" s="61">
        <f t="shared" si="43"/>
        <v>0</v>
      </c>
      <c r="AC57" s="61" t="str">
        <f>IF(AB57=1,SUM(AB$3:AB57),"")</f>
        <v/>
      </c>
      <c r="AD57" s="62" t="str">
        <f t="shared" si="44"/>
        <v/>
      </c>
      <c r="AE57" s="61" t="str">
        <f t="shared" si="45"/>
        <v/>
      </c>
      <c r="AF57" s="61" t="str">
        <f t="shared" si="46"/>
        <v/>
      </c>
      <c r="AG57" s="61" t="str">
        <f t="shared" si="47"/>
        <v/>
      </c>
      <c r="AH57" s="62" t="str">
        <f t="shared" si="48"/>
        <v/>
      </c>
      <c r="AI57" s="62" t="str">
        <f t="shared" si="49"/>
        <v/>
      </c>
      <c r="AJ57" s="62" t="str">
        <f t="shared" si="50"/>
        <v/>
      </c>
      <c r="AK57" s="61" t="str">
        <f t="shared" si="51"/>
        <v/>
      </c>
      <c r="AL57" s="61" t="str">
        <f t="shared" si="52"/>
        <v/>
      </c>
      <c r="AM57" s="61" t="str">
        <f t="shared" si="53"/>
        <v/>
      </c>
      <c r="AN57" s="61">
        <v>55</v>
      </c>
      <c r="AO57" s="61" t="str">
        <f t="shared" si="54"/>
        <v/>
      </c>
      <c r="AP57" s="61" t="str">
        <f t="shared" si="55"/>
        <v/>
      </c>
      <c r="AQ57" s="62" t="str">
        <f t="shared" si="56"/>
        <v/>
      </c>
      <c r="AR57" s="62" t="str">
        <f t="shared" si="57"/>
        <v/>
      </c>
      <c r="AS57" s="62" t="str">
        <f t="shared" si="58"/>
        <v/>
      </c>
      <c r="AT57" s="61" t="str">
        <f t="shared" si="59"/>
        <v/>
      </c>
      <c r="AU57" s="61" t="str">
        <f t="shared" si="60"/>
        <v/>
      </c>
      <c r="AV57" s="61" t="str">
        <f t="shared" si="61"/>
        <v/>
      </c>
      <c r="AW57" s="62" t="str">
        <f>IF($AY57="","",IF($AK57="PKのみ",$AH57,CHOOSE(MOD($AY57-1,6)+1,12,17,22,27,32,37)))</f>
        <v/>
      </c>
      <c r="AX57" s="62" t="str">
        <f>IF($AY57="","",IF($AK57="PKのみ",CHOOSE(MOD($AY57-1,6)+1,12,17,22,27,32,37),$AI57))</f>
        <v/>
      </c>
      <c r="AY57" s="62" t="str">
        <f>IF($AK57="PKのみ",COUNTIFS($AK$3:$AK$62,"PKのみ",$AH$3:$AH$62,"&lt;"&amp;$AH57)+1,IF($AK57="梱包のみ",COUNTIFS($AK$3:$AK$62,"梱包のみ",$AI$3:$AI$62,"&lt;"&amp;$AI57)+1,""))</f>
        <v/>
      </c>
      <c r="BD57" s="62" t="str">
        <f>IF($AG57="","",IF(OR(AND(ISNUMBER($AH57),OR($AH57&lt;10,$AH57&gt;190)),AND(ISNUMBER($AI57),OR($AI57&lt;10,$AI57&gt;190))),1,0))</f>
        <v/>
      </c>
    </row>
    <row r="58" spans="1:64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1"/>
        <v>0</v>
      </c>
      <c r="I58" s="61" t="str">
        <f>IF(H58=1,SUM(H$3:H58),"")</f>
        <v/>
      </c>
      <c r="J58" s="62" t="str">
        <f t="shared" si="32"/>
        <v/>
      </c>
      <c r="K58" s="61" t="str">
        <f t="shared" si="33"/>
        <v/>
      </c>
      <c r="L58" s="62" t="str">
        <f t="shared" si="34"/>
        <v/>
      </c>
      <c r="M58" s="62" t="str">
        <f t="shared" si="35"/>
        <v/>
      </c>
      <c r="N58" s="62" t="str">
        <f t="shared" si="36"/>
        <v/>
      </c>
      <c r="O58" s="61" t="str">
        <f t="shared" si="37"/>
        <v/>
      </c>
      <c r="P58" s="61">
        <v>56</v>
      </c>
      <c r="Q58" s="62" t="str">
        <f t="shared" si="38"/>
        <v/>
      </c>
      <c r="R58" s="61" t="str">
        <f t="shared" si="39"/>
        <v/>
      </c>
      <c r="S58" s="62" t="str">
        <f t="shared" si="40"/>
        <v/>
      </c>
      <c r="T58" s="62" t="str">
        <f t="shared" si="41"/>
        <v/>
      </c>
      <c r="U58" s="61" t="str">
        <f t="shared" si="42"/>
        <v/>
      </c>
      <c r="AB58" s="61">
        <f t="shared" si="43"/>
        <v>0</v>
      </c>
      <c r="AC58" s="61" t="str">
        <f>IF(AB58=1,SUM(AB$3:AB58),"")</f>
        <v/>
      </c>
      <c r="AD58" s="62" t="str">
        <f t="shared" si="44"/>
        <v/>
      </c>
      <c r="AE58" s="61" t="str">
        <f t="shared" si="45"/>
        <v/>
      </c>
      <c r="AF58" s="61" t="str">
        <f t="shared" si="46"/>
        <v/>
      </c>
      <c r="AG58" s="61" t="str">
        <f t="shared" si="47"/>
        <v/>
      </c>
      <c r="AH58" s="62" t="str">
        <f t="shared" si="48"/>
        <v/>
      </c>
      <c r="AI58" s="62" t="str">
        <f t="shared" si="49"/>
        <v/>
      </c>
      <c r="AJ58" s="62" t="str">
        <f t="shared" si="50"/>
        <v/>
      </c>
      <c r="AK58" s="61" t="str">
        <f t="shared" si="51"/>
        <v/>
      </c>
      <c r="AL58" s="61" t="str">
        <f t="shared" si="52"/>
        <v/>
      </c>
      <c r="AM58" s="61" t="str">
        <f t="shared" si="53"/>
        <v/>
      </c>
      <c r="AN58" s="61">
        <v>56</v>
      </c>
      <c r="AO58" s="61" t="str">
        <f t="shared" si="54"/>
        <v/>
      </c>
      <c r="AP58" s="61" t="str">
        <f t="shared" si="55"/>
        <v/>
      </c>
      <c r="AQ58" s="62" t="str">
        <f t="shared" si="56"/>
        <v/>
      </c>
      <c r="AR58" s="62" t="str">
        <f t="shared" si="57"/>
        <v/>
      </c>
      <c r="AS58" s="62" t="str">
        <f t="shared" si="58"/>
        <v/>
      </c>
      <c r="AT58" s="61" t="str">
        <f t="shared" si="59"/>
        <v/>
      </c>
      <c r="AU58" s="61" t="str">
        <f t="shared" si="60"/>
        <v/>
      </c>
      <c r="AV58" s="61" t="str">
        <f t="shared" si="61"/>
        <v/>
      </c>
      <c r="AW58" s="62" t="str">
        <f>IF($AY58="","",IF($AK58="PKのみ",$AH58,CHOOSE(MOD($AY58-1,6)+1,12,17,22,27,32,37)))</f>
        <v/>
      </c>
      <c r="AX58" s="62" t="str">
        <f>IF($AY58="","",IF($AK58="PKのみ",CHOOSE(MOD($AY58-1,6)+1,12,17,22,27,32,37),$AI58))</f>
        <v/>
      </c>
      <c r="AY58" s="62" t="str">
        <f>IF($AK58="PKのみ",COUNTIFS($AK$3:$AK$62,"PKのみ",$AH$3:$AH$62,"&lt;"&amp;$AH58)+1,IF($AK58="梱包のみ",COUNTIFS($AK$3:$AK$62,"梱包のみ",$AI$3:$AI$62,"&lt;"&amp;$AI58)+1,""))</f>
        <v/>
      </c>
      <c r="BD58" s="62" t="str">
        <f>IF($AG58="","",IF(OR(AND(ISNUMBER($AH58),OR($AH58&lt;10,$AH58&gt;190)),AND(ISNUMBER($AI58),OR($AI58&lt;10,$AI58&gt;190))),1,0))</f>
        <v/>
      </c>
    </row>
    <row r="59" spans="1:64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1"/>
        <v>0</v>
      </c>
      <c r="I59" s="61" t="str">
        <f>IF(H59=1,SUM(H$3:H59),"")</f>
        <v/>
      </c>
      <c r="J59" s="62" t="str">
        <f t="shared" si="32"/>
        <v/>
      </c>
      <c r="K59" s="61" t="str">
        <f t="shared" si="33"/>
        <v/>
      </c>
      <c r="L59" s="62" t="str">
        <f t="shared" si="34"/>
        <v/>
      </c>
      <c r="M59" s="62" t="str">
        <f t="shared" si="35"/>
        <v/>
      </c>
      <c r="N59" s="62" t="str">
        <f t="shared" si="36"/>
        <v/>
      </c>
      <c r="O59" s="61" t="str">
        <f t="shared" si="37"/>
        <v/>
      </c>
      <c r="P59" s="61">
        <v>57</v>
      </c>
      <c r="Q59" s="62" t="str">
        <f t="shared" si="38"/>
        <v/>
      </c>
      <c r="R59" s="61" t="str">
        <f t="shared" si="39"/>
        <v/>
      </c>
      <c r="S59" s="62" t="str">
        <f t="shared" si="40"/>
        <v/>
      </c>
      <c r="T59" s="62" t="str">
        <f t="shared" si="41"/>
        <v/>
      </c>
      <c r="U59" s="61" t="str">
        <f t="shared" si="42"/>
        <v/>
      </c>
      <c r="AB59" s="61">
        <f t="shared" si="43"/>
        <v>0</v>
      </c>
      <c r="AC59" s="61" t="str">
        <f>IF(AB59=1,SUM(AB$3:AB59),"")</f>
        <v/>
      </c>
      <c r="AD59" s="62" t="str">
        <f t="shared" si="44"/>
        <v/>
      </c>
      <c r="AE59" s="61" t="str">
        <f t="shared" si="45"/>
        <v/>
      </c>
      <c r="AF59" s="61" t="str">
        <f t="shared" si="46"/>
        <v/>
      </c>
      <c r="AG59" s="61" t="str">
        <f t="shared" si="47"/>
        <v/>
      </c>
      <c r="AH59" s="62" t="str">
        <f t="shared" si="48"/>
        <v/>
      </c>
      <c r="AI59" s="62" t="str">
        <f t="shared" si="49"/>
        <v/>
      </c>
      <c r="AJ59" s="62" t="str">
        <f t="shared" si="50"/>
        <v/>
      </c>
      <c r="AK59" s="61" t="str">
        <f t="shared" si="51"/>
        <v/>
      </c>
      <c r="AL59" s="61" t="str">
        <f t="shared" si="52"/>
        <v/>
      </c>
      <c r="AM59" s="61" t="str">
        <f t="shared" si="53"/>
        <v/>
      </c>
      <c r="AN59" s="61">
        <v>57</v>
      </c>
      <c r="AO59" s="61" t="str">
        <f t="shared" si="54"/>
        <v/>
      </c>
      <c r="AP59" s="61" t="str">
        <f t="shared" si="55"/>
        <v/>
      </c>
      <c r="AQ59" s="62" t="str">
        <f t="shared" si="56"/>
        <v/>
      </c>
      <c r="AR59" s="62" t="str">
        <f t="shared" si="57"/>
        <v/>
      </c>
      <c r="AS59" s="62" t="str">
        <f t="shared" si="58"/>
        <v/>
      </c>
      <c r="AT59" s="61" t="str">
        <f t="shared" si="59"/>
        <v/>
      </c>
      <c r="AU59" s="61" t="str">
        <f t="shared" si="60"/>
        <v/>
      </c>
      <c r="AV59" s="61" t="str">
        <f t="shared" si="61"/>
        <v/>
      </c>
      <c r="AW59" s="62" t="str">
        <f>IF($AY59="","",IF($AK59="PKのみ",$AH59,CHOOSE(MOD($AY59-1,6)+1,12,17,22,27,32,37)))</f>
        <v/>
      </c>
      <c r="AX59" s="62" t="str">
        <f>IF($AY59="","",IF($AK59="PKのみ",CHOOSE(MOD($AY59-1,6)+1,12,17,22,27,32,37),$AI59))</f>
        <v/>
      </c>
      <c r="AY59" s="62" t="str">
        <f>IF($AK59="PKのみ",COUNTIFS($AK$3:$AK$62,"PKのみ",$AH$3:$AH$62,"&lt;"&amp;$AH59)+1,IF($AK59="梱包のみ",COUNTIFS($AK$3:$AK$62,"梱包のみ",$AI$3:$AI$62,"&lt;"&amp;$AI59)+1,""))</f>
        <v/>
      </c>
      <c r="BD59" s="62" t="str">
        <f>IF($AG59="","",IF(OR(AND(ISNUMBER($AH59),OR($AH59&lt;10,$AH59&gt;190)),AND(ISNUMBER($AI59),OR($AI59&lt;10,$AI59&gt;190))),1,0))</f>
        <v/>
      </c>
    </row>
    <row r="60" spans="1:64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1"/>
        <v>0</v>
      </c>
      <c r="I60" s="61" t="str">
        <f>IF(H60=1,SUM(H$3:H60),"")</f>
        <v/>
      </c>
      <c r="J60" s="62" t="str">
        <f t="shared" si="32"/>
        <v/>
      </c>
      <c r="K60" s="61" t="str">
        <f t="shared" si="33"/>
        <v/>
      </c>
      <c r="L60" s="62" t="str">
        <f t="shared" si="34"/>
        <v/>
      </c>
      <c r="M60" s="62" t="str">
        <f t="shared" si="35"/>
        <v/>
      </c>
      <c r="N60" s="62" t="str">
        <f t="shared" si="36"/>
        <v/>
      </c>
      <c r="O60" s="61" t="str">
        <f t="shared" si="37"/>
        <v/>
      </c>
      <c r="P60" s="61">
        <v>58</v>
      </c>
      <c r="Q60" s="62" t="str">
        <f t="shared" si="38"/>
        <v/>
      </c>
      <c r="R60" s="61" t="str">
        <f t="shared" si="39"/>
        <v/>
      </c>
      <c r="S60" s="62" t="str">
        <f t="shared" si="40"/>
        <v/>
      </c>
      <c r="T60" s="62" t="str">
        <f t="shared" si="41"/>
        <v/>
      </c>
      <c r="U60" s="61" t="str">
        <f t="shared" si="42"/>
        <v/>
      </c>
      <c r="AB60" s="61">
        <f t="shared" si="43"/>
        <v>0</v>
      </c>
      <c r="AC60" s="61" t="str">
        <f>IF(AB60=1,SUM(AB$3:AB60),"")</f>
        <v/>
      </c>
      <c r="AD60" s="62" t="str">
        <f t="shared" si="44"/>
        <v/>
      </c>
      <c r="AE60" s="61" t="str">
        <f t="shared" si="45"/>
        <v/>
      </c>
      <c r="AF60" s="61" t="str">
        <f t="shared" si="46"/>
        <v/>
      </c>
      <c r="AG60" s="61" t="str">
        <f t="shared" si="47"/>
        <v/>
      </c>
      <c r="AH60" s="62" t="str">
        <f t="shared" si="48"/>
        <v/>
      </c>
      <c r="AI60" s="62" t="str">
        <f t="shared" si="49"/>
        <v/>
      </c>
      <c r="AJ60" s="62" t="str">
        <f t="shared" si="50"/>
        <v/>
      </c>
      <c r="AK60" s="61" t="str">
        <f t="shared" si="51"/>
        <v/>
      </c>
      <c r="AL60" s="61" t="str">
        <f t="shared" si="52"/>
        <v/>
      </c>
      <c r="AM60" s="61" t="str">
        <f t="shared" si="53"/>
        <v/>
      </c>
      <c r="AN60" s="61">
        <v>58</v>
      </c>
      <c r="AO60" s="61" t="str">
        <f t="shared" si="54"/>
        <v/>
      </c>
      <c r="AP60" s="61" t="str">
        <f t="shared" si="55"/>
        <v/>
      </c>
      <c r="AQ60" s="62" t="str">
        <f t="shared" si="56"/>
        <v/>
      </c>
      <c r="AR60" s="62" t="str">
        <f t="shared" si="57"/>
        <v/>
      </c>
      <c r="AS60" s="62" t="str">
        <f t="shared" si="58"/>
        <v/>
      </c>
      <c r="AT60" s="61" t="str">
        <f t="shared" si="59"/>
        <v/>
      </c>
      <c r="AU60" s="61" t="str">
        <f t="shared" si="60"/>
        <v/>
      </c>
      <c r="AV60" s="61" t="str">
        <f t="shared" si="61"/>
        <v/>
      </c>
      <c r="AW60" s="62" t="str">
        <f>IF($AY60="","",IF($AK60="PKのみ",$AH60,CHOOSE(MOD($AY60-1,6)+1,12,17,22,27,32,37)))</f>
        <v/>
      </c>
      <c r="AX60" s="62" t="str">
        <f>IF($AY60="","",IF($AK60="PKのみ",CHOOSE(MOD($AY60-1,6)+1,12,17,22,27,32,37),$AI60))</f>
        <v/>
      </c>
      <c r="AY60" s="62" t="str">
        <f>IF($AK60="PKのみ",COUNTIFS($AK$3:$AK$62,"PKのみ",$AH$3:$AH$62,"&lt;"&amp;$AH60)+1,IF($AK60="梱包のみ",COUNTIFS($AK$3:$AK$62,"梱包のみ",$AI$3:$AI$62,"&lt;"&amp;$AI60)+1,""))</f>
        <v/>
      </c>
      <c r="BD60" s="62" t="str">
        <f>IF($AG60="","",IF(OR(AND(ISNUMBER($AH60),OR($AH60&lt;10,$AH60&gt;190)),AND(ISNUMBER($AI60),OR($AI60&lt;10,$AI60&gt;190))),1,0))</f>
        <v/>
      </c>
    </row>
    <row r="61" spans="1:64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1"/>
        <v>0</v>
      </c>
      <c r="I61" s="61" t="str">
        <f>IF(H61=1,SUM(H$3:H61),"")</f>
        <v/>
      </c>
      <c r="J61" s="62" t="str">
        <f t="shared" si="32"/>
        <v/>
      </c>
      <c r="K61" s="61" t="str">
        <f t="shared" si="33"/>
        <v/>
      </c>
      <c r="L61" s="62" t="str">
        <f t="shared" si="34"/>
        <v/>
      </c>
      <c r="M61" s="62" t="str">
        <f t="shared" si="35"/>
        <v/>
      </c>
      <c r="N61" s="62" t="str">
        <f t="shared" si="36"/>
        <v/>
      </c>
      <c r="O61" s="61" t="str">
        <f t="shared" si="37"/>
        <v/>
      </c>
      <c r="P61" s="61">
        <v>59</v>
      </c>
      <c r="Q61" s="62" t="str">
        <f t="shared" si="38"/>
        <v/>
      </c>
      <c r="R61" s="61" t="str">
        <f t="shared" si="39"/>
        <v/>
      </c>
      <c r="S61" s="62" t="str">
        <f t="shared" si="40"/>
        <v/>
      </c>
      <c r="T61" s="62" t="str">
        <f t="shared" si="41"/>
        <v/>
      </c>
      <c r="U61" s="61" t="str">
        <f t="shared" si="42"/>
        <v/>
      </c>
      <c r="AB61" s="61">
        <f t="shared" si="43"/>
        <v>0</v>
      </c>
      <c r="AC61" s="61" t="str">
        <f>IF(AB61=1,SUM(AB$3:AB61),"")</f>
        <v/>
      </c>
      <c r="AD61" s="62" t="str">
        <f t="shared" si="44"/>
        <v/>
      </c>
      <c r="AE61" s="61" t="str">
        <f t="shared" si="45"/>
        <v/>
      </c>
      <c r="AF61" s="61" t="str">
        <f t="shared" si="46"/>
        <v/>
      </c>
      <c r="AG61" s="61" t="str">
        <f t="shared" si="47"/>
        <v/>
      </c>
      <c r="AH61" s="62" t="str">
        <f t="shared" si="48"/>
        <v/>
      </c>
      <c r="AI61" s="62" t="str">
        <f t="shared" si="49"/>
        <v/>
      </c>
      <c r="AJ61" s="62" t="str">
        <f t="shared" si="50"/>
        <v/>
      </c>
      <c r="AK61" s="61" t="str">
        <f t="shared" si="51"/>
        <v/>
      </c>
      <c r="AL61" s="61" t="str">
        <f t="shared" si="52"/>
        <v/>
      </c>
      <c r="AM61" s="61" t="str">
        <f t="shared" si="53"/>
        <v/>
      </c>
      <c r="AN61" s="61">
        <v>59</v>
      </c>
      <c r="AO61" s="61" t="str">
        <f t="shared" si="54"/>
        <v/>
      </c>
      <c r="AP61" s="61" t="str">
        <f t="shared" si="55"/>
        <v/>
      </c>
      <c r="AQ61" s="62" t="str">
        <f t="shared" si="56"/>
        <v/>
      </c>
      <c r="AR61" s="62" t="str">
        <f t="shared" si="57"/>
        <v/>
      </c>
      <c r="AS61" s="62" t="str">
        <f t="shared" si="58"/>
        <v/>
      </c>
      <c r="AT61" s="61" t="str">
        <f t="shared" si="59"/>
        <v/>
      </c>
      <c r="AU61" s="61" t="str">
        <f t="shared" si="60"/>
        <v/>
      </c>
      <c r="AV61" s="61" t="str">
        <f t="shared" si="61"/>
        <v/>
      </c>
      <c r="AW61" s="62" t="str">
        <f>IF($AY61="","",IF($AK61="PKのみ",$AH61,CHOOSE(MOD($AY61-1,6)+1,12,17,22,27,32,37)))</f>
        <v/>
      </c>
      <c r="AX61" s="62" t="str">
        <f>IF($AY61="","",IF($AK61="PKのみ",CHOOSE(MOD($AY61-1,6)+1,12,17,22,27,32,37),$AI61))</f>
        <v/>
      </c>
      <c r="AY61" s="62" t="str">
        <f>IF($AK61="PKのみ",COUNTIFS($AK$3:$AK$62,"PKのみ",$AH$3:$AH$62,"&lt;"&amp;$AH61)+1,IF($AK61="梱包のみ",COUNTIFS($AK$3:$AK$62,"梱包のみ",$AI$3:$AI$62,"&lt;"&amp;$AI61)+1,""))</f>
        <v/>
      </c>
      <c r="BD61" s="62" t="str">
        <f>IF($AG61="","",IF(OR(AND(ISNUMBER($AH61),OR($AH61&lt;10,$AH61&gt;190)),AND(ISNUMBER($AI61),OR($AI61&lt;10,$AI61&gt;190))),1,0))</f>
        <v/>
      </c>
    </row>
    <row r="62" spans="1:64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1"/>
        <v>0</v>
      </c>
      <c r="I62" s="61" t="str">
        <f>IF(H62=1,SUM(H$3:H62),"")</f>
        <v/>
      </c>
      <c r="J62" s="62" t="str">
        <f t="shared" si="32"/>
        <v/>
      </c>
      <c r="K62" s="61" t="str">
        <f t="shared" si="33"/>
        <v/>
      </c>
      <c r="L62" s="62" t="str">
        <f t="shared" si="34"/>
        <v/>
      </c>
      <c r="M62" s="62" t="str">
        <f t="shared" si="35"/>
        <v/>
      </c>
      <c r="N62" s="62" t="str">
        <f t="shared" si="36"/>
        <v/>
      </c>
      <c r="O62" s="61" t="str">
        <f t="shared" si="37"/>
        <v/>
      </c>
      <c r="P62" s="61">
        <v>60</v>
      </c>
      <c r="Q62" s="62" t="str">
        <f t="shared" si="38"/>
        <v/>
      </c>
      <c r="R62" s="61" t="str">
        <f t="shared" si="39"/>
        <v/>
      </c>
      <c r="S62" s="62" t="str">
        <f t="shared" si="40"/>
        <v/>
      </c>
      <c r="T62" s="62" t="str">
        <f t="shared" si="41"/>
        <v/>
      </c>
      <c r="U62" s="61" t="str">
        <f t="shared" si="42"/>
        <v/>
      </c>
      <c r="AB62" s="61">
        <f t="shared" si="43"/>
        <v>0</v>
      </c>
      <c r="AC62" s="61" t="str">
        <f>IF(AB62=1,SUM(AB$3:AB62),"")</f>
        <v/>
      </c>
      <c r="AD62" s="62" t="str">
        <f t="shared" si="44"/>
        <v/>
      </c>
      <c r="AE62" s="61" t="str">
        <f t="shared" si="45"/>
        <v/>
      </c>
      <c r="AF62" s="61" t="str">
        <f t="shared" si="46"/>
        <v/>
      </c>
      <c r="AG62" s="61" t="str">
        <f t="shared" si="47"/>
        <v/>
      </c>
      <c r="AH62" s="62" t="str">
        <f t="shared" si="48"/>
        <v/>
      </c>
      <c r="AI62" s="62" t="str">
        <f t="shared" si="49"/>
        <v/>
      </c>
      <c r="AJ62" s="62" t="str">
        <f t="shared" si="50"/>
        <v/>
      </c>
      <c r="AK62" s="61" t="str">
        <f t="shared" si="51"/>
        <v/>
      </c>
      <c r="AL62" s="61" t="str">
        <f t="shared" si="52"/>
        <v/>
      </c>
      <c r="AM62" s="61" t="str">
        <f t="shared" si="53"/>
        <v/>
      </c>
      <c r="AN62" s="61">
        <v>60</v>
      </c>
      <c r="AO62" s="61" t="str">
        <f t="shared" si="54"/>
        <v/>
      </c>
      <c r="AP62" s="61" t="str">
        <f t="shared" si="55"/>
        <v/>
      </c>
      <c r="AQ62" s="62" t="str">
        <f t="shared" si="56"/>
        <v/>
      </c>
      <c r="AR62" s="62" t="str">
        <f t="shared" si="57"/>
        <v/>
      </c>
      <c r="AS62" s="62" t="str">
        <f t="shared" si="58"/>
        <v/>
      </c>
      <c r="AT62" s="61" t="str">
        <f t="shared" si="59"/>
        <v/>
      </c>
      <c r="AU62" s="61" t="str">
        <f t="shared" si="60"/>
        <v/>
      </c>
      <c r="AV62" s="61" t="str">
        <f t="shared" si="61"/>
        <v/>
      </c>
      <c r="AW62" s="62" t="str">
        <f>IF($AY62="","",IF($AK62="PKのみ",$AH62,CHOOSE(MOD($AY62-1,6)+1,12,17,22,27,32,37)))</f>
        <v/>
      </c>
      <c r="AX62" s="62" t="str">
        <f>IF($AY62="","",IF($AK62="PKのみ",CHOOSE(MOD($AY62-1,6)+1,12,17,22,27,32,37),$AI62))</f>
        <v/>
      </c>
      <c r="AY62" s="62" t="str">
        <f>IF($AK62="PKのみ",COUNTIFS($AK$3:$AK$62,"PKのみ",$AH$3:$AH$62,"&lt;"&amp;$AH62)+1,IF($AK62="梱包のみ",COUNTIFS($AK$3:$AK$62,"梱包のみ",$AI$3:$AI$62,"&lt;"&amp;$AI62)+1,""))</f>
        <v/>
      </c>
      <c r="BD62" s="62" t="str">
        <f>IF($AG62="","",IF(OR(AND(ISNUMBER($AH62),OR($AH62&lt;10,$AH62&gt;190)),AND(ISNUMBER($AI62),OR($AI62&lt;10,$AI62&gt;190))),1,0))</f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</vt:i4>
      </vt:variant>
    </vt:vector>
  </HeadingPairs>
  <TitlesOfParts>
    <vt:vector size="13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dcterms:created xsi:type="dcterms:W3CDTF">2026-08-07T01:30:59Z</dcterms:created>
  <dcterms:modified xsi:type="dcterms:W3CDTF">2026-08-18T01:53:49Z</dcterms:modified>
</cp:coreProperties>
</file>