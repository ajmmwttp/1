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BA362534-CF1C-434D-BD84-D162894799D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印刷用!$A$1:$AA$63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62" i="12" l="1"/>
  <c r="AE62" i="12"/>
  <c r="AD62" i="12"/>
  <c r="AC62" i="12"/>
  <c r="AB62" i="12"/>
  <c r="J62" i="12"/>
  <c r="I62" i="12"/>
  <c r="H62" i="12"/>
  <c r="G62" i="12"/>
  <c r="F62" i="12"/>
  <c r="E62" i="12"/>
  <c r="D62" i="12"/>
  <c r="C62" i="12"/>
  <c r="B62" i="12"/>
  <c r="A62" i="12"/>
  <c r="AF61" i="12"/>
  <c r="AE61" i="12"/>
  <c r="AD61" i="12"/>
  <c r="AC61" i="12"/>
  <c r="AB61" i="12"/>
  <c r="J61" i="12"/>
  <c r="I61" i="12"/>
  <c r="H61" i="12"/>
  <c r="G61" i="12"/>
  <c r="F61" i="12"/>
  <c r="E61" i="12"/>
  <c r="D61" i="12"/>
  <c r="C61" i="12"/>
  <c r="B61" i="12"/>
  <c r="A61" i="12"/>
  <c r="AF60" i="12"/>
  <c r="AE60" i="12"/>
  <c r="AD60" i="12"/>
  <c r="AC60" i="12"/>
  <c r="AB60" i="12"/>
  <c r="J60" i="12"/>
  <c r="I60" i="12"/>
  <c r="H60" i="12"/>
  <c r="G60" i="12"/>
  <c r="F60" i="12"/>
  <c r="E60" i="12"/>
  <c r="D60" i="12"/>
  <c r="C60" i="12"/>
  <c r="B60" i="12"/>
  <c r="A60" i="12"/>
  <c r="AF59" i="12"/>
  <c r="AE59" i="12"/>
  <c r="AD59" i="12"/>
  <c r="AC59" i="12"/>
  <c r="AB59" i="12"/>
  <c r="J59" i="12"/>
  <c r="I59" i="12"/>
  <c r="H59" i="12"/>
  <c r="G59" i="12"/>
  <c r="F59" i="12"/>
  <c r="E59" i="12"/>
  <c r="D59" i="12"/>
  <c r="C59" i="12"/>
  <c r="B59" i="12"/>
  <c r="A59" i="12"/>
  <c r="AF58" i="12"/>
  <c r="AE58" i="12"/>
  <c r="AD58" i="12"/>
  <c r="AC58" i="12"/>
  <c r="AB58" i="12"/>
  <c r="J58" i="12"/>
  <c r="I58" i="12"/>
  <c r="H58" i="12"/>
  <c r="G58" i="12"/>
  <c r="F58" i="12"/>
  <c r="E58" i="12"/>
  <c r="D58" i="12"/>
  <c r="C58" i="12"/>
  <c r="B58" i="12"/>
  <c r="A58" i="12"/>
  <c r="AF57" i="12"/>
  <c r="AE57" i="12"/>
  <c r="AD57" i="12"/>
  <c r="AC57" i="12"/>
  <c r="AB57" i="12"/>
  <c r="J57" i="12"/>
  <c r="I57" i="12"/>
  <c r="H57" i="12"/>
  <c r="G57" i="12"/>
  <c r="F57" i="12"/>
  <c r="E57" i="12"/>
  <c r="D57" i="12"/>
  <c r="C57" i="12"/>
  <c r="B57" i="12"/>
  <c r="A57" i="12"/>
  <c r="AF56" i="12"/>
  <c r="AE56" i="12"/>
  <c r="AD56" i="12"/>
  <c r="AC56" i="12"/>
  <c r="AB56" i="12"/>
  <c r="J56" i="12"/>
  <c r="I56" i="12"/>
  <c r="H56" i="12"/>
  <c r="G56" i="12"/>
  <c r="F56" i="12"/>
  <c r="E56" i="12"/>
  <c r="D56" i="12"/>
  <c r="C56" i="12"/>
  <c r="B56" i="12"/>
  <c r="A56" i="12"/>
  <c r="AF55" i="12"/>
  <c r="AE55" i="12"/>
  <c r="AD55" i="12"/>
  <c r="AC55" i="12"/>
  <c r="AB55" i="12"/>
  <c r="J55" i="12"/>
  <c r="I55" i="12"/>
  <c r="H55" i="12"/>
  <c r="G55" i="12"/>
  <c r="F55" i="12"/>
  <c r="E55" i="12"/>
  <c r="D55" i="12"/>
  <c r="C55" i="12"/>
  <c r="B55" i="12"/>
  <c r="A55" i="12"/>
  <c r="AF54" i="12"/>
  <c r="AE54" i="12"/>
  <c r="AD54" i="12"/>
  <c r="AC54" i="12"/>
  <c r="AB54" i="12"/>
  <c r="J54" i="12"/>
  <c r="I54" i="12"/>
  <c r="H54" i="12"/>
  <c r="G54" i="12"/>
  <c r="F54" i="12"/>
  <c r="E54" i="12"/>
  <c r="D54" i="12"/>
  <c r="C54" i="12"/>
  <c r="B54" i="12"/>
  <c r="A54" i="12"/>
  <c r="AF53" i="12"/>
  <c r="AE53" i="12"/>
  <c r="AD53" i="12"/>
  <c r="AC53" i="12"/>
  <c r="AB53" i="12"/>
  <c r="J53" i="12"/>
  <c r="I53" i="12"/>
  <c r="H53" i="12"/>
  <c r="G53" i="12"/>
  <c r="F53" i="12"/>
  <c r="E53" i="12"/>
  <c r="D53" i="12"/>
  <c r="C53" i="12"/>
  <c r="B53" i="12"/>
  <c r="A53" i="12"/>
  <c r="AF52" i="12"/>
  <c r="AE52" i="12"/>
  <c r="AD52" i="12"/>
  <c r="AC52" i="12"/>
  <c r="AB52" i="12"/>
  <c r="J52" i="12"/>
  <c r="I52" i="12"/>
  <c r="H52" i="12"/>
  <c r="G52" i="12"/>
  <c r="F52" i="12"/>
  <c r="E52" i="12"/>
  <c r="D52" i="12"/>
  <c r="C52" i="12"/>
  <c r="B52" i="12"/>
  <c r="A52" i="12"/>
  <c r="AF51" i="12"/>
  <c r="AE51" i="12"/>
  <c r="AD51" i="12"/>
  <c r="AC51" i="12"/>
  <c r="AB51" i="12"/>
  <c r="J51" i="12"/>
  <c r="I51" i="12"/>
  <c r="H51" i="12"/>
  <c r="G51" i="12"/>
  <c r="F51" i="12"/>
  <c r="E51" i="12"/>
  <c r="D51" i="12"/>
  <c r="C51" i="12"/>
  <c r="B51" i="12"/>
  <c r="A51" i="12"/>
  <c r="AF50" i="12"/>
  <c r="AE50" i="12"/>
  <c r="AD50" i="12"/>
  <c r="AC50" i="12"/>
  <c r="AB50" i="12"/>
  <c r="J50" i="12"/>
  <c r="I50" i="12"/>
  <c r="H50" i="12"/>
  <c r="G50" i="12"/>
  <c r="F50" i="12"/>
  <c r="E50" i="12"/>
  <c r="D50" i="12"/>
  <c r="C50" i="12"/>
  <c r="B50" i="12"/>
  <c r="A50" i="12"/>
  <c r="AF49" i="12"/>
  <c r="AE49" i="12"/>
  <c r="AD49" i="12"/>
  <c r="AC49" i="12"/>
  <c r="AB49" i="12"/>
  <c r="J49" i="12"/>
  <c r="I49" i="12"/>
  <c r="H49" i="12"/>
  <c r="G49" i="12"/>
  <c r="F49" i="12"/>
  <c r="E49" i="12"/>
  <c r="D49" i="12"/>
  <c r="C49" i="12"/>
  <c r="B49" i="12"/>
  <c r="A49" i="12"/>
  <c r="AF48" i="12"/>
  <c r="AE48" i="12"/>
  <c r="AD48" i="12"/>
  <c r="AC48" i="12"/>
  <c r="AB48" i="12"/>
  <c r="J48" i="12"/>
  <c r="I48" i="12"/>
  <c r="H48" i="12"/>
  <c r="G48" i="12"/>
  <c r="F48" i="12"/>
  <c r="E48" i="12"/>
  <c r="D48" i="12"/>
  <c r="C48" i="12"/>
  <c r="B48" i="12"/>
  <c r="A48" i="12"/>
  <c r="AF47" i="12"/>
  <c r="AE47" i="12"/>
  <c r="AD47" i="12"/>
  <c r="AC47" i="12"/>
  <c r="AB47" i="12"/>
  <c r="J47" i="12"/>
  <c r="I47" i="12"/>
  <c r="H47" i="12"/>
  <c r="G47" i="12"/>
  <c r="F47" i="12"/>
  <c r="E47" i="12"/>
  <c r="D47" i="12"/>
  <c r="C47" i="12"/>
  <c r="B47" i="12"/>
  <c r="A47" i="12"/>
  <c r="AF46" i="12"/>
  <c r="AE46" i="12"/>
  <c r="AD46" i="12"/>
  <c r="AC46" i="12"/>
  <c r="AB46" i="12"/>
  <c r="J46" i="12"/>
  <c r="I46" i="12"/>
  <c r="H46" i="12"/>
  <c r="G46" i="12"/>
  <c r="F46" i="12"/>
  <c r="E46" i="12"/>
  <c r="D46" i="12"/>
  <c r="C46" i="12"/>
  <c r="B46" i="12"/>
  <c r="A46" i="12"/>
  <c r="AF45" i="12"/>
  <c r="AE45" i="12"/>
  <c r="AD45" i="12"/>
  <c r="AC45" i="12"/>
  <c r="AB45" i="12"/>
  <c r="J45" i="12"/>
  <c r="I45" i="12"/>
  <c r="H45" i="12"/>
  <c r="G45" i="12"/>
  <c r="F45" i="12"/>
  <c r="E45" i="12"/>
  <c r="D45" i="12"/>
  <c r="C45" i="12"/>
  <c r="B45" i="12"/>
  <c r="A45" i="12"/>
  <c r="AF44" i="12"/>
  <c r="AE44" i="12"/>
  <c r="AD44" i="12"/>
  <c r="AC44" i="12"/>
  <c r="AB44" i="12"/>
  <c r="J44" i="12"/>
  <c r="I44" i="12"/>
  <c r="H44" i="12"/>
  <c r="G44" i="12"/>
  <c r="F44" i="12"/>
  <c r="E44" i="12"/>
  <c r="D44" i="12"/>
  <c r="C44" i="12"/>
  <c r="B44" i="12"/>
  <c r="A44" i="12"/>
  <c r="AF43" i="12"/>
  <c r="AE43" i="12"/>
  <c r="AD43" i="12"/>
  <c r="AC43" i="12"/>
  <c r="AB43" i="12"/>
  <c r="J43" i="12"/>
  <c r="I43" i="12"/>
  <c r="H43" i="12"/>
  <c r="G43" i="12"/>
  <c r="F43" i="12"/>
  <c r="E43" i="12"/>
  <c r="D43" i="12"/>
  <c r="C43" i="12"/>
  <c r="B43" i="12"/>
  <c r="A43" i="12"/>
  <c r="AF42" i="12"/>
  <c r="AE42" i="12"/>
  <c r="AD42" i="12"/>
  <c r="AC42" i="12"/>
  <c r="AB42" i="12"/>
  <c r="J42" i="12"/>
  <c r="I42" i="12"/>
  <c r="H42" i="12"/>
  <c r="G42" i="12"/>
  <c r="F42" i="12"/>
  <c r="E42" i="12"/>
  <c r="D42" i="12"/>
  <c r="C42" i="12"/>
  <c r="B42" i="12"/>
  <c r="A42" i="12"/>
  <c r="AF41" i="12"/>
  <c r="AE41" i="12"/>
  <c r="AD41" i="12"/>
  <c r="AC41" i="12"/>
  <c r="AB41" i="12"/>
  <c r="J41" i="12"/>
  <c r="I41" i="12"/>
  <c r="H41" i="12"/>
  <c r="G41" i="12"/>
  <c r="F41" i="12"/>
  <c r="E41" i="12"/>
  <c r="D41" i="12"/>
  <c r="C41" i="12"/>
  <c r="B41" i="12"/>
  <c r="A41" i="12"/>
  <c r="AF40" i="12"/>
  <c r="AE40" i="12"/>
  <c r="AD40" i="12"/>
  <c r="AC40" i="12"/>
  <c r="AB40" i="12"/>
  <c r="J40" i="12"/>
  <c r="I40" i="12"/>
  <c r="H40" i="12"/>
  <c r="G40" i="12"/>
  <c r="F40" i="12"/>
  <c r="E40" i="12"/>
  <c r="D40" i="12"/>
  <c r="C40" i="12"/>
  <c r="B40" i="12"/>
  <c r="A40" i="12"/>
  <c r="AF39" i="12"/>
  <c r="AE39" i="12"/>
  <c r="AD39" i="12"/>
  <c r="AC39" i="12"/>
  <c r="AB39" i="12"/>
  <c r="J39" i="12"/>
  <c r="I39" i="12"/>
  <c r="H39" i="12"/>
  <c r="G39" i="12"/>
  <c r="F39" i="12"/>
  <c r="E39" i="12"/>
  <c r="D39" i="12"/>
  <c r="C39" i="12"/>
  <c r="B39" i="12"/>
  <c r="A39" i="12"/>
  <c r="AF38" i="12"/>
  <c r="AE38" i="12"/>
  <c r="AD38" i="12"/>
  <c r="AC38" i="12"/>
  <c r="AB38" i="12"/>
  <c r="J38" i="12"/>
  <c r="I38" i="12"/>
  <c r="H38" i="12"/>
  <c r="G38" i="12"/>
  <c r="F38" i="12"/>
  <c r="E38" i="12"/>
  <c r="D38" i="12"/>
  <c r="C38" i="12"/>
  <c r="B38" i="12"/>
  <c r="A38" i="12"/>
  <c r="AF37" i="12"/>
  <c r="AE37" i="12"/>
  <c r="AD37" i="12"/>
  <c r="AC37" i="12"/>
  <c r="AB37" i="12"/>
  <c r="J37" i="12"/>
  <c r="I37" i="12"/>
  <c r="H37" i="12"/>
  <c r="G37" i="12"/>
  <c r="F37" i="12"/>
  <c r="E37" i="12"/>
  <c r="D37" i="12"/>
  <c r="C37" i="12"/>
  <c r="B37" i="12"/>
  <c r="A37" i="12"/>
  <c r="AF36" i="12"/>
  <c r="AE36" i="12"/>
  <c r="AD36" i="12"/>
  <c r="AC36" i="12"/>
  <c r="AB36" i="12"/>
  <c r="J36" i="12"/>
  <c r="I36" i="12"/>
  <c r="H36" i="12"/>
  <c r="G36" i="12"/>
  <c r="F36" i="12"/>
  <c r="E36" i="12"/>
  <c r="D36" i="12"/>
  <c r="C36" i="12"/>
  <c r="B36" i="12"/>
  <c r="A36" i="12"/>
  <c r="AF35" i="12"/>
  <c r="AE35" i="12"/>
  <c r="AD35" i="12"/>
  <c r="AC35" i="12"/>
  <c r="AB35" i="12"/>
  <c r="J35" i="12"/>
  <c r="I35" i="12"/>
  <c r="H35" i="12"/>
  <c r="G35" i="12"/>
  <c r="F35" i="12"/>
  <c r="E35" i="12"/>
  <c r="D35" i="12"/>
  <c r="C35" i="12"/>
  <c r="B35" i="12"/>
  <c r="A35" i="12"/>
  <c r="AF34" i="12"/>
  <c r="AE34" i="12"/>
  <c r="AD34" i="12"/>
  <c r="AC34" i="12"/>
  <c r="AB34" i="12"/>
  <c r="J34" i="12"/>
  <c r="I34" i="12"/>
  <c r="H34" i="12"/>
  <c r="G34" i="12"/>
  <c r="F34" i="12"/>
  <c r="E34" i="12"/>
  <c r="D34" i="12"/>
  <c r="C34" i="12"/>
  <c r="B34" i="12"/>
  <c r="A34" i="12"/>
  <c r="AF33" i="12"/>
  <c r="AE33" i="12"/>
  <c r="AD33" i="12"/>
  <c r="AC33" i="12"/>
  <c r="AB33" i="12"/>
  <c r="J33" i="12"/>
  <c r="I33" i="12"/>
  <c r="H33" i="12"/>
  <c r="G33" i="12"/>
  <c r="F33" i="12"/>
  <c r="E33" i="12"/>
  <c r="D33" i="12"/>
  <c r="C33" i="12"/>
  <c r="B33" i="12"/>
  <c r="A33" i="12"/>
  <c r="AF32" i="12"/>
  <c r="AE32" i="12"/>
  <c r="AD32" i="12"/>
  <c r="AC32" i="12"/>
  <c r="AB32" i="12"/>
  <c r="J32" i="12"/>
  <c r="I32" i="12"/>
  <c r="H32" i="12"/>
  <c r="G32" i="12"/>
  <c r="F32" i="12"/>
  <c r="E32" i="12"/>
  <c r="D32" i="12"/>
  <c r="C32" i="12"/>
  <c r="B32" i="12"/>
  <c r="A32" i="12"/>
  <c r="AF31" i="12"/>
  <c r="AE31" i="12"/>
  <c r="AD31" i="12"/>
  <c r="AB31" i="12"/>
  <c r="J31" i="12"/>
  <c r="H31" i="12"/>
  <c r="G31" i="12"/>
  <c r="F31" i="12"/>
  <c r="E31" i="12"/>
  <c r="D31" i="12"/>
  <c r="C31" i="12"/>
  <c r="B31" i="12"/>
  <c r="A31" i="12"/>
  <c r="AF30" i="12"/>
  <c r="AE30" i="12"/>
  <c r="AD30" i="12"/>
  <c r="AB30" i="12"/>
  <c r="J30" i="12"/>
  <c r="I30" i="12"/>
  <c r="H30" i="12"/>
  <c r="G30" i="12"/>
  <c r="F30" i="12"/>
  <c r="E30" i="12"/>
  <c r="D30" i="12"/>
  <c r="C30" i="12"/>
  <c r="B30" i="12"/>
  <c r="A30" i="12"/>
  <c r="AF29" i="12"/>
  <c r="AE29" i="12"/>
  <c r="AD29" i="12"/>
  <c r="AB29" i="12"/>
  <c r="J29" i="12"/>
  <c r="I29" i="12"/>
  <c r="H29" i="12"/>
  <c r="G29" i="12"/>
  <c r="F29" i="12"/>
  <c r="E29" i="12"/>
  <c r="D29" i="12"/>
  <c r="C29" i="12"/>
  <c r="B29" i="12"/>
  <c r="A29" i="12"/>
  <c r="AF28" i="12"/>
  <c r="AE28" i="12"/>
  <c r="AD28" i="12"/>
  <c r="AB28" i="12"/>
  <c r="J28" i="12"/>
  <c r="I28" i="12"/>
  <c r="H28" i="12"/>
  <c r="G28" i="12"/>
  <c r="F28" i="12"/>
  <c r="E28" i="12"/>
  <c r="D28" i="12"/>
  <c r="C28" i="12"/>
  <c r="B28" i="12"/>
  <c r="A28" i="12"/>
  <c r="AF27" i="12"/>
  <c r="AE27" i="12"/>
  <c r="AD27" i="12"/>
  <c r="AB27" i="12"/>
  <c r="J27" i="12"/>
  <c r="I27" i="12"/>
  <c r="H27" i="12"/>
  <c r="G27" i="12"/>
  <c r="F27" i="12"/>
  <c r="E27" i="12"/>
  <c r="D27" i="12"/>
  <c r="C27" i="12"/>
  <c r="B27" i="12"/>
  <c r="A27" i="12"/>
  <c r="AF26" i="12"/>
  <c r="AE26" i="12"/>
  <c r="AD26" i="12"/>
  <c r="AB26" i="12"/>
  <c r="J26" i="12"/>
  <c r="H26" i="12"/>
  <c r="G26" i="12"/>
  <c r="F26" i="12"/>
  <c r="E26" i="12"/>
  <c r="D26" i="12"/>
  <c r="C26" i="12"/>
  <c r="B26" i="12"/>
  <c r="A26" i="12"/>
  <c r="AF25" i="12"/>
  <c r="AE25" i="12"/>
  <c r="AD25" i="12"/>
  <c r="AB25" i="12"/>
  <c r="J25" i="12"/>
  <c r="H25" i="12"/>
  <c r="G25" i="12"/>
  <c r="F25" i="12"/>
  <c r="E25" i="12"/>
  <c r="D25" i="12"/>
  <c r="C25" i="12"/>
  <c r="B25" i="12"/>
  <c r="A25" i="12"/>
  <c r="AF24" i="12"/>
  <c r="AE24" i="12"/>
  <c r="AD24" i="12"/>
  <c r="AB24" i="12"/>
  <c r="J24" i="12"/>
  <c r="I24" i="12"/>
  <c r="H24" i="12"/>
  <c r="G24" i="12"/>
  <c r="F24" i="12"/>
  <c r="E24" i="12"/>
  <c r="D24" i="12"/>
  <c r="C24" i="12"/>
  <c r="B24" i="12"/>
  <c r="A24" i="12"/>
  <c r="AF23" i="12"/>
  <c r="AE23" i="12"/>
  <c r="AD23" i="12"/>
  <c r="AB23" i="12"/>
  <c r="J23" i="12"/>
  <c r="I23" i="12"/>
  <c r="H23" i="12"/>
  <c r="G23" i="12"/>
  <c r="F23" i="12"/>
  <c r="E23" i="12"/>
  <c r="D23" i="12"/>
  <c r="C23" i="12"/>
  <c r="B23" i="12"/>
  <c r="A23" i="12"/>
  <c r="AF22" i="12"/>
  <c r="AE22" i="12"/>
  <c r="AD22" i="12"/>
  <c r="AB22" i="12"/>
  <c r="J22" i="12"/>
  <c r="I22" i="12"/>
  <c r="H22" i="12"/>
  <c r="G22" i="12"/>
  <c r="F22" i="12"/>
  <c r="E22" i="12"/>
  <c r="D22" i="12"/>
  <c r="C22" i="12"/>
  <c r="B22" i="12"/>
  <c r="A22" i="12"/>
  <c r="AF21" i="12"/>
  <c r="AE21" i="12"/>
  <c r="AD21" i="12"/>
  <c r="AB21" i="12"/>
  <c r="J21" i="12"/>
  <c r="H21" i="12"/>
  <c r="G21" i="12"/>
  <c r="F21" i="12"/>
  <c r="E21" i="12"/>
  <c r="D21" i="12"/>
  <c r="C21" i="12"/>
  <c r="B21" i="12"/>
  <c r="A21" i="12"/>
  <c r="AF20" i="12"/>
  <c r="AE20" i="12"/>
  <c r="AD20" i="12"/>
  <c r="AB20" i="12"/>
  <c r="J20" i="12"/>
  <c r="I20" i="12"/>
  <c r="H20" i="12"/>
  <c r="G20" i="12"/>
  <c r="F20" i="12"/>
  <c r="E20" i="12"/>
  <c r="D20" i="12"/>
  <c r="C20" i="12"/>
  <c r="B20" i="12"/>
  <c r="A20" i="12"/>
  <c r="AF19" i="12"/>
  <c r="AE19" i="12"/>
  <c r="AD19" i="12"/>
  <c r="AB19" i="12"/>
  <c r="J19" i="12"/>
  <c r="H19" i="12"/>
  <c r="G19" i="12"/>
  <c r="F19" i="12"/>
  <c r="E19" i="12"/>
  <c r="D19" i="12"/>
  <c r="C19" i="12"/>
  <c r="B19" i="12"/>
  <c r="A19" i="12"/>
  <c r="BL18" i="12"/>
  <c r="AF18" i="12"/>
  <c r="AE18" i="12"/>
  <c r="AD18" i="12"/>
  <c r="AB18" i="12"/>
  <c r="J18" i="12"/>
  <c r="H18" i="12"/>
  <c r="G18" i="12"/>
  <c r="F18" i="12"/>
  <c r="E18" i="12"/>
  <c r="D18" i="12"/>
  <c r="C18" i="12"/>
  <c r="B18" i="12"/>
  <c r="A18" i="12"/>
  <c r="AF17" i="12"/>
  <c r="AE17" i="12"/>
  <c r="AD17" i="12"/>
  <c r="AB17" i="12"/>
  <c r="J17" i="12"/>
  <c r="H17" i="12"/>
  <c r="G17" i="12"/>
  <c r="F17" i="12"/>
  <c r="E17" i="12"/>
  <c r="D17" i="12"/>
  <c r="C17" i="12"/>
  <c r="B17" i="12"/>
  <c r="A17" i="12"/>
  <c r="AF16" i="12"/>
  <c r="AE16" i="12"/>
  <c r="AD16" i="12"/>
  <c r="AB16" i="12"/>
  <c r="J16" i="12"/>
  <c r="I16" i="12"/>
  <c r="H16" i="12"/>
  <c r="G16" i="12"/>
  <c r="F16" i="12"/>
  <c r="E16" i="12"/>
  <c r="D16" i="12"/>
  <c r="C16" i="12"/>
  <c r="B16" i="12"/>
  <c r="A16" i="12"/>
  <c r="AF15" i="12"/>
  <c r="AE15" i="12"/>
  <c r="AD15" i="12"/>
  <c r="AB15" i="12"/>
  <c r="J15" i="12"/>
  <c r="H15" i="12"/>
  <c r="G15" i="12"/>
  <c r="F15" i="12"/>
  <c r="E15" i="12"/>
  <c r="D15" i="12"/>
  <c r="C15" i="12"/>
  <c r="B15" i="12"/>
  <c r="A15" i="12"/>
  <c r="BL14" i="12"/>
  <c r="AF14" i="12"/>
  <c r="AE14" i="12"/>
  <c r="AD14" i="12"/>
  <c r="AB14" i="12"/>
  <c r="J14" i="12"/>
  <c r="H14" i="12"/>
  <c r="G14" i="12"/>
  <c r="F14" i="12"/>
  <c r="E14" i="12"/>
  <c r="D14" i="12"/>
  <c r="C14" i="12"/>
  <c r="B14" i="12"/>
  <c r="A14" i="12"/>
  <c r="AF13" i="12"/>
  <c r="AE13" i="12"/>
  <c r="AD13" i="12"/>
  <c r="AB13" i="12"/>
  <c r="J13" i="12"/>
  <c r="H13" i="12"/>
  <c r="G13" i="12"/>
  <c r="F13" i="12"/>
  <c r="E13" i="12"/>
  <c r="D13" i="12"/>
  <c r="C13" i="12"/>
  <c r="B13" i="12"/>
  <c r="A13" i="12"/>
  <c r="AF12" i="12"/>
  <c r="AE12" i="12"/>
  <c r="AD12" i="12"/>
  <c r="AB12" i="12"/>
  <c r="J12" i="12"/>
  <c r="H12" i="12"/>
  <c r="G12" i="12"/>
  <c r="F12" i="12"/>
  <c r="E12" i="12"/>
  <c r="D12" i="12"/>
  <c r="C12" i="12"/>
  <c r="B12" i="12"/>
  <c r="A12" i="12"/>
  <c r="AF11" i="12"/>
  <c r="AE11" i="12"/>
  <c r="AD11" i="12"/>
  <c r="AB11" i="12"/>
  <c r="J11" i="12"/>
  <c r="H11" i="12"/>
  <c r="G11" i="12"/>
  <c r="F11" i="12"/>
  <c r="E11" i="12"/>
  <c r="D11" i="12"/>
  <c r="C11" i="12"/>
  <c r="B11" i="12"/>
  <c r="A11" i="12"/>
  <c r="AF10" i="12"/>
  <c r="AE10" i="12"/>
  <c r="AD10" i="12"/>
  <c r="AB10" i="12"/>
  <c r="J10" i="12"/>
  <c r="H10" i="12"/>
  <c r="G10" i="12"/>
  <c r="F10" i="12"/>
  <c r="E10" i="12"/>
  <c r="D10" i="12"/>
  <c r="C10" i="12"/>
  <c r="B10" i="12"/>
  <c r="A10" i="12"/>
  <c r="BL9" i="12"/>
  <c r="AF9" i="12"/>
  <c r="AE9" i="12"/>
  <c r="AD9" i="12"/>
  <c r="AB9" i="12"/>
  <c r="J9" i="12"/>
  <c r="H9" i="12"/>
  <c r="G9" i="12"/>
  <c r="F9" i="12"/>
  <c r="E9" i="12"/>
  <c r="D9" i="12"/>
  <c r="C9" i="12"/>
  <c r="B9" i="12"/>
  <c r="A9" i="12"/>
  <c r="AF8" i="12"/>
  <c r="AE8" i="12"/>
  <c r="AD8" i="12"/>
  <c r="AB8" i="12"/>
  <c r="J8" i="12"/>
  <c r="H8" i="12"/>
  <c r="G8" i="12"/>
  <c r="F8" i="12"/>
  <c r="E8" i="12"/>
  <c r="D8" i="12"/>
  <c r="C8" i="12"/>
  <c r="B8" i="12"/>
  <c r="A8" i="12"/>
  <c r="AF7" i="12"/>
  <c r="AE7" i="12"/>
  <c r="AD7" i="12"/>
  <c r="AB7" i="12"/>
  <c r="J7" i="12"/>
  <c r="I7" i="12"/>
  <c r="H7" i="12"/>
  <c r="G7" i="12"/>
  <c r="F7" i="12"/>
  <c r="E7" i="12"/>
  <c r="D7" i="12"/>
  <c r="C7" i="12"/>
  <c r="B7" i="12"/>
  <c r="A7" i="12"/>
  <c r="BL6" i="12"/>
  <c r="AF6" i="12"/>
  <c r="AE6" i="12"/>
  <c r="AD6" i="12"/>
  <c r="AB6" i="12"/>
  <c r="J6" i="12"/>
  <c r="H6" i="12"/>
  <c r="G6" i="12"/>
  <c r="F6" i="12"/>
  <c r="E6" i="12"/>
  <c r="D6" i="12"/>
  <c r="C6" i="12"/>
  <c r="B6" i="12"/>
  <c r="A6" i="12"/>
  <c r="BL5" i="12"/>
  <c r="G5" i="12"/>
  <c r="E5" i="12"/>
  <c r="D5" i="12"/>
  <c r="B5" i="12"/>
  <c r="A5" i="12"/>
  <c r="E4" i="12"/>
  <c r="A4" i="12"/>
  <c r="BL3" i="12"/>
  <c r="AL3" i="12"/>
  <c r="AK3" i="12"/>
  <c r="AY3" i="12" s="1"/>
  <c r="AJ3" i="12"/>
  <c r="AM3" i="12" s="1"/>
  <c r="AI3" i="12"/>
  <c r="AH3" i="12"/>
  <c r="AG3" i="12"/>
  <c r="AF3" i="12"/>
  <c r="AE3" i="12"/>
  <c r="AD3" i="12"/>
  <c r="AC3" i="12"/>
  <c r="AB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BL2" i="12"/>
  <c r="E27" i="10"/>
  <c r="E26" i="10"/>
  <c r="H34" i="9"/>
  <c r="G34" i="9"/>
  <c r="F34" i="9"/>
  <c r="E34" i="9"/>
  <c r="D34" i="9"/>
  <c r="C34" i="9"/>
  <c r="H33" i="9"/>
  <c r="G33" i="9"/>
  <c r="F33" i="9"/>
  <c r="E33" i="9"/>
  <c r="D33" i="9"/>
  <c r="C33" i="9"/>
  <c r="H32" i="9"/>
  <c r="G32" i="9"/>
  <c r="F32" i="9"/>
  <c r="E32" i="9"/>
  <c r="D32" i="9"/>
  <c r="C32" i="9"/>
  <c r="H31" i="9"/>
  <c r="G31" i="9"/>
  <c r="F31" i="9"/>
  <c r="E31" i="9"/>
  <c r="D31" i="9"/>
  <c r="C31" i="9"/>
  <c r="H30" i="9"/>
  <c r="G30" i="9"/>
  <c r="F30" i="9"/>
  <c r="E30" i="9"/>
  <c r="D30" i="9"/>
  <c r="C30" i="9"/>
  <c r="H29" i="9"/>
  <c r="G29" i="9"/>
  <c r="F29" i="9"/>
  <c r="E29" i="9"/>
  <c r="D29" i="9"/>
  <c r="C29" i="9"/>
  <c r="H28" i="9"/>
  <c r="G28" i="9"/>
  <c r="F28" i="9"/>
  <c r="E28" i="9"/>
  <c r="D28" i="9"/>
  <c r="C28" i="9"/>
  <c r="H27" i="9"/>
  <c r="G27" i="9"/>
  <c r="F27" i="9"/>
  <c r="E27" i="9"/>
  <c r="D27" i="9"/>
  <c r="C27" i="9"/>
  <c r="D21" i="9"/>
  <c r="C21" i="9"/>
  <c r="D20" i="9"/>
  <c r="C20" i="9"/>
  <c r="D19" i="9"/>
  <c r="C19" i="9"/>
  <c r="D18" i="9"/>
  <c r="C18" i="9"/>
  <c r="D17" i="9"/>
  <c r="C17" i="9"/>
  <c r="D16" i="9"/>
  <c r="C16" i="9"/>
  <c r="D15" i="9"/>
  <c r="C15" i="9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I67" i="7"/>
  <c r="BH67" i="7"/>
  <c r="BD67" i="7"/>
  <c r="BC67" i="7"/>
  <c r="AZ67" i="7"/>
  <c r="AY67" i="7"/>
  <c r="AX67" i="7"/>
  <c r="AW67" i="7"/>
  <c r="AL67" i="7"/>
  <c r="AK67" i="7"/>
  <c r="AH67" i="7"/>
  <c r="AG67" i="7"/>
  <c r="AD67" i="7"/>
  <c r="AC67" i="7"/>
  <c r="AA67" i="7"/>
  <c r="Z67" i="7"/>
  <c r="W67" i="7"/>
  <c r="V67" i="7"/>
  <c r="U67" i="7"/>
  <c r="T67" i="7"/>
  <c r="BI66" i="7"/>
  <c r="BH66" i="7"/>
  <c r="BD66" i="7"/>
  <c r="BC66" i="7"/>
  <c r="AZ66" i="7"/>
  <c r="AY66" i="7"/>
  <c r="AX66" i="7"/>
  <c r="AW66" i="7"/>
  <c r="AL66" i="7"/>
  <c r="AK66" i="7"/>
  <c r="AH66" i="7"/>
  <c r="AG66" i="7"/>
  <c r="AD66" i="7"/>
  <c r="AC66" i="7"/>
  <c r="AA66" i="7"/>
  <c r="Z66" i="7"/>
  <c r="W66" i="7"/>
  <c r="V66" i="7"/>
  <c r="U66" i="7"/>
  <c r="T66" i="7"/>
  <c r="BI65" i="7"/>
  <c r="BH65" i="7"/>
  <c r="BD65" i="7"/>
  <c r="BC65" i="7"/>
  <c r="AZ65" i="7"/>
  <c r="AY65" i="7"/>
  <c r="AX65" i="7"/>
  <c r="AW65" i="7"/>
  <c r="AL65" i="7"/>
  <c r="AK65" i="7"/>
  <c r="AH65" i="7"/>
  <c r="AG65" i="7"/>
  <c r="AD65" i="7"/>
  <c r="AC65" i="7"/>
  <c r="AA65" i="7"/>
  <c r="Z65" i="7"/>
  <c r="W65" i="7"/>
  <c r="V65" i="7"/>
  <c r="U65" i="7"/>
  <c r="T65" i="7"/>
  <c r="BI64" i="7"/>
  <c r="BH64" i="7"/>
  <c r="BD64" i="7"/>
  <c r="BC64" i="7"/>
  <c r="AZ64" i="7"/>
  <c r="AY64" i="7"/>
  <c r="AX64" i="7"/>
  <c r="AW64" i="7"/>
  <c r="AL64" i="7"/>
  <c r="AK64" i="7"/>
  <c r="AH64" i="7"/>
  <c r="AG64" i="7"/>
  <c r="AD64" i="7"/>
  <c r="AC64" i="7"/>
  <c r="AA64" i="7"/>
  <c r="Z64" i="7"/>
  <c r="W64" i="7"/>
  <c r="V64" i="7"/>
  <c r="U64" i="7"/>
  <c r="T64" i="7"/>
  <c r="BI63" i="7"/>
  <c r="BH63" i="7"/>
  <c r="BD63" i="7"/>
  <c r="BC63" i="7"/>
  <c r="AZ63" i="7"/>
  <c r="AY63" i="7"/>
  <c r="AX63" i="7"/>
  <c r="AW63" i="7"/>
  <c r="AL63" i="7"/>
  <c r="AK63" i="7"/>
  <c r="AH63" i="7"/>
  <c r="AG63" i="7"/>
  <c r="AD63" i="7"/>
  <c r="AC63" i="7"/>
  <c r="AA63" i="7"/>
  <c r="Z63" i="7"/>
  <c r="W63" i="7"/>
  <c r="V63" i="7"/>
  <c r="U63" i="7"/>
  <c r="T63" i="7"/>
  <c r="BI62" i="7"/>
  <c r="BH62" i="7"/>
  <c r="BD62" i="7"/>
  <c r="BC62" i="7"/>
  <c r="AZ62" i="7"/>
  <c r="AY62" i="7"/>
  <c r="AX62" i="7"/>
  <c r="AW62" i="7"/>
  <c r="AL62" i="7"/>
  <c r="AK62" i="7"/>
  <c r="AH62" i="7"/>
  <c r="AG62" i="7"/>
  <c r="AD62" i="7"/>
  <c r="AC62" i="7"/>
  <c r="AA62" i="7"/>
  <c r="Z62" i="7"/>
  <c r="W62" i="7"/>
  <c r="V62" i="7"/>
  <c r="U62" i="7"/>
  <c r="T62" i="7"/>
  <c r="BI61" i="7"/>
  <c r="BH61" i="7"/>
  <c r="BD61" i="7"/>
  <c r="BC61" i="7"/>
  <c r="AZ61" i="7"/>
  <c r="AY61" i="7"/>
  <c r="AX61" i="7"/>
  <c r="AW61" i="7"/>
  <c r="AL61" i="7"/>
  <c r="AK61" i="7"/>
  <c r="AH61" i="7"/>
  <c r="AG61" i="7"/>
  <c r="AD61" i="7"/>
  <c r="AC61" i="7"/>
  <c r="AA61" i="7"/>
  <c r="Z61" i="7"/>
  <c r="W61" i="7"/>
  <c r="V61" i="7"/>
  <c r="U61" i="7"/>
  <c r="T61" i="7"/>
  <c r="BI60" i="7"/>
  <c r="BH60" i="7"/>
  <c r="BD60" i="7"/>
  <c r="BC60" i="7"/>
  <c r="AZ60" i="7"/>
  <c r="AY60" i="7"/>
  <c r="AX60" i="7"/>
  <c r="AW60" i="7"/>
  <c r="AL60" i="7"/>
  <c r="AK60" i="7"/>
  <c r="AH60" i="7"/>
  <c r="AG60" i="7"/>
  <c r="AD60" i="7"/>
  <c r="AC60" i="7"/>
  <c r="AA60" i="7"/>
  <c r="Z60" i="7"/>
  <c r="W60" i="7"/>
  <c r="V60" i="7"/>
  <c r="U60" i="7"/>
  <c r="T60" i="7"/>
  <c r="BI59" i="7"/>
  <c r="BH59" i="7"/>
  <c r="BD59" i="7"/>
  <c r="BC59" i="7"/>
  <c r="AZ59" i="7"/>
  <c r="AY59" i="7"/>
  <c r="AX59" i="7"/>
  <c r="AW59" i="7"/>
  <c r="AL59" i="7"/>
  <c r="AK59" i="7"/>
  <c r="AH59" i="7"/>
  <c r="AG59" i="7"/>
  <c r="AD59" i="7"/>
  <c r="AC59" i="7"/>
  <c r="AA59" i="7"/>
  <c r="Z59" i="7"/>
  <c r="W59" i="7"/>
  <c r="V59" i="7"/>
  <c r="U59" i="7"/>
  <c r="T59" i="7"/>
  <c r="BI58" i="7"/>
  <c r="BH58" i="7"/>
  <c r="BD58" i="7"/>
  <c r="BC58" i="7"/>
  <c r="AZ58" i="7"/>
  <c r="AY58" i="7"/>
  <c r="AX58" i="7"/>
  <c r="AW58" i="7"/>
  <c r="AL58" i="7"/>
  <c r="AK58" i="7"/>
  <c r="AH58" i="7"/>
  <c r="AG58" i="7"/>
  <c r="AD58" i="7"/>
  <c r="AC58" i="7"/>
  <c r="AA58" i="7"/>
  <c r="Z58" i="7"/>
  <c r="W58" i="7"/>
  <c r="V58" i="7"/>
  <c r="U58" i="7"/>
  <c r="T58" i="7"/>
  <c r="BI57" i="7"/>
  <c r="BH57" i="7"/>
  <c r="BD57" i="7"/>
  <c r="BC57" i="7"/>
  <c r="AZ57" i="7"/>
  <c r="AY57" i="7"/>
  <c r="AX57" i="7"/>
  <c r="AW57" i="7"/>
  <c r="AL57" i="7"/>
  <c r="AK57" i="7"/>
  <c r="AH57" i="7"/>
  <c r="AG57" i="7"/>
  <c r="AD57" i="7"/>
  <c r="AC57" i="7"/>
  <c r="AA57" i="7"/>
  <c r="Z57" i="7"/>
  <c r="W57" i="7"/>
  <c r="V57" i="7"/>
  <c r="U57" i="7"/>
  <c r="T57" i="7"/>
  <c r="BI56" i="7"/>
  <c r="BH56" i="7"/>
  <c r="BD56" i="7"/>
  <c r="BC56" i="7"/>
  <c r="AZ56" i="7"/>
  <c r="AY56" i="7"/>
  <c r="AX56" i="7"/>
  <c r="AW56" i="7"/>
  <c r="AL56" i="7"/>
  <c r="AK56" i="7"/>
  <c r="AH56" i="7"/>
  <c r="AG56" i="7"/>
  <c r="AD56" i="7"/>
  <c r="AC56" i="7"/>
  <c r="AA56" i="7"/>
  <c r="Z56" i="7"/>
  <c r="W56" i="7"/>
  <c r="V56" i="7"/>
  <c r="U56" i="7"/>
  <c r="T56" i="7"/>
  <c r="BI55" i="7"/>
  <c r="BH55" i="7"/>
  <c r="BD55" i="7"/>
  <c r="BC55" i="7"/>
  <c r="AZ55" i="7"/>
  <c r="AY55" i="7"/>
  <c r="AX55" i="7"/>
  <c r="AW55" i="7"/>
  <c r="AL55" i="7"/>
  <c r="AK55" i="7"/>
  <c r="AH55" i="7"/>
  <c r="AG55" i="7"/>
  <c r="AD55" i="7"/>
  <c r="AC55" i="7"/>
  <c r="AA55" i="7"/>
  <c r="Z55" i="7"/>
  <c r="W55" i="7"/>
  <c r="V55" i="7"/>
  <c r="U55" i="7"/>
  <c r="T55" i="7"/>
  <c r="BI54" i="7"/>
  <c r="BH54" i="7"/>
  <c r="BD54" i="7"/>
  <c r="BC54" i="7"/>
  <c r="AZ54" i="7"/>
  <c r="AY54" i="7"/>
  <c r="AX54" i="7"/>
  <c r="AW54" i="7"/>
  <c r="AL54" i="7"/>
  <c r="AK54" i="7"/>
  <c r="AH54" i="7"/>
  <c r="AG54" i="7"/>
  <c r="AD54" i="7"/>
  <c r="AC54" i="7"/>
  <c r="AA54" i="7"/>
  <c r="Z54" i="7"/>
  <c r="W54" i="7"/>
  <c r="V54" i="7"/>
  <c r="U54" i="7"/>
  <c r="T54" i="7"/>
  <c r="BI53" i="7"/>
  <c r="BH53" i="7"/>
  <c r="BD53" i="7"/>
  <c r="BC53" i="7"/>
  <c r="AZ53" i="7"/>
  <c r="AY53" i="7"/>
  <c r="AX53" i="7"/>
  <c r="AW53" i="7"/>
  <c r="AL53" i="7"/>
  <c r="AK53" i="7"/>
  <c r="AH53" i="7"/>
  <c r="AG53" i="7"/>
  <c r="AD53" i="7"/>
  <c r="AC53" i="7"/>
  <c r="AA53" i="7"/>
  <c r="Z53" i="7"/>
  <c r="W53" i="7"/>
  <c r="V53" i="7"/>
  <c r="U53" i="7"/>
  <c r="T53" i="7"/>
  <c r="BI52" i="7"/>
  <c r="BH52" i="7"/>
  <c r="BD52" i="7"/>
  <c r="BC52" i="7"/>
  <c r="AZ52" i="7"/>
  <c r="AY52" i="7"/>
  <c r="AX52" i="7"/>
  <c r="AW52" i="7"/>
  <c r="AL52" i="7"/>
  <c r="AK52" i="7"/>
  <c r="AH52" i="7"/>
  <c r="AG52" i="7"/>
  <c r="AD52" i="7"/>
  <c r="AC52" i="7"/>
  <c r="AA52" i="7"/>
  <c r="Z52" i="7"/>
  <c r="W52" i="7"/>
  <c r="V52" i="7"/>
  <c r="U52" i="7"/>
  <c r="T52" i="7"/>
  <c r="BI51" i="7"/>
  <c r="BH51" i="7"/>
  <c r="BD51" i="7"/>
  <c r="BC51" i="7"/>
  <c r="AZ51" i="7"/>
  <c r="AY51" i="7"/>
  <c r="AX51" i="7"/>
  <c r="AW51" i="7"/>
  <c r="AL51" i="7"/>
  <c r="AK51" i="7"/>
  <c r="AH51" i="7"/>
  <c r="AG51" i="7"/>
  <c r="AD51" i="7"/>
  <c r="AC51" i="7"/>
  <c r="AA51" i="7"/>
  <c r="Z51" i="7"/>
  <c r="W51" i="7"/>
  <c r="V51" i="7"/>
  <c r="U51" i="7"/>
  <c r="T51" i="7"/>
  <c r="BI50" i="7"/>
  <c r="BH50" i="7"/>
  <c r="BD50" i="7"/>
  <c r="BC50" i="7"/>
  <c r="AZ50" i="7"/>
  <c r="AY50" i="7"/>
  <c r="AX50" i="7"/>
  <c r="AW50" i="7"/>
  <c r="AL50" i="7"/>
  <c r="AK50" i="7"/>
  <c r="AH50" i="7"/>
  <c r="AG50" i="7"/>
  <c r="AD50" i="7"/>
  <c r="AC50" i="7"/>
  <c r="AA50" i="7"/>
  <c r="Z50" i="7"/>
  <c r="W50" i="7"/>
  <c r="V50" i="7"/>
  <c r="U50" i="7"/>
  <c r="T50" i="7"/>
  <c r="BI49" i="7"/>
  <c r="BH49" i="7"/>
  <c r="BD49" i="7"/>
  <c r="BC49" i="7"/>
  <c r="AZ49" i="7"/>
  <c r="AY49" i="7"/>
  <c r="AX49" i="7"/>
  <c r="AW49" i="7"/>
  <c r="AL49" i="7"/>
  <c r="AK49" i="7"/>
  <c r="AH49" i="7"/>
  <c r="AG49" i="7"/>
  <c r="AD49" i="7"/>
  <c r="AC49" i="7"/>
  <c r="AA49" i="7"/>
  <c r="Z49" i="7"/>
  <c r="W49" i="7"/>
  <c r="V49" i="7"/>
  <c r="U49" i="7"/>
  <c r="T49" i="7"/>
  <c r="BI48" i="7"/>
  <c r="BH48" i="7"/>
  <c r="BD48" i="7"/>
  <c r="BC48" i="7"/>
  <c r="AZ48" i="7"/>
  <c r="AY48" i="7"/>
  <c r="AX48" i="7"/>
  <c r="AW48" i="7"/>
  <c r="AL48" i="7"/>
  <c r="AK48" i="7"/>
  <c r="AH48" i="7"/>
  <c r="AG48" i="7"/>
  <c r="AD48" i="7"/>
  <c r="AC48" i="7"/>
  <c r="AA48" i="7"/>
  <c r="Z48" i="7"/>
  <c r="W48" i="7"/>
  <c r="V48" i="7"/>
  <c r="U48" i="7"/>
  <c r="T48" i="7"/>
  <c r="BI47" i="7"/>
  <c r="BH47" i="7"/>
  <c r="BD47" i="7"/>
  <c r="BC47" i="7"/>
  <c r="AZ47" i="7"/>
  <c r="AY47" i="7"/>
  <c r="AX47" i="7"/>
  <c r="AW47" i="7"/>
  <c r="AL47" i="7"/>
  <c r="AK47" i="7"/>
  <c r="AH47" i="7"/>
  <c r="AG47" i="7"/>
  <c r="AD47" i="7"/>
  <c r="AC47" i="7"/>
  <c r="AA47" i="7"/>
  <c r="Z47" i="7"/>
  <c r="W47" i="7"/>
  <c r="V47" i="7"/>
  <c r="U47" i="7"/>
  <c r="T47" i="7"/>
  <c r="BI46" i="7"/>
  <c r="BH46" i="7"/>
  <c r="BD46" i="7"/>
  <c r="BC46" i="7"/>
  <c r="AZ46" i="7"/>
  <c r="AY46" i="7"/>
  <c r="AX46" i="7"/>
  <c r="AW46" i="7"/>
  <c r="AL46" i="7"/>
  <c r="AK46" i="7"/>
  <c r="AH46" i="7"/>
  <c r="AG46" i="7"/>
  <c r="AD46" i="7"/>
  <c r="AC46" i="7"/>
  <c r="AA46" i="7"/>
  <c r="Z46" i="7"/>
  <c r="W46" i="7"/>
  <c r="V46" i="7"/>
  <c r="U46" i="7"/>
  <c r="T46" i="7"/>
  <c r="BI45" i="7"/>
  <c r="BH45" i="7"/>
  <c r="BD45" i="7"/>
  <c r="BC45" i="7"/>
  <c r="AZ45" i="7"/>
  <c r="AY45" i="7"/>
  <c r="AX45" i="7"/>
  <c r="AW45" i="7"/>
  <c r="AL45" i="7"/>
  <c r="AK45" i="7"/>
  <c r="AH45" i="7"/>
  <c r="AG45" i="7"/>
  <c r="AD45" i="7"/>
  <c r="AC45" i="7"/>
  <c r="AA45" i="7"/>
  <c r="Z45" i="7"/>
  <c r="W45" i="7"/>
  <c r="V45" i="7"/>
  <c r="U45" i="7"/>
  <c r="T45" i="7"/>
  <c r="BI44" i="7"/>
  <c r="BH44" i="7"/>
  <c r="BD44" i="7"/>
  <c r="BC44" i="7"/>
  <c r="AZ44" i="7"/>
  <c r="AY44" i="7"/>
  <c r="AX44" i="7"/>
  <c r="AW44" i="7"/>
  <c r="AL44" i="7"/>
  <c r="AK44" i="7"/>
  <c r="AH44" i="7"/>
  <c r="AG44" i="7"/>
  <c r="AD44" i="7"/>
  <c r="AC44" i="7"/>
  <c r="AA44" i="7"/>
  <c r="Z44" i="7"/>
  <c r="W44" i="7"/>
  <c r="V44" i="7"/>
  <c r="U44" i="7"/>
  <c r="T44" i="7"/>
  <c r="BI43" i="7"/>
  <c r="BH43" i="7"/>
  <c r="BD43" i="7"/>
  <c r="BC43" i="7"/>
  <c r="AZ43" i="7"/>
  <c r="AY43" i="7"/>
  <c r="AX43" i="7"/>
  <c r="AW43" i="7"/>
  <c r="AL43" i="7"/>
  <c r="AK43" i="7"/>
  <c r="AH43" i="7"/>
  <c r="AG43" i="7"/>
  <c r="AD43" i="7"/>
  <c r="AC43" i="7"/>
  <c r="AA43" i="7"/>
  <c r="Z43" i="7"/>
  <c r="W43" i="7"/>
  <c r="V43" i="7"/>
  <c r="U43" i="7"/>
  <c r="T43" i="7"/>
  <c r="BI42" i="7"/>
  <c r="BH42" i="7"/>
  <c r="BD42" i="7"/>
  <c r="BC42" i="7"/>
  <c r="AZ42" i="7"/>
  <c r="AY42" i="7"/>
  <c r="AX42" i="7"/>
  <c r="AW42" i="7"/>
  <c r="AL42" i="7"/>
  <c r="AK42" i="7"/>
  <c r="AH42" i="7"/>
  <c r="AG42" i="7"/>
  <c r="AD42" i="7"/>
  <c r="AC42" i="7"/>
  <c r="AA42" i="7"/>
  <c r="Z42" i="7"/>
  <c r="W42" i="7"/>
  <c r="V42" i="7"/>
  <c r="U42" i="7"/>
  <c r="T42" i="7"/>
  <c r="BI41" i="7"/>
  <c r="BH41" i="7"/>
  <c r="BD41" i="7"/>
  <c r="BC41" i="7"/>
  <c r="AZ41" i="7"/>
  <c r="AY41" i="7"/>
  <c r="AX41" i="7"/>
  <c r="AW41" i="7"/>
  <c r="AL41" i="7"/>
  <c r="AK41" i="7"/>
  <c r="AH41" i="7"/>
  <c r="AG41" i="7"/>
  <c r="AD41" i="7"/>
  <c r="AC41" i="7"/>
  <c r="AA41" i="7"/>
  <c r="Z41" i="7"/>
  <c r="W41" i="7"/>
  <c r="V41" i="7"/>
  <c r="U41" i="7"/>
  <c r="T41" i="7"/>
  <c r="BI40" i="7"/>
  <c r="BH40" i="7"/>
  <c r="BD40" i="7"/>
  <c r="BC40" i="7"/>
  <c r="AZ40" i="7"/>
  <c r="AY40" i="7"/>
  <c r="AX40" i="7"/>
  <c r="AW40" i="7"/>
  <c r="AL40" i="7"/>
  <c r="AK40" i="7"/>
  <c r="AH40" i="7"/>
  <c r="AG40" i="7"/>
  <c r="AD40" i="7"/>
  <c r="AC40" i="7"/>
  <c r="AA40" i="7"/>
  <c r="Z40" i="7"/>
  <c r="W40" i="7"/>
  <c r="V40" i="7"/>
  <c r="U40" i="7"/>
  <c r="T40" i="7"/>
  <c r="BI39" i="7"/>
  <c r="BH39" i="7"/>
  <c r="BD39" i="7"/>
  <c r="BC39" i="7"/>
  <c r="AZ39" i="7"/>
  <c r="AY39" i="7"/>
  <c r="AX39" i="7"/>
  <c r="AW39" i="7"/>
  <c r="AL39" i="7"/>
  <c r="AK39" i="7"/>
  <c r="AH39" i="7"/>
  <c r="AG39" i="7"/>
  <c r="AD39" i="7"/>
  <c r="AC39" i="7"/>
  <c r="AA39" i="7"/>
  <c r="Z39" i="7"/>
  <c r="X39" i="7"/>
  <c r="W39" i="7"/>
  <c r="V39" i="7"/>
  <c r="U39" i="7"/>
  <c r="T39" i="7"/>
  <c r="BI38" i="7"/>
  <c r="BH38" i="7"/>
  <c r="BD38" i="7"/>
  <c r="BC38" i="7"/>
  <c r="AZ38" i="7"/>
  <c r="AY38" i="7"/>
  <c r="AX38" i="7"/>
  <c r="AW38" i="7"/>
  <c r="AL38" i="7"/>
  <c r="AK38" i="7"/>
  <c r="AH38" i="7"/>
  <c r="AG38" i="7"/>
  <c r="AD38" i="7"/>
  <c r="AC38" i="7"/>
  <c r="AA38" i="7"/>
  <c r="Z38" i="7"/>
  <c r="W38" i="7"/>
  <c r="V38" i="7"/>
  <c r="U38" i="7"/>
  <c r="T38" i="7"/>
  <c r="BI37" i="7"/>
  <c r="BH37" i="7"/>
  <c r="BD37" i="7"/>
  <c r="BC37" i="7"/>
  <c r="AZ37" i="7"/>
  <c r="AY37" i="7"/>
  <c r="AX37" i="7"/>
  <c r="AW37" i="7"/>
  <c r="AL37" i="7"/>
  <c r="AK37" i="7"/>
  <c r="AH37" i="7"/>
  <c r="AG37" i="7"/>
  <c r="AD37" i="7"/>
  <c r="AC37" i="7"/>
  <c r="AA37" i="7"/>
  <c r="Z37" i="7"/>
  <c r="W37" i="7"/>
  <c r="V37" i="7"/>
  <c r="U37" i="7"/>
  <c r="T37" i="7"/>
  <c r="BH36" i="7"/>
  <c r="BC36" i="7"/>
  <c r="AZ36" i="7"/>
  <c r="AY36" i="7"/>
  <c r="AX36" i="7"/>
  <c r="AW36" i="7"/>
  <c r="AK36" i="7"/>
  <c r="AG36" i="7"/>
  <c r="AC36" i="7"/>
  <c r="AA36" i="7"/>
  <c r="Z36" i="7"/>
  <c r="W36" i="7"/>
  <c r="V36" i="7"/>
  <c r="U36" i="7"/>
  <c r="T36" i="7"/>
  <c r="BH35" i="7"/>
  <c r="BC35" i="7"/>
  <c r="AZ35" i="7"/>
  <c r="AY35" i="7"/>
  <c r="AX35" i="7"/>
  <c r="AW35" i="7"/>
  <c r="AL35" i="7"/>
  <c r="AK35" i="7"/>
  <c r="AG35" i="7"/>
  <c r="AC35" i="7"/>
  <c r="AA35" i="7"/>
  <c r="Z35" i="7"/>
  <c r="W35" i="7"/>
  <c r="V35" i="7"/>
  <c r="U35" i="7"/>
  <c r="T35" i="7"/>
  <c r="BH34" i="7"/>
  <c r="BC34" i="7"/>
  <c r="AZ34" i="7"/>
  <c r="AY34" i="7"/>
  <c r="AX34" i="7"/>
  <c r="AW34" i="7"/>
  <c r="AL34" i="7"/>
  <c r="AK34" i="7"/>
  <c r="AG34" i="7"/>
  <c r="AC34" i="7"/>
  <c r="AA34" i="7"/>
  <c r="Z34" i="7"/>
  <c r="W34" i="7"/>
  <c r="V34" i="7"/>
  <c r="U34" i="7"/>
  <c r="T34" i="7"/>
  <c r="BH33" i="7"/>
  <c r="BC33" i="7"/>
  <c r="AZ33" i="7"/>
  <c r="AY33" i="7"/>
  <c r="AX33" i="7"/>
  <c r="AW33" i="7"/>
  <c r="AL33" i="7"/>
  <c r="AK33" i="7"/>
  <c r="AG33" i="7"/>
  <c r="AC33" i="7"/>
  <c r="AA33" i="7"/>
  <c r="Z33" i="7"/>
  <c r="W33" i="7"/>
  <c r="V33" i="7"/>
  <c r="U33" i="7"/>
  <c r="T33" i="7"/>
  <c r="BH32" i="7"/>
  <c r="BC32" i="7"/>
  <c r="AZ32" i="7"/>
  <c r="AY32" i="7"/>
  <c r="AX32" i="7"/>
  <c r="AW32" i="7"/>
  <c r="AL32" i="7"/>
  <c r="AK32" i="7"/>
  <c r="AG32" i="7"/>
  <c r="AC32" i="7"/>
  <c r="AA32" i="7"/>
  <c r="Z32" i="7"/>
  <c r="W32" i="7"/>
  <c r="V32" i="7"/>
  <c r="U32" i="7"/>
  <c r="T32" i="7"/>
  <c r="BH31" i="7"/>
  <c r="BC31" i="7"/>
  <c r="AZ31" i="7"/>
  <c r="AY31" i="7"/>
  <c r="AX31" i="7"/>
  <c r="AW31" i="7"/>
  <c r="AK31" i="7"/>
  <c r="AG31" i="7"/>
  <c r="AC31" i="7"/>
  <c r="AA31" i="7"/>
  <c r="Z31" i="7"/>
  <c r="W31" i="7"/>
  <c r="V31" i="7"/>
  <c r="U31" i="7"/>
  <c r="T31" i="7"/>
  <c r="BH30" i="7"/>
  <c r="BC30" i="7"/>
  <c r="AZ30" i="7"/>
  <c r="AY30" i="7"/>
  <c r="AX30" i="7"/>
  <c r="AW30" i="7"/>
  <c r="AK30" i="7"/>
  <c r="AG30" i="7"/>
  <c r="AC30" i="7"/>
  <c r="AA30" i="7"/>
  <c r="Z30" i="7"/>
  <c r="W30" i="7"/>
  <c r="V30" i="7"/>
  <c r="U30" i="7"/>
  <c r="T30" i="7"/>
  <c r="BH29" i="7"/>
  <c r="BC29" i="7"/>
  <c r="AZ29" i="7"/>
  <c r="AY29" i="7"/>
  <c r="AX29" i="7"/>
  <c r="AW29" i="7"/>
  <c r="AL29" i="7"/>
  <c r="AK29" i="7"/>
  <c r="AG29" i="7"/>
  <c r="AC29" i="7"/>
  <c r="AA29" i="7"/>
  <c r="Z29" i="7"/>
  <c r="W29" i="7"/>
  <c r="V29" i="7"/>
  <c r="U29" i="7"/>
  <c r="T29" i="7"/>
  <c r="BH28" i="7"/>
  <c r="BC28" i="7"/>
  <c r="AZ28" i="7"/>
  <c r="AY28" i="7"/>
  <c r="AX28" i="7"/>
  <c r="AW28" i="7"/>
  <c r="AL28" i="7"/>
  <c r="AK28" i="7"/>
  <c r="AG28" i="7"/>
  <c r="AC28" i="7"/>
  <c r="AA28" i="7"/>
  <c r="Z28" i="7"/>
  <c r="W28" i="7"/>
  <c r="V28" i="7"/>
  <c r="U28" i="7"/>
  <c r="T28" i="7"/>
  <c r="BH27" i="7"/>
  <c r="BC27" i="7"/>
  <c r="AZ27" i="7"/>
  <c r="AY27" i="7"/>
  <c r="AX27" i="7"/>
  <c r="AW27" i="7"/>
  <c r="AL27" i="7"/>
  <c r="AK27" i="7"/>
  <c r="AG27" i="7"/>
  <c r="AC27" i="7"/>
  <c r="AA27" i="7"/>
  <c r="Z27" i="7"/>
  <c r="W27" i="7"/>
  <c r="V27" i="7"/>
  <c r="U27" i="7"/>
  <c r="T27" i="7"/>
  <c r="BH26" i="7"/>
  <c r="BC26" i="7"/>
  <c r="AZ26" i="7"/>
  <c r="AY26" i="7"/>
  <c r="AX26" i="7"/>
  <c r="AW26" i="7"/>
  <c r="AK26" i="7"/>
  <c r="AG26" i="7"/>
  <c r="AC26" i="7"/>
  <c r="AA26" i="7"/>
  <c r="Z26" i="7"/>
  <c r="W26" i="7"/>
  <c r="V26" i="7"/>
  <c r="U26" i="7"/>
  <c r="T26" i="7"/>
  <c r="BH25" i="7"/>
  <c r="BC25" i="7"/>
  <c r="AZ25" i="7"/>
  <c r="AY25" i="7"/>
  <c r="AX25" i="7"/>
  <c r="AW25" i="7"/>
  <c r="AL25" i="7"/>
  <c r="AK25" i="7"/>
  <c r="AG25" i="7"/>
  <c r="AC25" i="7"/>
  <c r="AA25" i="7"/>
  <c r="Z25" i="7"/>
  <c r="W25" i="7"/>
  <c r="V25" i="7"/>
  <c r="U25" i="7"/>
  <c r="T25" i="7"/>
  <c r="BH24" i="7"/>
  <c r="BC24" i="7"/>
  <c r="AZ24" i="7"/>
  <c r="AY24" i="7"/>
  <c r="AX24" i="7"/>
  <c r="AW24" i="7"/>
  <c r="AK24" i="7"/>
  <c r="AG24" i="7"/>
  <c r="AC24" i="7"/>
  <c r="AA24" i="7"/>
  <c r="Z24" i="7"/>
  <c r="W24" i="7"/>
  <c r="V24" i="7"/>
  <c r="U24" i="7"/>
  <c r="T24" i="7"/>
  <c r="BH23" i="7"/>
  <c r="BC23" i="7"/>
  <c r="AZ23" i="7"/>
  <c r="AY23" i="7"/>
  <c r="AX23" i="7"/>
  <c r="AW23" i="7"/>
  <c r="AK23" i="7"/>
  <c r="AG23" i="7"/>
  <c r="AC23" i="7"/>
  <c r="AA23" i="7"/>
  <c r="Z23" i="7"/>
  <c r="W23" i="7"/>
  <c r="V23" i="7"/>
  <c r="U23" i="7"/>
  <c r="T23" i="7"/>
  <c r="BH22" i="7"/>
  <c r="BC22" i="7"/>
  <c r="AZ22" i="7"/>
  <c r="AY22" i="7"/>
  <c r="AX22" i="7"/>
  <c r="AW22" i="7"/>
  <c r="AK22" i="7"/>
  <c r="AG22" i="7"/>
  <c r="AC22" i="7"/>
  <c r="AA22" i="7"/>
  <c r="Z22" i="7"/>
  <c r="W22" i="7"/>
  <c r="V22" i="7"/>
  <c r="U22" i="7"/>
  <c r="T22" i="7"/>
  <c r="BH21" i="7"/>
  <c r="BC21" i="7"/>
  <c r="AZ21" i="7"/>
  <c r="AY21" i="7"/>
  <c r="AX21" i="7"/>
  <c r="AW21" i="7"/>
  <c r="AL21" i="7"/>
  <c r="AK21" i="7"/>
  <c r="AG21" i="7"/>
  <c r="AC21" i="7"/>
  <c r="AA21" i="7"/>
  <c r="Z21" i="7"/>
  <c r="W21" i="7"/>
  <c r="V21" i="7"/>
  <c r="U21" i="7"/>
  <c r="T21" i="7"/>
  <c r="BH20" i="7"/>
  <c r="BC20" i="7"/>
  <c r="AZ20" i="7"/>
  <c r="AY20" i="7"/>
  <c r="AX20" i="7"/>
  <c r="AW20" i="7"/>
  <c r="AK20" i="7"/>
  <c r="AG20" i="7"/>
  <c r="AC20" i="7"/>
  <c r="AA20" i="7"/>
  <c r="Z20" i="7"/>
  <c r="W20" i="7"/>
  <c r="V20" i="7"/>
  <c r="U20" i="7"/>
  <c r="T20" i="7"/>
  <c r="BH19" i="7"/>
  <c r="BC19" i="7"/>
  <c r="AZ19" i="7"/>
  <c r="AY19" i="7"/>
  <c r="AX19" i="7"/>
  <c r="AW19" i="7"/>
  <c r="AK19" i="7"/>
  <c r="AG19" i="7"/>
  <c r="AC19" i="7"/>
  <c r="AA19" i="7"/>
  <c r="Z19" i="7"/>
  <c r="W19" i="7"/>
  <c r="V19" i="7"/>
  <c r="U19" i="7"/>
  <c r="T19" i="7"/>
  <c r="BH18" i="7"/>
  <c r="BC18" i="7"/>
  <c r="AZ18" i="7"/>
  <c r="AY18" i="7"/>
  <c r="AX18" i="7"/>
  <c r="AW18" i="7"/>
  <c r="AK18" i="7"/>
  <c r="AG18" i="7"/>
  <c r="AC18" i="7"/>
  <c r="AA18" i="7"/>
  <c r="Z18" i="7"/>
  <c r="W18" i="7"/>
  <c r="V18" i="7"/>
  <c r="U18" i="7"/>
  <c r="T18" i="7"/>
  <c r="BH17" i="7"/>
  <c r="BC17" i="7"/>
  <c r="AZ17" i="7"/>
  <c r="AY17" i="7"/>
  <c r="AX17" i="7"/>
  <c r="AW17" i="7"/>
  <c r="AK17" i="7"/>
  <c r="AG17" i="7"/>
  <c r="AC17" i="7"/>
  <c r="AA17" i="7"/>
  <c r="Z17" i="7"/>
  <c r="W17" i="7"/>
  <c r="V17" i="7"/>
  <c r="U17" i="7"/>
  <c r="T17" i="7"/>
  <c r="BH16" i="7"/>
  <c r="BC16" i="7"/>
  <c r="AZ16" i="7"/>
  <c r="AY16" i="7"/>
  <c r="AX16" i="7"/>
  <c r="AW16" i="7"/>
  <c r="AK16" i="7"/>
  <c r="AG16" i="7"/>
  <c r="AC16" i="7"/>
  <c r="AA16" i="7"/>
  <c r="Z16" i="7"/>
  <c r="W16" i="7"/>
  <c r="V16" i="7"/>
  <c r="U16" i="7"/>
  <c r="T16" i="7"/>
  <c r="BH15" i="7"/>
  <c r="BC15" i="7"/>
  <c r="AZ15" i="7"/>
  <c r="AY15" i="7"/>
  <c r="AX15" i="7"/>
  <c r="AW15" i="7"/>
  <c r="AK15" i="7"/>
  <c r="AG15" i="7"/>
  <c r="AC15" i="7"/>
  <c r="AA15" i="7"/>
  <c r="Z15" i="7"/>
  <c r="W15" i="7"/>
  <c r="V15" i="7"/>
  <c r="U15" i="7"/>
  <c r="T15" i="7"/>
  <c r="BH14" i="7"/>
  <c r="BC14" i="7"/>
  <c r="AZ14" i="7"/>
  <c r="AY14" i="7"/>
  <c r="AX14" i="7"/>
  <c r="AW14" i="7"/>
  <c r="AK14" i="7"/>
  <c r="AG14" i="7"/>
  <c r="AC14" i="7"/>
  <c r="AA14" i="7"/>
  <c r="Z14" i="7"/>
  <c r="W14" i="7"/>
  <c r="V14" i="7"/>
  <c r="U14" i="7"/>
  <c r="T14" i="7"/>
  <c r="BH13" i="7"/>
  <c r="BC13" i="7"/>
  <c r="AZ13" i="7"/>
  <c r="AY13" i="7"/>
  <c r="AX13" i="7"/>
  <c r="AW13" i="7"/>
  <c r="AK13" i="7"/>
  <c r="AG13" i="7"/>
  <c r="AC13" i="7"/>
  <c r="AA13" i="7"/>
  <c r="Z13" i="7"/>
  <c r="W13" i="7"/>
  <c r="V13" i="7"/>
  <c r="U13" i="7"/>
  <c r="T13" i="7"/>
  <c r="BH12" i="7"/>
  <c r="BC12" i="7"/>
  <c r="AZ12" i="7"/>
  <c r="AY12" i="7"/>
  <c r="AX12" i="7"/>
  <c r="AW12" i="7"/>
  <c r="AL12" i="7"/>
  <c r="AK12" i="7"/>
  <c r="AG12" i="7"/>
  <c r="AC12" i="7"/>
  <c r="AA12" i="7"/>
  <c r="Z12" i="7"/>
  <c r="W12" i="7"/>
  <c r="V12" i="7"/>
  <c r="U12" i="7"/>
  <c r="T12" i="7"/>
  <c r="BH11" i="7"/>
  <c r="BC11" i="7"/>
  <c r="AZ11" i="7"/>
  <c r="AY11" i="7"/>
  <c r="AX11" i="7"/>
  <c r="AW11" i="7"/>
  <c r="AK11" i="7"/>
  <c r="AG11" i="7"/>
  <c r="AC11" i="7"/>
  <c r="AA11" i="7"/>
  <c r="Z11" i="7"/>
  <c r="W11" i="7"/>
  <c r="V11" i="7"/>
  <c r="U11" i="7"/>
  <c r="T11" i="7"/>
  <c r="BH10" i="7"/>
  <c r="BC10" i="7"/>
  <c r="AZ10" i="7"/>
  <c r="AY10" i="7"/>
  <c r="AX10" i="7"/>
  <c r="AW10" i="7"/>
  <c r="AG10" i="7"/>
  <c r="AC10" i="7"/>
  <c r="AA10" i="7"/>
  <c r="W10" i="7"/>
  <c r="V10" i="7"/>
  <c r="U10" i="7"/>
  <c r="T10" i="7"/>
  <c r="AY9" i="7"/>
  <c r="AX9" i="7"/>
  <c r="V9" i="7"/>
  <c r="T9" i="7"/>
  <c r="BK8" i="7"/>
  <c r="BJ8" i="7"/>
  <c r="BI8" i="7"/>
  <c r="BH8" i="7"/>
  <c r="BF8" i="7"/>
  <c r="BE8" i="7"/>
  <c r="BD8" i="7"/>
  <c r="BC8" i="7"/>
  <c r="AZ8" i="7"/>
  <c r="AY8" i="7"/>
  <c r="AX8" i="7"/>
  <c r="AW8" i="7"/>
  <c r="AU8" i="7"/>
  <c r="AN8" i="7"/>
  <c r="AM8" i="7"/>
  <c r="AL8" i="7"/>
  <c r="AK8" i="7"/>
  <c r="AJ8" i="7"/>
  <c r="AI8" i="7"/>
  <c r="AH8" i="7"/>
  <c r="AG8" i="7"/>
  <c r="AF8" i="7"/>
  <c r="AE8" i="7"/>
  <c r="AD8" i="7"/>
  <c r="AC8" i="7"/>
  <c r="AA8" i="7"/>
  <c r="Z8" i="7"/>
  <c r="W8" i="7"/>
  <c r="V8" i="7"/>
  <c r="U8" i="7"/>
  <c r="T8" i="7"/>
  <c r="U66" i="5"/>
  <c r="Q66" i="5"/>
  <c r="P66" i="5"/>
  <c r="N66" i="5"/>
  <c r="M66" i="5"/>
  <c r="L66" i="5"/>
  <c r="Y67" i="7" s="1"/>
  <c r="K66" i="5"/>
  <c r="J66" i="5"/>
  <c r="I66" i="5"/>
  <c r="H66" i="5"/>
  <c r="G66" i="5"/>
  <c r="F66" i="5"/>
  <c r="E66" i="5"/>
  <c r="D66" i="5"/>
  <c r="C66" i="5"/>
  <c r="B66" i="5"/>
  <c r="U65" i="5"/>
  <c r="Q65" i="5"/>
  <c r="P65" i="5"/>
  <c r="N65" i="5"/>
  <c r="M65" i="5"/>
  <c r="L65" i="5"/>
  <c r="D66" i="8" s="1"/>
  <c r="F66" i="8" s="1"/>
  <c r="K65" i="5"/>
  <c r="J65" i="5"/>
  <c r="I65" i="5"/>
  <c r="H65" i="5"/>
  <c r="G65" i="5"/>
  <c r="F65" i="5"/>
  <c r="E65" i="5"/>
  <c r="D65" i="5"/>
  <c r="C65" i="5"/>
  <c r="B65" i="5"/>
  <c r="U64" i="5"/>
  <c r="Q64" i="5"/>
  <c r="P64" i="5"/>
  <c r="N64" i="5"/>
  <c r="M64" i="5"/>
  <c r="L64" i="5"/>
  <c r="D65" i="8" s="1"/>
  <c r="F65" i="8" s="1"/>
  <c r="K64" i="5"/>
  <c r="J64" i="5"/>
  <c r="I64" i="5"/>
  <c r="H64" i="5"/>
  <c r="G64" i="5"/>
  <c r="F64" i="5"/>
  <c r="E64" i="5"/>
  <c r="D64" i="5"/>
  <c r="C64" i="5"/>
  <c r="B64" i="5"/>
  <c r="U63" i="5"/>
  <c r="Q63" i="5"/>
  <c r="P63" i="5"/>
  <c r="O63" i="5"/>
  <c r="N63" i="5"/>
  <c r="M63" i="5"/>
  <c r="L63" i="5"/>
  <c r="D64" i="8" s="1"/>
  <c r="F64" i="8" s="1"/>
  <c r="K63" i="5"/>
  <c r="J63" i="5"/>
  <c r="I63" i="5"/>
  <c r="H63" i="5"/>
  <c r="G63" i="5"/>
  <c r="F63" i="5"/>
  <c r="E63" i="5"/>
  <c r="D63" i="5"/>
  <c r="C63" i="5"/>
  <c r="B63" i="5"/>
  <c r="U62" i="5"/>
  <c r="Q62" i="5"/>
  <c r="P62" i="5"/>
  <c r="N62" i="5"/>
  <c r="M62" i="5"/>
  <c r="L62" i="5"/>
  <c r="O62" i="5" s="1"/>
  <c r="K62" i="5"/>
  <c r="J62" i="5"/>
  <c r="I62" i="5"/>
  <c r="H62" i="5"/>
  <c r="G62" i="5"/>
  <c r="F62" i="5"/>
  <c r="E62" i="5"/>
  <c r="D62" i="5"/>
  <c r="C62" i="5"/>
  <c r="B62" i="5"/>
  <c r="U61" i="5"/>
  <c r="Q61" i="5"/>
  <c r="P61" i="5"/>
  <c r="N61" i="5"/>
  <c r="M61" i="5"/>
  <c r="L61" i="5"/>
  <c r="Y62" i="7" s="1"/>
  <c r="K61" i="5"/>
  <c r="J61" i="5"/>
  <c r="I61" i="5"/>
  <c r="H61" i="5"/>
  <c r="G61" i="5"/>
  <c r="F61" i="5"/>
  <c r="E61" i="5"/>
  <c r="D61" i="5"/>
  <c r="C61" i="5"/>
  <c r="B61" i="5"/>
  <c r="U60" i="5"/>
  <c r="Q60" i="5"/>
  <c r="P60" i="5"/>
  <c r="N60" i="5"/>
  <c r="M60" i="5"/>
  <c r="L60" i="5"/>
  <c r="D61" i="8" s="1"/>
  <c r="F61" i="8" s="1"/>
  <c r="K60" i="5"/>
  <c r="J60" i="5"/>
  <c r="I60" i="5"/>
  <c r="H60" i="5"/>
  <c r="G60" i="5"/>
  <c r="F60" i="5"/>
  <c r="E60" i="5"/>
  <c r="D60" i="5"/>
  <c r="C60" i="5"/>
  <c r="B60" i="5"/>
  <c r="U59" i="5"/>
  <c r="Q59" i="5"/>
  <c r="P59" i="5"/>
  <c r="N59" i="5"/>
  <c r="M59" i="5"/>
  <c r="L59" i="5"/>
  <c r="Y60" i="7" s="1"/>
  <c r="K59" i="5"/>
  <c r="J59" i="5"/>
  <c r="I59" i="5"/>
  <c r="H59" i="5"/>
  <c r="G59" i="5"/>
  <c r="F59" i="5"/>
  <c r="E59" i="5"/>
  <c r="D59" i="5"/>
  <c r="C59" i="5"/>
  <c r="B59" i="5"/>
  <c r="U58" i="5"/>
  <c r="Q58" i="5"/>
  <c r="P58" i="5"/>
  <c r="N58" i="5"/>
  <c r="M58" i="5"/>
  <c r="L58" i="5"/>
  <c r="O58" i="5" s="1"/>
  <c r="K58" i="5"/>
  <c r="J58" i="5"/>
  <c r="I58" i="5"/>
  <c r="H58" i="5"/>
  <c r="G58" i="5"/>
  <c r="F58" i="5"/>
  <c r="E58" i="5"/>
  <c r="D58" i="5"/>
  <c r="C58" i="5"/>
  <c r="B58" i="5"/>
  <c r="U57" i="5"/>
  <c r="Q57" i="5"/>
  <c r="P57" i="5"/>
  <c r="N57" i="5"/>
  <c r="M57" i="5"/>
  <c r="L57" i="5"/>
  <c r="D58" i="8" s="1"/>
  <c r="F58" i="8" s="1"/>
  <c r="K57" i="5"/>
  <c r="J57" i="5"/>
  <c r="I57" i="5"/>
  <c r="H57" i="5"/>
  <c r="G57" i="5"/>
  <c r="F57" i="5"/>
  <c r="E57" i="5"/>
  <c r="D57" i="5"/>
  <c r="C57" i="5"/>
  <c r="B57" i="5"/>
  <c r="U56" i="5"/>
  <c r="Q56" i="5"/>
  <c r="P56" i="5"/>
  <c r="N56" i="5"/>
  <c r="M56" i="5"/>
  <c r="L56" i="5"/>
  <c r="D57" i="8" s="1"/>
  <c r="F57" i="8" s="1"/>
  <c r="K56" i="5"/>
  <c r="J56" i="5"/>
  <c r="I56" i="5"/>
  <c r="H56" i="5"/>
  <c r="G56" i="5"/>
  <c r="F56" i="5"/>
  <c r="E56" i="5"/>
  <c r="D56" i="5"/>
  <c r="C56" i="5"/>
  <c r="B56" i="5"/>
  <c r="U55" i="5"/>
  <c r="Q55" i="5"/>
  <c r="P55" i="5"/>
  <c r="N55" i="5"/>
  <c r="M55" i="5"/>
  <c r="L55" i="5"/>
  <c r="Y56" i="7" s="1"/>
  <c r="K55" i="5"/>
  <c r="J55" i="5"/>
  <c r="I55" i="5"/>
  <c r="H55" i="5"/>
  <c r="G55" i="5"/>
  <c r="F55" i="5"/>
  <c r="E55" i="5"/>
  <c r="D55" i="5"/>
  <c r="C55" i="5"/>
  <c r="B55" i="5"/>
  <c r="U54" i="5"/>
  <c r="Q54" i="5"/>
  <c r="P54" i="5"/>
  <c r="N54" i="5"/>
  <c r="M54" i="5"/>
  <c r="L54" i="5"/>
  <c r="Y55" i="7" s="1"/>
  <c r="K54" i="5"/>
  <c r="J54" i="5"/>
  <c r="I54" i="5"/>
  <c r="H54" i="5"/>
  <c r="G54" i="5"/>
  <c r="F54" i="5"/>
  <c r="E54" i="5"/>
  <c r="D54" i="5"/>
  <c r="C54" i="5"/>
  <c r="B54" i="5"/>
  <c r="U53" i="5"/>
  <c r="Q53" i="5"/>
  <c r="P53" i="5"/>
  <c r="N53" i="5"/>
  <c r="M53" i="5"/>
  <c r="L53" i="5"/>
  <c r="D54" i="8" s="1"/>
  <c r="F54" i="8" s="1"/>
  <c r="K53" i="5"/>
  <c r="J53" i="5"/>
  <c r="I53" i="5"/>
  <c r="H53" i="5"/>
  <c r="G53" i="5"/>
  <c r="F53" i="5"/>
  <c r="E53" i="5"/>
  <c r="D53" i="5"/>
  <c r="C53" i="5"/>
  <c r="B53" i="5"/>
  <c r="U52" i="5"/>
  <c r="Q52" i="5"/>
  <c r="P52" i="5"/>
  <c r="N52" i="5"/>
  <c r="M52" i="5"/>
  <c r="L52" i="5"/>
  <c r="D53" i="8" s="1"/>
  <c r="F53" i="8" s="1"/>
  <c r="K52" i="5"/>
  <c r="J52" i="5"/>
  <c r="I52" i="5"/>
  <c r="H52" i="5"/>
  <c r="G52" i="5"/>
  <c r="F52" i="5"/>
  <c r="E52" i="5"/>
  <c r="D52" i="5"/>
  <c r="C52" i="5"/>
  <c r="B52" i="5"/>
  <c r="U51" i="5"/>
  <c r="Q51" i="5"/>
  <c r="P51" i="5"/>
  <c r="N51" i="5"/>
  <c r="M51" i="5"/>
  <c r="L51" i="5"/>
  <c r="D52" i="8" s="1"/>
  <c r="F52" i="8" s="1"/>
  <c r="K51" i="5"/>
  <c r="J51" i="5"/>
  <c r="I51" i="5"/>
  <c r="H51" i="5"/>
  <c r="G51" i="5"/>
  <c r="F51" i="5"/>
  <c r="E51" i="5"/>
  <c r="D51" i="5"/>
  <c r="C51" i="5"/>
  <c r="B51" i="5"/>
  <c r="U50" i="5"/>
  <c r="Q50" i="5"/>
  <c r="P50" i="5"/>
  <c r="N50" i="5"/>
  <c r="M50" i="5"/>
  <c r="L50" i="5"/>
  <c r="O50" i="5" s="1"/>
  <c r="K50" i="5"/>
  <c r="J50" i="5"/>
  <c r="I50" i="5"/>
  <c r="H50" i="5"/>
  <c r="G50" i="5"/>
  <c r="F50" i="5"/>
  <c r="E50" i="5"/>
  <c r="D50" i="5"/>
  <c r="C50" i="5"/>
  <c r="B50" i="5"/>
  <c r="U49" i="5"/>
  <c r="Q49" i="5"/>
  <c r="P49" i="5"/>
  <c r="N49" i="5"/>
  <c r="M49" i="5"/>
  <c r="L49" i="5"/>
  <c r="Y50" i="7" s="1"/>
  <c r="K49" i="5"/>
  <c r="J49" i="5"/>
  <c r="I49" i="5"/>
  <c r="H49" i="5"/>
  <c r="G49" i="5"/>
  <c r="F49" i="5"/>
  <c r="E49" i="5"/>
  <c r="D49" i="5"/>
  <c r="C49" i="5"/>
  <c r="B49" i="5"/>
  <c r="U48" i="5"/>
  <c r="Q48" i="5"/>
  <c r="P48" i="5"/>
  <c r="N48" i="5"/>
  <c r="M48" i="5"/>
  <c r="L48" i="5"/>
  <c r="D49" i="8" s="1"/>
  <c r="F49" i="8" s="1"/>
  <c r="K48" i="5"/>
  <c r="J48" i="5"/>
  <c r="I48" i="5"/>
  <c r="H48" i="5"/>
  <c r="G48" i="5"/>
  <c r="F48" i="5"/>
  <c r="E48" i="5"/>
  <c r="D48" i="5"/>
  <c r="C48" i="5"/>
  <c r="B48" i="5"/>
  <c r="U47" i="5"/>
  <c r="Q47" i="5"/>
  <c r="P47" i="5"/>
  <c r="O47" i="5"/>
  <c r="N47" i="5"/>
  <c r="M47" i="5"/>
  <c r="L47" i="5"/>
  <c r="Y48" i="7" s="1"/>
  <c r="K47" i="5"/>
  <c r="J47" i="5"/>
  <c r="I47" i="5"/>
  <c r="H47" i="5"/>
  <c r="G47" i="5"/>
  <c r="F47" i="5"/>
  <c r="E47" i="5"/>
  <c r="D47" i="5"/>
  <c r="C47" i="5"/>
  <c r="B47" i="5"/>
  <c r="A47" i="5"/>
  <c r="U46" i="5"/>
  <c r="Q46" i="5"/>
  <c r="P46" i="5"/>
  <c r="N46" i="5"/>
  <c r="M46" i="5"/>
  <c r="L46" i="5"/>
  <c r="O46" i="5" s="1"/>
  <c r="K46" i="5"/>
  <c r="J46" i="5"/>
  <c r="I46" i="5"/>
  <c r="H46" i="5"/>
  <c r="G46" i="5"/>
  <c r="F46" i="5"/>
  <c r="E46" i="5"/>
  <c r="D46" i="5"/>
  <c r="C46" i="5"/>
  <c r="B46" i="5"/>
  <c r="U45" i="5"/>
  <c r="Q45" i="5"/>
  <c r="P45" i="5"/>
  <c r="N45" i="5"/>
  <c r="M45" i="5"/>
  <c r="L45" i="5"/>
  <c r="D46" i="8" s="1"/>
  <c r="F46" i="8" s="1"/>
  <c r="K45" i="5"/>
  <c r="J45" i="5"/>
  <c r="I45" i="5"/>
  <c r="H45" i="5"/>
  <c r="G45" i="5"/>
  <c r="F45" i="5"/>
  <c r="E45" i="5"/>
  <c r="D45" i="5"/>
  <c r="C45" i="5"/>
  <c r="B45" i="5"/>
  <c r="U44" i="5"/>
  <c r="Q44" i="5"/>
  <c r="P44" i="5"/>
  <c r="N44" i="5"/>
  <c r="M44" i="5"/>
  <c r="L44" i="5"/>
  <c r="D45" i="8" s="1"/>
  <c r="F45" i="8" s="1"/>
  <c r="K44" i="5"/>
  <c r="J44" i="5"/>
  <c r="I44" i="5"/>
  <c r="H44" i="5"/>
  <c r="G44" i="5"/>
  <c r="F44" i="5"/>
  <c r="E44" i="5"/>
  <c r="D44" i="5"/>
  <c r="C44" i="5"/>
  <c r="B44" i="5"/>
  <c r="U43" i="5"/>
  <c r="Q43" i="5"/>
  <c r="P43" i="5"/>
  <c r="N43" i="5"/>
  <c r="M43" i="5"/>
  <c r="L43" i="5"/>
  <c r="Y44" i="7" s="1"/>
  <c r="K43" i="5"/>
  <c r="J43" i="5"/>
  <c r="I43" i="5"/>
  <c r="H43" i="5"/>
  <c r="G43" i="5"/>
  <c r="F43" i="5"/>
  <c r="E43" i="5"/>
  <c r="D43" i="5"/>
  <c r="C43" i="5"/>
  <c r="B43" i="5"/>
  <c r="U42" i="5"/>
  <c r="Q42" i="5"/>
  <c r="P42" i="5"/>
  <c r="N42" i="5"/>
  <c r="M42" i="5"/>
  <c r="L42" i="5"/>
  <c r="Y43" i="7" s="1"/>
  <c r="K42" i="5"/>
  <c r="J42" i="5"/>
  <c r="I42" i="5"/>
  <c r="H42" i="5"/>
  <c r="G42" i="5"/>
  <c r="F42" i="5"/>
  <c r="E42" i="5"/>
  <c r="D42" i="5"/>
  <c r="C42" i="5"/>
  <c r="B42" i="5"/>
  <c r="U41" i="5"/>
  <c r="Q41" i="5"/>
  <c r="P41" i="5"/>
  <c r="N41" i="5"/>
  <c r="M41" i="5"/>
  <c r="L41" i="5"/>
  <c r="D42" i="8" s="1"/>
  <c r="F42" i="8" s="1"/>
  <c r="K41" i="5"/>
  <c r="J41" i="5"/>
  <c r="I41" i="5"/>
  <c r="H41" i="5"/>
  <c r="G41" i="5"/>
  <c r="F41" i="5"/>
  <c r="E41" i="5"/>
  <c r="D41" i="5"/>
  <c r="C41" i="5"/>
  <c r="B41" i="5"/>
  <c r="U40" i="5"/>
  <c r="Q40" i="5"/>
  <c r="P40" i="5"/>
  <c r="N40" i="5"/>
  <c r="M40" i="5"/>
  <c r="L40" i="5"/>
  <c r="D41" i="8" s="1"/>
  <c r="F41" i="8" s="1"/>
  <c r="K40" i="5"/>
  <c r="J40" i="5"/>
  <c r="I40" i="5"/>
  <c r="H40" i="5"/>
  <c r="G40" i="5"/>
  <c r="F40" i="5"/>
  <c r="E40" i="5"/>
  <c r="D40" i="5"/>
  <c r="C40" i="5"/>
  <c r="B40" i="5"/>
  <c r="U39" i="5"/>
  <c r="Q39" i="5"/>
  <c r="P39" i="5"/>
  <c r="N39" i="5"/>
  <c r="M39" i="5"/>
  <c r="L39" i="5"/>
  <c r="D40" i="8" s="1"/>
  <c r="F40" i="8" s="1"/>
  <c r="K39" i="5"/>
  <c r="J39" i="5"/>
  <c r="I39" i="5"/>
  <c r="H39" i="5"/>
  <c r="G39" i="5"/>
  <c r="F39" i="5"/>
  <c r="E39" i="5"/>
  <c r="D39" i="5"/>
  <c r="C39" i="5"/>
  <c r="B39" i="5"/>
  <c r="U38" i="5"/>
  <c r="Q38" i="5"/>
  <c r="P38" i="5"/>
  <c r="N38" i="5"/>
  <c r="M38" i="5"/>
  <c r="L38" i="5"/>
  <c r="O38" i="5" s="1"/>
  <c r="K38" i="5"/>
  <c r="J38" i="5"/>
  <c r="I38" i="5"/>
  <c r="H38" i="5"/>
  <c r="G38" i="5"/>
  <c r="F38" i="5"/>
  <c r="E38" i="5"/>
  <c r="D38" i="5"/>
  <c r="C38" i="5"/>
  <c r="B38" i="5"/>
  <c r="U37" i="5"/>
  <c r="Q37" i="5"/>
  <c r="P37" i="5"/>
  <c r="N37" i="5"/>
  <c r="M37" i="5"/>
  <c r="L37" i="5"/>
  <c r="Y38" i="7" s="1"/>
  <c r="K37" i="5"/>
  <c r="J37" i="5"/>
  <c r="I37" i="5"/>
  <c r="H37" i="5"/>
  <c r="G37" i="5"/>
  <c r="F37" i="5"/>
  <c r="E37" i="5"/>
  <c r="D37" i="5"/>
  <c r="C37" i="5"/>
  <c r="B37" i="5"/>
  <c r="U36" i="5"/>
  <c r="Q36" i="5"/>
  <c r="P36" i="5"/>
  <c r="N36" i="5"/>
  <c r="M36" i="5"/>
  <c r="L36" i="5"/>
  <c r="D37" i="8" s="1"/>
  <c r="F37" i="8" s="1"/>
  <c r="K36" i="5"/>
  <c r="J36" i="5"/>
  <c r="I36" i="5"/>
  <c r="H36" i="5"/>
  <c r="G36" i="5"/>
  <c r="F36" i="5"/>
  <c r="E36" i="5"/>
  <c r="D36" i="5"/>
  <c r="C36" i="5"/>
  <c r="B36" i="5"/>
  <c r="U35" i="5"/>
  <c r="Q35" i="5"/>
  <c r="P35" i="5"/>
  <c r="K35" i="5"/>
  <c r="J35" i="5"/>
  <c r="I35" i="5"/>
  <c r="H35" i="5"/>
  <c r="G35" i="5"/>
  <c r="F35" i="5"/>
  <c r="E35" i="5"/>
  <c r="D35" i="5"/>
  <c r="C35" i="5"/>
  <c r="B35" i="5"/>
  <c r="U34" i="5"/>
  <c r="Q34" i="5"/>
  <c r="P34" i="5"/>
  <c r="N34" i="5"/>
  <c r="M34" i="5"/>
  <c r="L34" i="5"/>
  <c r="O34" i="5" s="1"/>
  <c r="K34" i="5"/>
  <c r="J34" i="5"/>
  <c r="I34" i="5"/>
  <c r="H34" i="5"/>
  <c r="G34" i="5"/>
  <c r="F34" i="5"/>
  <c r="E34" i="5"/>
  <c r="D34" i="5"/>
  <c r="C34" i="5"/>
  <c r="B34" i="5"/>
  <c r="U33" i="5"/>
  <c r="Q33" i="5"/>
  <c r="P33" i="5"/>
  <c r="N33" i="5"/>
  <c r="M33" i="5"/>
  <c r="L33" i="5"/>
  <c r="O33" i="5" s="1"/>
  <c r="K33" i="5"/>
  <c r="J33" i="5"/>
  <c r="I33" i="5"/>
  <c r="H33" i="5"/>
  <c r="G33" i="5"/>
  <c r="F33" i="5"/>
  <c r="E33" i="5"/>
  <c r="D33" i="5"/>
  <c r="C33" i="5"/>
  <c r="B33" i="5"/>
  <c r="U32" i="5"/>
  <c r="Q32" i="5"/>
  <c r="P32" i="5"/>
  <c r="N32" i="5"/>
  <c r="M32" i="5"/>
  <c r="L32" i="5"/>
  <c r="Y33" i="7" s="1"/>
  <c r="K32" i="5"/>
  <c r="J32" i="5"/>
  <c r="I32" i="5"/>
  <c r="H32" i="5"/>
  <c r="G32" i="5"/>
  <c r="F32" i="5"/>
  <c r="E32" i="5"/>
  <c r="D32" i="5"/>
  <c r="C32" i="5"/>
  <c r="B32" i="5"/>
  <c r="U31" i="5"/>
  <c r="Q31" i="5"/>
  <c r="P31" i="5"/>
  <c r="N31" i="5"/>
  <c r="M31" i="5"/>
  <c r="L31" i="5"/>
  <c r="Y32" i="7" s="1"/>
  <c r="K31" i="5"/>
  <c r="J31" i="5"/>
  <c r="I31" i="5"/>
  <c r="H31" i="5"/>
  <c r="G31" i="5"/>
  <c r="F31" i="5"/>
  <c r="E31" i="5"/>
  <c r="D31" i="5"/>
  <c r="C31" i="5"/>
  <c r="B31" i="5"/>
  <c r="U30" i="5"/>
  <c r="Q30" i="5"/>
  <c r="P30" i="5"/>
  <c r="K30" i="5"/>
  <c r="J30" i="5"/>
  <c r="I30" i="5"/>
  <c r="H30" i="5"/>
  <c r="G30" i="5"/>
  <c r="F30" i="5"/>
  <c r="E30" i="5"/>
  <c r="D30" i="5"/>
  <c r="C30" i="5"/>
  <c r="B30" i="5"/>
  <c r="U29" i="5"/>
  <c r="Q29" i="5"/>
  <c r="P29" i="5"/>
  <c r="K29" i="5"/>
  <c r="J29" i="5"/>
  <c r="I29" i="5"/>
  <c r="H29" i="5"/>
  <c r="G29" i="5"/>
  <c r="F29" i="5"/>
  <c r="E29" i="5"/>
  <c r="D29" i="5"/>
  <c r="C29" i="5"/>
  <c r="B29" i="5"/>
  <c r="U28" i="5"/>
  <c r="Q28" i="5"/>
  <c r="P28" i="5"/>
  <c r="N28" i="5"/>
  <c r="M28" i="5"/>
  <c r="L28" i="5"/>
  <c r="D29" i="8" s="1"/>
  <c r="F29" i="8" s="1"/>
  <c r="K28" i="5"/>
  <c r="J28" i="5"/>
  <c r="I28" i="5"/>
  <c r="H28" i="5"/>
  <c r="G28" i="5"/>
  <c r="F28" i="5"/>
  <c r="E28" i="5"/>
  <c r="D28" i="5"/>
  <c r="C28" i="5"/>
  <c r="B28" i="5"/>
  <c r="U27" i="5"/>
  <c r="Q27" i="5"/>
  <c r="P27" i="5"/>
  <c r="N27" i="5"/>
  <c r="M27" i="5"/>
  <c r="L27" i="5"/>
  <c r="O27" i="5" s="1"/>
  <c r="K27" i="5"/>
  <c r="J27" i="5"/>
  <c r="I27" i="5"/>
  <c r="H27" i="5"/>
  <c r="G27" i="5"/>
  <c r="F27" i="5"/>
  <c r="E27" i="5"/>
  <c r="D27" i="5"/>
  <c r="C27" i="5"/>
  <c r="B27" i="5"/>
  <c r="U26" i="5"/>
  <c r="Q26" i="5"/>
  <c r="P26" i="5"/>
  <c r="N26" i="5"/>
  <c r="M26" i="5"/>
  <c r="L26" i="5"/>
  <c r="O26" i="5" s="1"/>
  <c r="K26" i="5"/>
  <c r="J26" i="5"/>
  <c r="I26" i="5"/>
  <c r="H26" i="5"/>
  <c r="G26" i="5"/>
  <c r="F26" i="5"/>
  <c r="E26" i="5"/>
  <c r="D26" i="5"/>
  <c r="C26" i="5"/>
  <c r="B26" i="5"/>
  <c r="U25" i="5"/>
  <c r="Q25" i="5"/>
  <c r="P25" i="5"/>
  <c r="K25" i="5"/>
  <c r="J25" i="5"/>
  <c r="I25" i="5"/>
  <c r="H25" i="5"/>
  <c r="G25" i="5"/>
  <c r="F25" i="5"/>
  <c r="E25" i="5"/>
  <c r="D25" i="5"/>
  <c r="C25" i="5"/>
  <c r="B25" i="5"/>
  <c r="U24" i="5"/>
  <c r="Q24" i="5"/>
  <c r="P24" i="5"/>
  <c r="N24" i="5"/>
  <c r="M24" i="5"/>
  <c r="L24" i="5"/>
  <c r="D25" i="8" s="1"/>
  <c r="F25" i="8" s="1"/>
  <c r="K24" i="5"/>
  <c r="J24" i="5"/>
  <c r="I24" i="5"/>
  <c r="H24" i="5"/>
  <c r="G24" i="5"/>
  <c r="F24" i="5"/>
  <c r="E24" i="5"/>
  <c r="D24" i="5"/>
  <c r="C24" i="5"/>
  <c r="B24" i="5"/>
  <c r="U23" i="5"/>
  <c r="Q23" i="5"/>
  <c r="P23" i="5"/>
  <c r="K23" i="5"/>
  <c r="J23" i="5"/>
  <c r="I23" i="5"/>
  <c r="H23" i="5"/>
  <c r="G23" i="5"/>
  <c r="F23" i="5"/>
  <c r="E23" i="5"/>
  <c r="D23" i="5"/>
  <c r="C23" i="5"/>
  <c r="B23" i="5"/>
  <c r="U22" i="5"/>
  <c r="Q22" i="5"/>
  <c r="P22" i="5"/>
  <c r="K22" i="5"/>
  <c r="J22" i="5"/>
  <c r="I22" i="5"/>
  <c r="H22" i="5"/>
  <c r="G22" i="5"/>
  <c r="F22" i="5"/>
  <c r="E22" i="5"/>
  <c r="D22" i="5"/>
  <c r="C22" i="5"/>
  <c r="B22" i="5"/>
  <c r="U21" i="5"/>
  <c r="Q21" i="5"/>
  <c r="P21" i="5"/>
  <c r="K21" i="5"/>
  <c r="J21" i="5"/>
  <c r="I21" i="5"/>
  <c r="H21" i="5"/>
  <c r="G21" i="5"/>
  <c r="F21" i="5"/>
  <c r="E21" i="5"/>
  <c r="D21" i="5"/>
  <c r="C21" i="5"/>
  <c r="B21" i="5"/>
  <c r="U20" i="5"/>
  <c r="Q20" i="5"/>
  <c r="P20" i="5"/>
  <c r="N20" i="5"/>
  <c r="M20" i="5"/>
  <c r="L20" i="5"/>
  <c r="D21" i="8" s="1"/>
  <c r="F21" i="8" s="1"/>
  <c r="K20" i="5"/>
  <c r="J20" i="5"/>
  <c r="I20" i="5"/>
  <c r="H20" i="5"/>
  <c r="G20" i="5"/>
  <c r="F20" i="5"/>
  <c r="E20" i="5"/>
  <c r="D20" i="5"/>
  <c r="C20" i="5"/>
  <c r="B20" i="5"/>
  <c r="U19" i="5"/>
  <c r="Q19" i="5"/>
  <c r="P19" i="5"/>
  <c r="K19" i="5"/>
  <c r="J19" i="5"/>
  <c r="I19" i="5"/>
  <c r="H19" i="5"/>
  <c r="G19" i="5"/>
  <c r="F19" i="5"/>
  <c r="E19" i="5"/>
  <c r="D19" i="5"/>
  <c r="C19" i="5"/>
  <c r="B19" i="5"/>
  <c r="U18" i="5"/>
  <c r="Q18" i="5"/>
  <c r="P18" i="5"/>
  <c r="K18" i="5"/>
  <c r="J18" i="5"/>
  <c r="I18" i="5"/>
  <c r="H18" i="5"/>
  <c r="G18" i="5"/>
  <c r="F18" i="5"/>
  <c r="E18" i="5"/>
  <c r="D18" i="5"/>
  <c r="C18" i="5"/>
  <c r="B18" i="5"/>
  <c r="U17" i="5"/>
  <c r="Q17" i="5"/>
  <c r="P17" i="5"/>
  <c r="K17" i="5"/>
  <c r="J17" i="5"/>
  <c r="I17" i="5"/>
  <c r="H17" i="5"/>
  <c r="G17" i="5"/>
  <c r="F17" i="5"/>
  <c r="E17" i="5"/>
  <c r="D17" i="5"/>
  <c r="C17" i="5"/>
  <c r="B17" i="5"/>
  <c r="U16" i="5"/>
  <c r="Q16" i="5"/>
  <c r="P16" i="5"/>
  <c r="K16" i="5"/>
  <c r="J16" i="5"/>
  <c r="I16" i="5"/>
  <c r="H16" i="5"/>
  <c r="G16" i="5"/>
  <c r="F16" i="5"/>
  <c r="E16" i="5"/>
  <c r="D16" i="5"/>
  <c r="C16" i="5"/>
  <c r="B16" i="5"/>
  <c r="U15" i="5"/>
  <c r="Q15" i="5"/>
  <c r="P15" i="5"/>
  <c r="K15" i="5"/>
  <c r="J15" i="5"/>
  <c r="I15" i="5"/>
  <c r="H15" i="5"/>
  <c r="G15" i="5"/>
  <c r="F15" i="5"/>
  <c r="E15" i="5"/>
  <c r="D15" i="5"/>
  <c r="C15" i="5"/>
  <c r="B15" i="5"/>
  <c r="U14" i="5"/>
  <c r="Q14" i="5"/>
  <c r="P14" i="5"/>
  <c r="K14" i="5"/>
  <c r="J14" i="5"/>
  <c r="I14" i="5"/>
  <c r="H14" i="5"/>
  <c r="G14" i="5"/>
  <c r="F14" i="5"/>
  <c r="E14" i="5"/>
  <c r="D14" i="5"/>
  <c r="C14" i="5"/>
  <c r="B14" i="5"/>
  <c r="U13" i="5"/>
  <c r="Q13" i="5"/>
  <c r="P13" i="5"/>
  <c r="K13" i="5"/>
  <c r="J13" i="5"/>
  <c r="I13" i="5"/>
  <c r="H13" i="5"/>
  <c r="G13" i="5"/>
  <c r="F13" i="5"/>
  <c r="E13" i="5"/>
  <c r="D13" i="5"/>
  <c r="C13" i="5"/>
  <c r="B13" i="5"/>
  <c r="U12" i="5"/>
  <c r="Q12" i="5"/>
  <c r="P12" i="5"/>
  <c r="K12" i="5"/>
  <c r="J12" i="5"/>
  <c r="I12" i="5"/>
  <c r="H12" i="5"/>
  <c r="G12" i="5"/>
  <c r="F12" i="5"/>
  <c r="E12" i="5"/>
  <c r="D12" i="5"/>
  <c r="C12" i="5"/>
  <c r="B12" i="5"/>
  <c r="U11" i="5"/>
  <c r="Q11" i="5"/>
  <c r="P11" i="5"/>
  <c r="N11" i="5"/>
  <c r="M11" i="5"/>
  <c r="L11" i="5"/>
  <c r="Y12" i="7" s="1"/>
  <c r="K11" i="5"/>
  <c r="J11" i="5"/>
  <c r="I11" i="5"/>
  <c r="H11" i="5"/>
  <c r="G11" i="5"/>
  <c r="F11" i="5"/>
  <c r="E11" i="5"/>
  <c r="D11" i="5"/>
  <c r="C11" i="5"/>
  <c r="B11" i="5"/>
  <c r="U10" i="5"/>
  <c r="Q10" i="5"/>
  <c r="P10" i="5"/>
  <c r="K10" i="5"/>
  <c r="J10" i="5"/>
  <c r="I10" i="5"/>
  <c r="H10" i="5"/>
  <c r="G10" i="5"/>
  <c r="F10" i="5"/>
  <c r="E10" i="5"/>
  <c r="D10" i="5"/>
  <c r="C10" i="5"/>
  <c r="B10" i="5"/>
  <c r="H9" i="5"/>
  <c r="I9" i="5" s="1"/>
  <c r="G9" i="5"/>
  <c r="F9" i="5"/>
  <c r="E9" i="5"/>
  <c r="Z10" i="7" s="1"/>
  <c r="AK10" i="7" s="1"/>
  <c r="D9" i="5"/>
  <c r="C9" i="5"/>
  <c r="B9" i="5"/>
  <c r="H8" i="5"/>
  <c r="E8" i="5"/>
  <c r="D8" i="5"/>
  <c r="BL12" i="12" s="1"/>
  <c r="C8" i="5"/>
  <c r="B8" i="5"/>
  <c r="U7" i="5"/>
  <c r="Q7" i="5"/>
  <c r="P7" i="5"/>
  <c r="K7" i="5"/>
  <c r="J7" i="5"/>
  <c r="I7" i="5"/>
  <c r="H7" i="5"/>
  <c r="G7" i="5"/>
  <c r="F7" i="5"/>
  <c r="E7" i="5"/>
  <c r="D7" i="5"/>
  <c r="C7" i="5"/>
  <c r="B7" i="5"/>
  <c r="U66" i="4"/>
  <c r="Q66" i="4"/>
  <c r="P66" i="4"/>
  <c r="N66" i="4"/>
  <c r="M66" i="4"/>
  <c r="L66" i="4"/>
  <c r="A66" i="4" s="1"/>
  <c r="K66" i="4"/>
  <c r="J66" i="4"/>
  <c r="I66" i="4"/>
  <c r="H66" i="4"/>
  <c r="G66" i="4"/>
  <c r="F66" i="4"/>
  <c r="E66" i="4"/>
  <c r="D66" i="4"/>
  <c r="C66" i="4"/>
  <c r="B66" i="4"/>
  <c r="U65" i="4"/>
  <c r="Q65" i="4"/>
  <c r="P65" i="4"/>
  <c r="N65" i="4"/>
  <c r="M65" i="4"/>
  <c r="L65" i="4"/>
  <c r="A65" i="4" s="1"/>
  <c r="K65" i="4"/>
  <c r="J65" i="4"/>
  <c r="I65" i="4"/>
  <c r="H65" i="4"/>
  <c r="G65" i="4"/>
  <c r="F65" i="4"/>
  <c r="E65" i="4"/>
  <c r="D65" i="4"/>
  <c r="C65" i="4"/>
  <c r="B65" i="4"/>
  <c r="U64" i="4"/>
  <c r="Q64" i="4"/>
  <c r="P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U63" i="4"/>
  <c r="Q63" i="4"/>
  <c r="P63" i="4"/>
  <c r="N63" i="4"/>
  <c r="M63" i="4"/>
  <c r="L63" i="4"/>
  <c r="A63" i="4" s="1"/>
  <c r="K63" i="4"/>
  <c r="J63" i="4"/>
  <c r="I63" i="4"/>
  <c r="H63" i="4"/>
  <c r="G63" i="4"/>
  <c r="F63" i="4"/>
  <c r="E63" i="4"/>
  <c r="D63" i="4"/>
  <c r="C63" i="4"/>
  <c r="B63" i="4"/>
  <c r="U62" i="4"/>
  <c r="Q62" i="4"/>
  <c r="P62" i="4"/>
  <c r="N62" i="4"/>
  <c r="M62" i="4"/>
  <c r="L62" i="4"/>
  <c r="BA63" i="7" s="1"/>
  <c r="K62" i="4"/>
  <c r="J62" i="4"/>
  <c r="I62" i="4"/>
  <c r="H62" i="4"/>
  <c r="G62" i="4"/>
  <c r="F62" i="4"/>
  <c r="E62" i="4"/>
  <c r="D62" i="4"/>
  <c r="C62" i="4"/>
  <c r="B62" i="4"/>
  <c r="U61" i="4"/>
  <c r="Q61" i="4"/>
  <c r="P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U60" i="4"/>
  <c r="Q60" i="4"/>
  <c r="P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U59" i="4"/>
  <c r="Q59" i="4"/>
  <c r="P59" i="4"/>
  <c r="N59" i="4"/>
  <c r="M59" i="4"/>
  <c r="L59" i="4"/>
  <c r="A59" i="4" s="1"/>
  <c r="K59" i="4"/>
  <c r="J59" i="4"/>
  <c r="I59" i="4"/>
  <c r="H59" i="4"/>
  <c r="G59" i="4"/>
  <c r="F59" i="4"/>
  <c r="E59" i="4"/>
  <c r="D59" i="4"/>
  <c r="C59" i="4"/>
  <c r="B59" i="4"/>
  <c r="U58" i="4"/>
  <c r="Q58" i="4"/>
  <c r="P58" i="4"/>
  <c r="N58" i="4"/>
  <c r="M58" i="4"/>
  <c r="L58" i="4"/>
  <c r="A58" i="4" s="1"/>
  <c r="K58" i="4"/>
  <c r="J58" i="4"/>
  <c r="I58" i="4"/>
  <c r="H58" i="4"/>
  <c r="G58" i="4"/>
  <c r="F58" i="4"/>
  <c r="E58" i="4"/>
  <c r="D58" i="4"/>
  <c r="C58" i="4"/>
  <c r="B58" i="4"/>
  <c r="U57" i="4"/>
  <c r="Q57" i="4"/>
  <c r="P57" i="4"/>
  <c r="N57" i="4"/>
  <c r="M57" i="4"/>
  <c r="L57" i="4"/>
  <c r="C58" i="8" s="1"/>
  <c r="E58" i="8" s="1"/>
  <c r="K57" i="4"/>
  <c r="J57" i="4"/>
  <c r="I57" i="4"/>
  <c r="H57" i="4"/>
  <c r="G57" i="4"/>
  <c r="F57" i="4"/>
  <c r="E57" i="4"/>
  <c r="D57" i="4"/>
  <c r="C57" i="4"/>
  <c r="B57" i="4"/>
  <c r="U56" i="4"/>
  <c r="Q56" i="4"/>
  <c r="P56" i="4"/>
  <c r="N56" i="4"/>
  <c r="M56" i="4"/>
  <c r="L56" i="4"/>
  <c r="A56" i="4" s="1"/>
  <c r="K56" i="4"/>
  <c r="J56" i="4"/>
  <c r="I56" i="4"/>
  <c r="H56" i="4"/>
  <c r="G56" i="4"/>
  <c r="F56" i="4"/>
  <c r="E56" i="4"/>
  <c r="D56" i="4"/>
  <c r="C56" i="4"/>
  <c r="B56" i="4"/>
  <c r="U55" i="4"/>
  <c r="Q55" i="4"/>
  <c r="P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U54" i="4"/>
  <c r="Q54" i="4"/>
  <c r="P54" i="4"/>
  <c r="N54" i="4"/>
  <c r="M54" i="4"/>
  <c r="L54" i="4"/>
  <c r="A54" i="4" s="1"/>
  <c r="K54" i="4"/>
  <c r="J54" i="4"/>
  <c r="I54" i="4"/>
  <c r="H54" i="4"/>
  <c r="G54" i="4"/>
  <c r="F54" i="4"/>
  <c r="E54" i="4"/>
  <c r="D54" i="4"/>
  <c r="C54" i="4"/>
  <c r="B54" i="4"/>
  <c r="U53" i="4"/>
  <c r="Q53" i="4"/>
  <c r="P53" i="4"/>
  <c r="N53" i="4"/>
  <c r="M53" i="4"/>
  <c r="L53" i="4"/>
  <c r="A53" i="4" s="1"/>
  <c r="K53" i="4"/>
  <c r="J53" i="4"/>
  <c r="I53" i="4"/>
  <c r="H53" i="4"/>
  <c r="G53" i="4"/>
  <c r="F53" i="4"/>
  <c r="E53" i="4"/>
  <c r="D53" i="4"/>
  <c r="C53" i="4"/>
  <c r="B53" i="4"/>
  <c r="U52" i="4"/>
  <c r="Q52" i="4"/>
  <c r="P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U51" i="4"/>
  <c r="Q51" i="4"/>
  <c r="P51" i="4"/>
  <c r="N51" i="4"/>
  <c r="M51" i="4"/>
  <c r="L51" i="4"/>
  <c r="A51" i="4" s="1"/>
  <c r="K51" i="4"/>
  <c r="J51" i="4"/>
  <c r="I51" i="4"/>
  <c r="H51" i="4"/>
  <c r="G51" i="4"/>
  <c r="F51" i="4"/>
  <c r="E51" i="4"/>
  <c r="D51" i="4"/>
  <c r="C51" i="4"/>
  <c r="B51" i="4"/>
  <c r="U50" i="4"/>
  <c r="Q50" i="4"/>
  <c r="P50" i="4"/>
  <c r="N50" i="4"/>
  <c r="M50" i="4"/>
  <c r="L50" i="4"/>
  <c r="BA51" i="7" s="1"/>
  <c r="K50" i="4"/>
  <c r="J50" i="4"/>
  <c r="I50" i="4"/>
  <c r="H50" i="4"/>
  <c r="G50" i="4"/>
  <c r="F50" i="4"/>
  <c r="E50" i="4"/>
  <c r="D50" i="4"/>
  <c r="C50" i="4"/>
  <c r="B50" i="4"/>
  <c r="U49" i="4"/>
  <c r="Q49" i="4"/>
  <c r="P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U48" i="4"/>
  <c r="Q48" i="4"/>
  <c r="P48" i="4"/>
  <c r="N48" i="4"/>
  <c r="M48" i="4"/>
  <c r="L48" i="4"/>
  <c r="X49" i="7" s="1"/>
  <c r="K48" i="4"/>
  <c r="J48" i="4"/>
  <c r="I48" i="4"/>
  <c r="H48" i="4"/>
  <c r="G48" i="4"/>
  <c r="F48" i="4"/>
  <c r="E48" i="4"/>
  <c r="D48" i="4"/>
  <c r="C48" i="4"/>
  <c r="B48" i="4"/>
  <c r="A48" i="4"/>
  <c r="U47" i="4"/>
  <c r="Q47" i="4"/>
  <c r="P47" i="4"/>
  <c r="N47" i="4"/>
  <c r="M47" i="4"/>
  <c r="L47" i="4"/>
  <c r="A47" i="4" s="1"/>
  <c r="K47" i="4"/>
  <c r="J47" i="4"/>
  <c r="I47" i="4"/>
  <c r="H47" i="4"/>
  <c r="G47" i="4"/>
  <c r="F47" i="4"/>
  <c r="E47" i="4"/>
  <c r="D47" i="4"/>
  <c r="C47" i="4"/>
  <c r="B47" i="4"/>
  <c r="U46" i="4"/>
  <c r="Q46" i="4"/>
  <c r="P46" i="4"/>
  <c r="N46" i="4"/>
  <c r="M46" i="4"/>
  <c r="L46" i="4"/>
  <c r="A46" i="4" s="1"/>
  <c r="K46" i="4"/>
  <c r="J46" i="4"/>
  <c r="I46" i="4"/>
  <c r="H46" i="4"/>
  <c r="G46" i="4"/>
  <c r="F46" i="4"/>
  <c r="E46" i="4"/>
  <c r="D46" i="4"/>
  <c r="C46" i="4"/>
  <c r="B46" i="4"/>
  <c r="U45" i="4"/>
  <c r="Q45" i="4"/>
  <c r="P45" i="4"/>
  <c r="N45" i="4"/>
  <c r="M45" i="4"/>
  <c r="L45" i="4"/>
  <c r="A45" i="4" s="1"/>
  <c r="K45" i="4"/>
  <c r="J45" i="4"/>
  <c r="I45" i="4"/>
  <c r="H45" i="4"/>
  <c r="G45" i="4"/>
  <c r="F45" i="4"/>
  <c r="E45" i="4"/>
  <c r="D45" i="4"/>
  <c r="C45" i="4"/>
  <c r="B45" i="4"/>
  <c r="U44" i="4"/>
  <c r="Q44" i="4"/>
  <c r="P44" i="4"/>
  <c r="N44" i="4"/>
  <c r="M44" i="4"/>
  <c r="L44" i="4"/>
  <c r="C45" i="8" s="1"/>
  <c r="K44" i="4"/>
  <c r="J44" i="4"/>
  <c r="I44" i="4"/>
  <c r="H44" i="4"/>
  <c r="G44" i="4"/>
  <c r="F44" i="4"/>
  <c r="E44" i="4"/>
  <c r="D44" i="4"/>
  <c r="C44" i="4"/>
  <c r="B44" i="4"/>
  <c r="U43" i="4"/>
  <c r="Q43" i="4"/>
  <c r="P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U42" i="4"/>
  <c r="Q42" i="4"/>
  <c r="P42" i="4"/>
  <c r="N42" i="4"/>
  <c r="M42" i="4"/>
  <c r="L42" i="4"/>
  <c r="A42" i="4" s="1"/>
  <c r="K42" i="4"/>
  <c r="J42" i="4"/>
  <c r="I42" i="4"/>
  <c r="H42" i="4"/>
  <c r="G42" i="4"/>
  <c r="F42" i="4"/>
  <c r="E42" i="4"/>
  <c r="D42" i="4"/>
  <c r="C42" i="4"/>
  <c r="B42" i="4"/>
  <c r="U41" i="4"/>
  <c r="Q41" i="4"/>
  <c r="P41" i="4"/>
  <c r="N41" i="4"/>
  <c r="M41" i="4"/>
  <c r="L41" i="4"/>
  <c r="A41" i="4" s="1"/>
  <c r="K41" i="4"/>
  <c r="J41" i="4"/>
  <c r="I41" i="4"/>
  <c r="H41" i="4"/>
  <c r="G41" i="4"/>
  <c r="F41" i="4"/>
  <c r="E41" i="4"/>
  <c r="D41" i="4"/>
  <c r="C41" i="4"/>
  <c r="B41" i="4"/>
  <c r="U40" i="4"/>
  <c r="Q40" i="4"/>
  <c r="P40" i="4"/>
  <c r="N40" i="4"/>
  <c r="M40" i="4"/>
  <c r="L40" i="4"/>
  <c r="C41" i="8" s="1"/>
  <c r="K40" i="4"/>
  <c r="J40" i="4"/>
  <c r="I40" i="4"/>
  <c r="H40" i="4"/>
  <c r="G40" i="4"/>
  <c r="F40" i="4"/>
  <c r="E40" i="4"/>
  <c r="D40" i="4"/>
  <c r="C40" i="4"/>
  <c r="B40" i="4"/>
  <c r="A40" i="4"/>
  <c r="U39" i="4"/>
  <c r="Q39" i="4"/>
  <c r="P39" i="4"/>
  <c r="N39" i="4"/>
  <c r="M39" i="4"/>
  <c r="L39" i="4"/>
  <c r="A39" i="4" s="1"/>
  <c r="K39" i="4"/>
  <c r="J39" i="4"/>
  <c r="I39" i="4"/>
  <c r="H39" i="4"/>
  <c r="G39" i="4"/>
  <c r="F39" i="4"/>
  <c r="E39" i="4"/>
  <c r="D39" i="4"/>
  <c r="C39" i="4"/>
  <c r="B39" i="4"/>
  <c r="U38" i="4"/>
  <c r="Q38" i="4"/>
  <c r="P38" i="4"/>
  <c r="N38" i="4"/>
  <c r="M38" i="4"/>
  <c r="L38" i="4"/>
  <c r="C39" i="8" s="1"/>
  <c r="K38" i="4"/>
  <c r="J38" i="4"/>
  <c r="I38" i="4"/>
  <c r="H38" i="4"/>
  <c r="G38" i="4"/>
  <c r="F38" i="4"/>
  <c r="E38" i="4"/>
  <c r="D38" i="4"/>
  <c r="C38" i="4"/>
  <c r="B38" i="4"/>
  <c r="U37" i="4"/>
  <c r="Q37" i="4"/>
  <c r="P37" i="4"/>
  <c r="N37" i="4"/>
  <c r="M37" i="4"/>
  <c r="L37" i="4"/>
  <c r="C38" i="8" s="1"/>
  <c r="K37" i="4"/>
  <c r="J37" i="4"/>
  <c r="I37" i="4"/>
  <c r="H37" i="4"/>
  <c r="G37" i="4"/>
  <c r="F37" i="4"/>
  <c r="E37" i="4"/>
  <c r="D37" i="4"/>
  <c r="C37" i="4"/>
  <c r="B37" i="4"/>
  <c r="A37" i="4"/>
  <c r="U36" i="4"/>
  <c r="Q36" i="4"/>
  <c r="P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U35" i="4"/>
  <c r="Q35" i="4"/>
  <c r="P35" i="4"/>
  <c r="K35" i="4"/>
  <c r="J35" i="4"/>
  <c r="I35" i="4"/>
  <c r="H35" i="4"/>
  <c r="G35" i="4"/>
  <c r="F35" i="4"/>
  <c r="E35" i="4"/>
  <c r="D35" i="4"/>
  <c r="C35" i="4"/>
  <c r="B35" i="4"/>
  <c r="U34" i="4"/>
  <c r="Q34" i="4"/>
  <c r="P34" i="4"/>
  <c r="K34" i="4"/>
  <c r="J34" i="4"/>
  <c r="I34" i="4"/>
  <c r="H34" i="4"/>
  <c r="G34" i="4"/>
  <c r="F34" i="4"/>
  <c r="E34" i="4"/>
  <c r="D34" i="4"/>
  <c r="C34" i="4"/>
  <c r="B34" i="4"/>
  <c r="U33" i="4"/>
  <c r="Q33" i="4"/>
  <c r="P33" i="4"/>
  <c r="K33" i="4"/>
  <c r="J33" i="4"/>
  <c r="I33" i="4"/>
  <c r="H33" i="4"/>
  <c r="G33" i="4"/>
  <c r="F33" i="4"/>
  <c r="E33" i="4"/>
  <c r="D33" i="4"/>
  <c r="C33" i="4"/>
  <c r="B33" i="4"/>
  <c r="U32" i="4"/>
  <c r="Q32" i="4"/>
  <c r="P32" i="4"/>
  <c r="K32" i="4"/>
  <c r="J32" i="4"/>
  <c r="I32" i="4"/>
  <c r="H32" i="4"/>
  <c r="G32" i="4"/>
  <c r="F32" i="4"/>
  <c r="E32" i="4"/>
  <c r="D32" i="4"/>
  <c r="C32" i="4"/>
  <c r="B32" i="4"/>
  <c r="U31" i="4"/>
  <c r="Q31" i="4"/>
  <c r="P31" i="4"/>
  <c r="K31" i="4"/>
  <c r="J31" i="4"/>
  <c r="I31" i="4"/>
  <c r="H31" i="4"/>
  <c r="G31" i="4"/>
  <c r="F31" i="4"/>
  <c r="E31" i="4"/>
  <c r="D31" i="4"/>
  <c r="C31" i="4"/>
  <c r="B31" i="4"/>
  <c r="U30" i="4"/>
  <c r="Q30" i="4"/>
  <c r="P30" i="4"/>
  <c r="K30" i="4"/>
  <c r="J30" i="4"/>
  <c r="I30" i="4"/>
  <c r="H30" i="4"/>
  <c r="G30" i="4"/>
  <c r="F30" i="4"/>
  <c r="E30" i="4"/>
  <c r="D30" i="4"/>
  <c r="C30" i="4"/>
  <c r="B30" i="4"/>
  <c r="U29" i="4"/>
  <c r="Q29" i="4"/>
  <c r="P29" i="4"/>
  <c r="K29" i="4"/>
  <c r="J29" i="4"/>
  <c r="I29" i="4"/>
  <c r="H29" i="4"/>
  <c r="G29" i="4"/>
  <c r="F29" i="4"/>
  <c r="E29" i="4"/>
  <c r="D29" i="4"/>
  <c r="C29" i="4"/>
  <c r="B29" i="4"/>
  <c r="U28" i="4"/>
  <c r="Q28" i="4"/>
  <c r="P28" i="4"/>
  <c r="K28" i="4"/>
  <c r="J28" i="4"/>
  <c r="I28" i="4"/>
  <c r="H28" i="4"/>
  <c r="G28" i="4"/>
  <c r="F28" i="4"/>
  <c r="E28" i="4"/>
  <c r="D28" i="4"/>
  <c r="C28" i="4"/>
  <c r="B28" i="4"/>
  <c r="U27" i="4"/>
  <c r="Q27" i="4"/>
  <c r="P27" i="4"/>
  <c r="K27" i="4"/>
  <c r="J27" i="4"/>
  <c r="I27" i="4"/>
  <c r="H27" i="4"/>
  <c r="G27" i="4"/>
  <c r="F27" i="4"/>
  <c r="E27" i="4"/>
  <c r="D27" i="4"/>
  <c r="C27" i="4"/>
  <c r="B27" i="4"/>
  <c r="U26" i="4"/>
  <c r="Q26" i="4"/>
  <c r="P26" i="4"/>
  <c r="K26" i="4"/>
  <c r="J26" i="4"/>
  <c r="I26" i="4"/>
  <c r="H26" i="4"/>
  <c r="G26" i="4"/>
  <c r="F26" i="4"/>
  <c r="E26" i="4"/>
  <c r="D26" i="4"/>
  <c r="C26" i="4"/>
  <c r="B26" i="4"/>
  <c r="U25" i="4"/>
  <c r="Q25" i="4"/>
  <c r="P25" i="4"/>
  <c r="K25" i="4"/>
  <c r="J25" i="4"/>
  <c r="I25" i="4"/>
  <c r="H25" i="4"/>
  <c r="G25" i="4"/>
  <c r="F25" i="4"/>
  <c r="E25" i="4"/>
  <c r="D25" i="4"/>
  <c r="C25" i="4"/>
  <c r="B25" i="4"/>
  <c r="U24" i="4"/>
  <c r="Q24" i="4"/>
  <c r="P24" i="4"/>
  <c r="K24" i="4"/>
  <c r="J24" i="4"/>
  <c r="I24" i="4"/>
  <c r="H24" i="4"/>
  <c r="G24" i="4"/>
  <c r="F24" i="4"/>
  <c r="E24" i="4"/>
  <c r="D24" i="4"/>
  <c r="C24" i="4"/>
  <c r="B24" i="4"/>
  <c r="U23" i="4"/>
  <c r="Q23" i="4"/>
  <c r="P23" i="4"/>
  <c r="K23" i="4"/>
  <c r="J23" i="4"/>
  <c r="I23" i="4"/>
  <c r="H23" i="4"/>
  <c r="G23" i="4"/>
  <c r="F23" i="4"/>
  <c r="E23" i="4"/>
  <c r="D23" i="4"/>
  <c r="C23" i="4"/>
  <c r="B23" i="4"/>
  <c r="U22" i="4"/>
  <c r="Q22" i="4"/>
  <c r="P22" i="4"/>
  <c r="K22" i="4"/>
  <c r="J22" i="4"/>
  <c r="I22" i="4"/>
  <c r="H22" i="4"/>
  <c r="G22" i="4"/>
  <c r="F22" i="4"/>
  <c r="E22" i="4"/>
  <c r="D22" i="4"/>
  <c r="C22" i="4"/>
  <c r="B22" i="4"/>
  <c r="U21" i="4"/>
  <c r="Q21" i="4"/>
  <c r="P21" i="4"/>
  <c r="K21" i="4"/>
  <c r="J21" i="4"/>
  <c r="I21" i="4"/>
  <c r="H21" i="4"/>
  <c r="G21" i="4"/>
  <c r="F21" i="4"/>
  <c r="E21" i="4"/>
  <c r="D21" i="4"/>
  <c r="C21" i="4"/>
  <c r="B21" i="4"/>
  <c r="U20" i="4"/>
  <c r="Q20" i="4"/>
  <c r="P20" i="4"/>
  <c r="K20" i="4"/>
  <c r="J20" i="4"/>
  <c r="I20" i="4"/>
  <c r="H20" i="4"/>
  <c r="G20" i="4"/>
  <c r="F20" i="4"/>
  <c r="E20" i="4"/>
  <c r="D20" i="4"/>
  <c r="C20" i="4"/>
  <c r="B20" i="4"/>
  <c r="U19" i="4"/>
  <c r="Q19" i="4"/>
  <c r="P19" i="4"/>
  <c r="K19" i="4"/>
  <c r="J19" i="4"/>
  <c r="I19" i="4"/>
  <c r="H19" i="4"/>
  <c r="G19" i="4"/>
  <c r="F19" i="4"/>
  <c r="E19" i="4"/>
  <c r="D19" i="4"/>
  <c r="C19" i="4"/>
  <c r="B19" i="4"/>
  <c r="U18" i="4"/>
  <c r="Q18" i="4"/>
  <c r="P18" i="4"/>
  <c r="K18" i="4"/>
  <c r="J18" i="4"/>
  <c r="I18" i="4"/>
  <c r="H18" i="4"/>
  <c r="G18" i="4"/>
  <c r="F18" i="4"/>
  <c r="E18" i="4"/>
  <c r="D18" i="4"/>
  <c r="C18" i="4"/>
  <c r="B18" i="4"/>
  <c r="U17" i="4"/>
  <c r="Q17" i="4"/>
  <c r="P17" i="4"/>
  <c r="K17" i="4"/>
  <c r="J17" i="4"/>
  <c r="I17" i="4"/>
  <c r="H17" i="4"/>
  <c r="G17" i="4"/>
  <c r="F17" i="4"/>
  <c r="E17" i="4"/>
  <c r="D17" i="4"/>
  <c r="C17" i="4"/>
  <c r="B17" i="4"/>
  <c r="U16" i="4"/>
  <c r="Q16" i="4"/>
  <c r="P16" i="4"/>
  <c r="K16" i="4"/>
  <c r="J16" i="4"/>
  <c r="I16" i="4"/>
  <c r="H16" i="4"/>
  <c r="G16" i="4"/>
  <c r="F16" i="4"/>
  <c r="E16" i="4"/>
  <c r="D16" i="4"/>
  <c r="C16" i="4"/>
  <c r="B16" i="4"/>
  <c r="U15" i="4"/>
  <c r="Q15" i="4"/>
  <c r="P15" i="4"/>
  <c r="K15" i="4"/>
  <c r="J15" i="4"/>
  <c r="I15" i="4"/>
  <c r="H15" i="4"/>
  <c r="G15" i="4"/>
  <c r="F15" i="4"/>
  <c r="E15" i="4"/>
  <c r="D15" i="4"/>
  <c r="C15" i="4"/>
  <c r="B15" i="4"/>
  <c r="U14" i="4"/>
  <c r="Q14" i="4"/>
  <c r="P14" i="4"/>
  <c r="K14" i="4"/>
  <c r="J14" i="4"/>
  <c r="I14" i="4"/>
  <c r="H14" i="4"/>
  <c r="G14" i="4"/>
  <c r="F14" i="4"/>
  <c r="E14" i="4"/>
  <c r="D14" i="4"/>
  <c r="C14" i="4"/>
  <c r="B14" i="4"/>
  <c r="U13" i="4"/>
  <c r="Q13" i="4"/>
  <c r="P13" i="4"/>
  <c r="K13" i="4"/>
  <c r="J13" i="4"/>
  <c r="I13" i="4"/>
  <c r="H13" i="4"/>
  <c r="G13" i="4"/>
  <c r="F13" i="4"/>
  <c r="E13" i="4"/>
  <c r="D13" i="4"/>
  <c r="C13" i="4"/>
  <c r="B13" i="4"/>
  <c r="U12" i="4"/>
  <c r="Q12" i="4"/>
  <c r="P12" i="4"/>
  <c r="K12" i="4"/>
  <c r="J12" i="4"/>
  <c r="I12" i="4"/>
  <c r="H12" i="4"/>
  <c r="G12" i="4"/>
  <c r="F12" i="4"/>
  <c r="E12" i="4"/>
  <c r="D12" i="4"/>
  <c r="C12" i="4"/>
  <c r="B12" i="4"/>
  <c r="U11" i="4"/>
  <c r="Q11" i="4"/>
  <c r="P11" i="4"/>
  <c r="K11" i="4"/>
  <c r="J11" i="4"/>
  <c r="I11" i="4"/>
  <c r="H11" i="4"/>
  <c r="G11" i="4"/>
  <c r="F11" i="4"/>
  <c r="E11" i="4"/>
  <c r="D11" i="4"/>
  <c r="C11" i="4"/>
  <c r="B11" i="4"/>
  <c r="U10" i="4"/>
  <c r="Q10" i="4"/>
  <c r="P10" i="4"/>
  <c r="K10" i="4"/>
  <c r="J10" i="4"/>
  <c r="I10" i="4"/>
  <c r="H10" i="4"/>
  <c r="G10" i="4"/>
  <c r="F10" i="4"/>
  <c r="E10" i="4"/>
  <c r="D10" i="4"/>
  <c r="C10" i="4"/>
  <c r="B10" i="4"/>
  <c r="U9" i="4"/>
  <c r="Q9" i="4"/>
  <c r="P9" i="4"/>
  <c r="K9" i="4"/>
  <c r="J9" i="4"/>
  <c r="I9" i="4"/>
  <c r="H9" i="4"/>
  <c r="G9" i="4"/>
  <c r="F9" i="4"/>
  <c r="E9" i="4"/>
  <c r="D9" i="4"/>
  <c r="C9" i="4"/>
  <c r="B9" i="4"/>
  <c r="H8" i="4"/>
  <c r="P8" i="4" s="1"/>
  <c r="G8" i="4"/>
  <c r="E8" i="4"/>
  <c r="D8" i="4"/>
  <c r="C8" i="4"/>
  <c r="B8" i="4"/>
  <c r="U7" i="4"/>
  <c r="Q7" i="4"/>
  <c r="P7" i="4"/>
  <c r="K7" i="4"/>
  <c r="J7" i="4"/>
  <c r="I7" i="4"/>
  <c r="H7" i="4"/>
  <c r="G7" i="4"/>
  <c r="F7" i="4"/>
  <c r="E7" i="4"/>
  <c r="D7" i="4"/>
  <c r="C7" i="4"/>
  <c r="B7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I104" i="1"/>
  <c r="H104" i="1"/>
  <c r="G104" i="1"/>
  <c r="I103" i="1"/>
  <c r="H103" i="1"/>
  <c r="G103" i="1"/>
  <c r="I102" i="1"/>
  <c r="H102" i="1"/>
  <c r="G102" i="1"/>
  <c r="E99" i="1"/>
  <c r="AN62" i="1"/>
  <c r="AJ62" i="1"/>
  <c r="AI62" i="1"/>
  <c r="AE62" i="1"/>
  <c r="AD62" i="1"/>
  <c r="AB62" i="1"/>
  <c r="AA62" i="1"/>
  <c r="Z62" i="1"/>
  <c r="AN61" i="1"/>
  <c r="AJ61" i="1"/>
  <c r="AI61" i="1"/>
  <c r="AE61" i="1"/>
  <c r="AD61" i="1"/>
  <c r="AB61" i="1"/>
  <c r="AA61" i="1"/>
  <c r="Z61" i="1"/>
  <c r="AN60" i="1"/>
  <c r="AJ60" i="1"/>
  <c r="AI60" i="1"/>
  <c r="AE60" i="1"/>
  <c r="AD60" i="1"/>
  <c r="AB60" i="1"/>
  <c r="AA60" i="1"/>
  <c r="Z60" i="1"/>
  <c r="AN59" i="1"/>
  <c r="AJ59" i="1"/>
  <c r="AI59" i="1"/>
  <c r="AE59" i="1"/>
  <c r="AD59" i="1"/>
  <c r="AB59" i="1"/>
  <c r="AA59" i="1"/>
  <c r="Z59" i="1"/>
  <c r="AN58" i="1"/>
  <c r="AJ58" i="1"/>
  <c r="AI58" i="1"/>
  <c r="AE58" i="1"/>
  <c r="AD58" i="1"/>
  <c r="AB58" i="1"/>
  <c r="AA58" i="1"/>
  <c r="Z58" i="1"/>
  <c r="AN57" i="1"/>
  <c r="AJ57" i="1"/>
  <c r="AI57" i="1"/>
  <c r="AE57" i="1"/>
  <c r="AD57" i="1"/>
  <c r="AB57" i="1"/>
  <c r="AA57" i="1"/>
  <c r="Z57" i="1"/>
  <c r="AN56" i="1"/>
  <c r="AJ56" i="1"/>
  <c r="AI56" i="1"/>
  <c r="AE56" i="1"/>
  <c r="AD56" i="1"/>
  <c r="AB56" i="1"/>
  <c r="AA56" i="1"/>
  <c r="Z56" i="1"/>
  <c r="AN55" i="1"/>
  <c r="AJ55" i="1"/>
  <c r="AI55" i="1"/>
  <c r="AE55" i="1"/>
  <c r="AD55" i="1"/>
  <c r="AB55" i="1"/>
  <c r="AA55" i="1"/>
  <c r="Z55" i="1"/>
  <c r="AN54" i="1"/>
  <c r="AJ54" i="1"/>
  <c r="AI54" i="1"/>
  <c r="AE54" i="1"/>
  <c r="AD54" i="1"/>
  <c r="AB54" i="1"/>
  <c r="AA54" i="1"/>
  <c r="Z54" i="1"/>
  <c r="AN53" i="1"/>
  <c r="AJ53" i="1"/>
  <c r="AI53" i="1"/>
  <c r="AE53" i="1"/>
  <c r="AD53" i="1"/>
  <c r="AB53" i="1"/>
  <c r="AA53" i="1"/>
  <c r="Z53" i="1"/>
  <c r="AN52" i="1"/>
  <c r="AJ52" i="1"/>
  <c r="AI52" i="1"/>
  <c r="AE52" i="1"/>
  <c r="AD52" i="1"/>
  <c r="AB52" i="1"/>
  <c r="AA52" i="1"/>
  <c r="Z52" i="1"/>
  <c r="AN51" i="1"/>
  <c r="AJ51" i="1"/>
  <c r="AI51" i="1"/>
  <c r="AE51" i="1"/>
  <c r="AD51" i="1"/>
  <c r="AB51" i="1"/>
  <c r="AA51" i="1"/>
  <c r="Z51" i="1"/>
  <c r="AN50" i="1"/>
  <c r="AJ50" i="1"/>
  <c r="AI50" i="1"/>
  <c r="AE50" i="1"/>
  <c r="AD50" i="1"/>
  <c r="AB50" i="1"/>
  <c r="AA50" i="1"/>
  <c r="Z50" i="1"/>
  <c r="AN49" i="1"/>
  <c r="AJ49" i="1"/>
  <c r="AI49" i="1"/>
  <c r="AE49" i="1"/>
  <c r="AD49" i="1"/>
  <c r="AB49" i="1"/>
  <c r="AA49" i="1"/>
  <c r="Z49" i="1"/>
  <c r="AN48" i="1"/>
  <c r="AJ48" i="1"/>
  <c r="AI48" i="1"/>
  <c r="AE48" i="1"/>
  <c r="AD48" i="1"/>
  <c r="AB48" i="1"/>
  <c r="AA48" i="1"/>
  <c r="Z48" i="1"/>
  <c r="AN47" i="1"/>
  <c r="AJ47" i="1"/>
  <c r="AI47" i="1"/>
  <c r="AE47" i="1"/>
  <c r="AD47" i="1"/>
  <c r="AB47" i="1"/>
  <c r="AA47" i="1"/>
  <c r="Z47" i="1"/>
  <c r="AN46" i="1"/>
  <c r="AJ46" i="1"/>
  <c r="AI46" i="1"/>
  <c r="AE46" i="1"/>
  <c r="AD46" i="1"/>
  <c r="AB46" i="1"/>
  <c r="AA46" i="1"/>
  <c r="Z46" i="1"/>
  <c r="AN45" i="1"/>
  <c r="AJ45" i="1"/>
  <c r="AI45" i="1"/>
  <c r="AE45" i="1"/>
  <c r="AD45" i="1"/>
  <c r="AB45" i="1"/>
  <c r="AA45" i="1"/>
  <c r="Z45" i="1"/>
  <c r="AN44" i="1"/>
  <c r="AJ44" i="1"/>
  <c r="AI44" i="1"/>
  <c r="AE44" i="1"/>
  <c r="AD44" i="1"/>
  <c r="AB44" i="1"/>
  <c r="AA44" i="1"/>
  <c r="Z44" i="1"/>
  <c r="AN43" i="1"/>
  <c r="AJ43" i="1"/>
  <c r="AI43" i="1"/>
  <c r="AE43" i="1"/>
  <c r="AD43" i="1"/>
  <c r="AB43" i="1"/>
  <c r="AA43" i="1"/>
  <c r="Z43" i="1"/>
  <c r="AN42" i="1"/>
  <c r="AJ42" i="1"/>
  <c r="AI42" i="1"/>
  <c r="AE42" i="1"/>
  <c r="AD42" i="1"/>
  <c r="AB42" i="1"/>
  <c r="AA42" i="1"/>
  <c r="Z42" i="1"/>
  <c r="AN41" i="1"/>
  <c r="AJ41" i="1"/>
  <c r="AI41" i="1"/>
  <c r="AE41" i="1"/>
  <c r="AD41" i="1"/>
  <c r="AB41" i="1"/>
  <c r="AA41" i="1"/>
  <c r="Z41" i="1"/>
  <c r="AN40" i="1"/>
  <c r="AJ40" i="1"/>
  <c r="AI40" i="1"/>
  <c r="AE40" i="1"/>
  <c r="AD40" i="1"/>
  <c r="AB40" i="1"/>
  <c r="AA40" i="1"/>
  <c r="Z40" i="1"/>
  <c r="AN39" i="1"/>
  <c r="AJ39" i="1"/>
  <c r="AI39" i="1"/>
  <c r="AE39" i="1"/>
  <c r="AD39" i="1"/>
  <c r="AB39" i="1"/>
  <c r="AA39" i="1"/>
  <c r="Z39" i="1"/>
  <c r="AN38" i="1"/>
  <c r="AJ38" i="1"/>
  <c r="AI38" i="1"/>
  <c r="AE38" i="1"/>
  <c r="AD38" i="1"/>
  <c r="AB38" i="1"/>
  <c r="AA38" i="1"/>
  <c r="Z38" i="1"/>
  <c r="AN37" i="1"/>
  <c r="AJ37" i="1"/>
  <c r="AI37" i="1"/>
  <c r="AE37" i="1"/>
  <c r="AD37" i="1"/>
  <c r="AB37" i="1"/>
  <c r="AA37" i="1"/>
  <c r="Z37" i="1"/>
  <c r="AN36" i="1"/>
  <c r="AJ36" i="1"/>
  <c r="AI36" i="1"/>
  <c r="AE36" i="1"/>
  <c r="AD36" i="1"/>
  <c r="AB36" i="1"/>
  <c r="AA36" i="1"/>
  <c r="Z36" i="1"/>
  <c r="AN35" i="1"/>
  <c r="AJ35" i="1"/>
  <c r="AI35" i="1"/>
  <c r="AE35" i="1"/>
  <c r="AD35" i="1"/>
  <c r="AB35" i="1"/>
  <c r="AA35" i="1"/>
  <c r="Z35" i="1"/>
  <c r="AN34" i="1"/>
  <c r="AJ34" i="1"/>
  <c r="AI34" i="1"/>
  <c r="AE34" i="1"/>
  <c r="AD34" i="1"/>
  <c r="AB34" i="1"/>
  <c r="AA34" i="1"/>
  <c r="Z34" i="1"/>
  <c r="AN33" i="1"/>
  <c r="AJ33" i="1"/>
  <c r="AI33" i="1"/>
  <c r="AE33" i="1"/>
  <c r="AD33" i="1"/>
  <c r="AB33" i="1"/>
  <c r="AA33" i="1"/>
  <c r="Z33" i="1"/>
  <c r="AN32" i="1"/>
  <c r="AJ32" i="1"/>
  <c r="AI32" i="1"/>
  <c r="AE32" i="1"/>
  <c r="AD32" i="1"/>
  <c r="AB32" i="1"/>
  <c r="AA32" i="1"/>
  <c r="Z32" i="1"/>
  <c r="AN31" i="1"/>
  <c r="AI31" i="1"/>
  <c r="AD31" i="1"/>
  <c r="AB31" i="1"/>
  <c r="AA31" i="1"/>
  <c r="Z31" i="1"/>
  <c r="AN30" i="1"/>
  <c r="AI30" i="1"/>
  <c r="AD30" i="1"/>
  <c r="AB30" i="1"/>
  <c r="AA30" i="1"/>
  <c r="Z30" i="1"/>
  <c r="AN29" i="1"/>
  <c r="AI29" i="1"/>
  <c r="AD29" i="1"/>
  <c r="AB29" i="1"/>
  <c r="AA29" i="1"/>
  <c r="Z29" i="1"/>
  <c r="AN28" i="1"/>
  <c r="AI28" i="1"/>
  <c r="AD28" i="1"/>
  <c r="AB28" i="1"/>
  <c r="AA28" i="1"/>
  <c r="Z28" i="1"/>
  <c r="AN27" i="1"/>
  <c r="AI27" i="1"/>
  <c r="AD27" i="1"/>
  <c r="AB27" i="1"/>
  <c r="AA27" i="1"/>
  <c r="Z27" i="1"/>
  <c r="AN26" i="1"/>
  <c r="AI26" i="1"/>
  <c r="AD26" i="1"/>
  <c r="AB26" i="1"/>
  <c r="AA26" i="1"/>
  <c r="Z26" i="1"/>
  <c r="AN25" i="1"/>
  <c r="AI25" i="1"/>
  <c r="AD25" i="1"/>
  <c r="AB25" i="1"/>
  <c r="AA25" i="1"/>
  <c r="Z25" i="1"/>
  <c r="AN24" i="1"/>
  <c r="AI24" i="1"/>
  <c r="AD24" i="1"/>
  <c r="AB24" i="1"/>
  <c r="AA24" i="1"/>
  <c r="Z24" i="1"/>
  <c r="AN23" i="1"/>
  <c r="AI23" i="1"/>
  <c r="AD23" i="1"/>
  <c r="AB23" i="1"/>
  <c r="AA23" i="1"/>
  <c r="Z23" i="1"/>
  <c r="AN22" i="1"/>
  <c r="AI22" i="1"/>
  <c r="AD22" i="1"/>
  <c r="AB22" i="1"/>
  <c r="AA22" i="1"/>
  <c r="Z22" i="1"/>
  <c r="AN21" i="1"/>
  <c r="AI21" i="1"/>
  <c r="AD21" i="1"/>
  <c r="AB21" i="1"/>
  <c r="AA21" i="1"/>
  <c r="Z21" i="1"/>
  <c r="AN20" i="1"/>
  <c r="AI20" i="1"/>
  <c r="AD20" i="1"/>
  <c r="AB20" i="1"/>
  <c r="AA20" i="1"/>
  <c r="Z20" i="1"/>
  <c r="AN19" i="1"/>
  <c r="AI19" i="1"/>
  <c r="AD19" i="1"/>
  <c r="AB19" i="1"/>
  <c r="AA19" i="1"/>
  <c r="Z19" i="1"/>
  <c r="AN18" i="1"/>
  <c r="AI18" i="1"/>
  <c r="AD18" i="1"/>
  <c r="AB18" i="1"/>
  <c r="AA18" i="1"/>
  <c r="Z18" i="1"/>
  <c r="AN17" i="1"/>
  <c r="AI17" i="1"/>
  <c r="AD17" i="1"/>
  <c r="AB17" i="1"/>
  <c r="AA17" i="1"/>
  <c r="Z17" i="1"/>
  <c r="AN16" i="1"/>
  <c r="AI16" i="1"/>
  <c r="AD16" i="1"/>
  <c r="AB16" i="1"/>
  <c r="AA16" i="1"/>
  <c r="Z16" i="1"/>
  <c r="AN15" i="1"/>
  <c r="AI15" i="1"/>
  <c r="AD15" i="1"/>
  <c r="AB15" i="1"/>
  <c r="AA15" i="1"/>
  <c r="Z15" i="1"/>
  <c r="AR14" i="1"/>
  <c r="AQ14" i="1"/>
  <c r="AP14" i="1"/>
  <c r="AO14" i="1"/>
  <c r="AN14" i="1"/>
  <c r="AI14" i="1"/>
  <c r="AD14" i="1"/>
  <c r="AB14" i="1"/>
  <c r="AA14" i="1"/>
  <c r="Z14" i="1"/>
  <c r="AQ13" i="1"/>
  <c r="AR13" i="1" s="1"/>
  <c r="AP13" i="1"/>
  <c r="AO13" i="1"/>
  <c r="AN13" i="1"/>
  <c r="AI13" i="1"/>
  <c r="AD13" i="1"/>
  <c r="AB13" i="1"/>
  <c r="AA13" i="1"/>
  <c r="Z13" i="1"/>
  <c r="AQ12" i="1"/>
  <c r="AR12" i="1" s="1"/>
  <c r="AP12" i="1"/>
  <c r="AO12" i="1"/>
  <c r="AN12" i="1"/>
  <c r="AI12" i="1"/>
  <c r="AD12" i="1"/>
  <c r="AB12" i="1"/>
  <c r="AA12" i="1"/>
  <c r="Z12" i="1"/>
  <c r="AQ11" i="1"/>
  <c r="AR11" i="1" s="1"/>
  <c r="AP11" i="1"/>
  <c r="AO11" i="1"/>
  <c r="AN11" i="1"/>
  <c r="AI11" i="1"/>
  <c r="AD11" i="1"/>
  <c r="AB11" i="1"/>
  <c r="AA11" i="1"/>
  <c r="Z11" i="1"/>
  <c r="AQ10" i="1"/>
  <c r="AR10" i="1" s="1"/>
  <c r="AP10" i="1"/>
  <c r="AO10" i="1"/>
  <c r="AN10" i="1"/>
  <c r="AI10" i="1"/>
  <c r="AD10" i="1"/>
  <c r="AB10" i="1"/>
  <c r="AA10" i="1"/>
  <c r="Z10" i="1"/>
  <c r="AQ9" i="1"/>
  <c r="AR9" i="1" s="1"/>
  <c r="AP9" i="1"/>
  <c r="AO9" i="1"/>
  <c r="AN9" i="1"/>
  <c r="AI9" i="1"/>
  <c r="AD9" i="1"/>
  <c r="AB9" i="1"/>
  <c r="AA9" i="1"/>
  <c r="Z9" i="1"/>
  <c r="AQ8" i="1"/>
  <c r="AR8" i="1" s="1"/>
  <c r="AP8" i="1"/>
  <c r="AO8" i="1"/>
  <c r="AN8" i="1"/>
  <c r="AI8" i="1"/>
  <c r="AD8" i="1"/>
  <c r="AB8" i="1"/>
  <c r="AA8" i="1"/>
  <c r="Z8" i="1"/>
  <c r="AQ7" i="1"/>
  <c r="AR7" i="1" s="1"/>
  <c r="AP7" i="1"/>
  <c r="AO7" i="1"/>
  <c r="AN7" i="1"/>
  <c r="AI7" i="1"/>
  <c r="AD7" i="1"/>
  <c r="AB7" i="1"/>
  <c r="AA7" i="1"/>
  <c r="Z7" i="1"/>
  <c r="AQ6" i="1"/>
  <c r="AR6" i="1" s="1"/>
  <c r="AP6" i="1"/>
  <c r="AO6" i="1"/>
  <c r="AN6" i="1"/>
  <c r="AI6" i="1"/>
  <c r="AD6" i="1"/>
  <c r="AB6" i="1"/>
  <c r="AA6" i="1"/>
  <c r="Z6" i="1"/>
  <c r="AZ5" i="1"/>
  <c r="AY5" i="1"/>
  <c r="AQ5" i="1"/>
  <c r="AR5" i="1" s="1"/>
  <c r="AP5" i="1"/>
  <c r="AO5" i="1"/>
  <c r="AN5" i="1"/>
  <c r="AI5" i="1"/>
  <c r="AD5" i="1"/>
  <c r="AB5" i="1"/>
  <c r="AA5" i="1"/>
  <c r="Z5" i="1"/>
  <c r="AZ4" i="1"/>
  <c r="AY4" i="1"/>
  <c r="AQ4" i="1"/>
  <c r="AR4" i="1" s="1"/>
  <c r="AP4" i="1"/>
  <c r="AO4" i="1"/>
  <c r="AN4" i="1"/>
  <c r="AA4" i="1"/>
  <c r="AZ3" i="1"/>
  <c r="AY3" i="1"/>
  <c r="AQ3" i="1"/>
  <c r="AR3" i="1" s="1"/>
  <c r="AP3" i="1"/>
  <c r="AO3" i="1"/>
  <c r="AN3" i="1"/>
  <c r="AL3" i="1"/>
  <c r="AK3" i="1"/>
  <c r="AJ3" i="1"/>
  <c r="AI3" i="1"/>
  <c r="AG3" i="1"/>
  <c r="AF3" i="1"/>
  <c r="AE3" i="1"/>
  <c r="AD3" i="1"/>
  <c r="AB3" i="1"/>
  <c r="AA3" i="1"/>
  <c r="Z3" i="1"/>
  <c r="O51" i="5" l="1"/>
  <c r="A44" i="5"/>
  <c r="A52" i="5"/>
  <c r="A36" i="5"/>
  <c r="O55" i="5"/>
  <c r="G8" i="5"/>
  <c r="AA9" i="7" s="1"/>
  <c r="A37" i="5"/>
  <c r="F8" i="5"/>
  <c r="A20" i="5"/>
  <c r="P8" i="5"/>
  <c r="O53" i="5"/>
  <c r="D28" i="8"/>
  <c r="F28" i="8" s="1"/>
  <c r="G4" i="12"/>
  <c r="A62" i="5"/>
  <c r="A24" i="5"/>
  <c r="A32" i="5"/>
  <c r="A38" i="5"/>
  <c r="O65" i="5"/>
  <c r="BL11" i="12"/>
  <c r="BL13" i="12" s="1"/>
  <c r="A61" i="5"/>
  <c r="I8" i="5"/>
  <c r="T11" i="5" s="1"/>
  <c r="D155" i="1" s="1"/>
  <c r="Q8" i="5"/>
  <c r="O39" i="5"/>
  <c r="A64" i="5"/>
  <c r="Z9" i="7"/>
  <c r="A50" i="5"/>
  <c r="A60" i="5"/>
  <c r="A40" i="5"/>
  <c r="A55" i="5"/>
  <c r="D48" i="8"/>
  <c r="F48" i="8" s="1"/>
  <c r="A28" i="5"/>
  <c r="A43" i="5"/>
  <c r="A53" i="5"/>
  <c r="A63" i="5"/>
  <c r="Y64" i="7"/>
  <c r="A39" i="5"/>
  <c r="O41" i="5"/>
  <c r="A49" i="5"/>
  <c r="A56" i="5"/>
  <c r="A66" i="5"/>
  <c r="P9" i="5"/>
  <c r="O43" i="5"/>
  <c r="Y54" i="7"/>
  <c r="D56" i="8"/>
  <c r="F56" i="8" s="1"/>
  <c r="O37" i="5"/>
  <c r="A46" i="5"/>
  <c r="A57" i="5"/>
  <c r="O61" i="5"/>
  <c r="Y34" i="7"/>
  <c r="Y66" i="7"/>
  <c r="A11" i="5"/>
  <c r="O11" i="5"/>
  <c r="O59" i="5"/>
  <c r="Y28" i="7"/>
  <c r="Y40" i="7"/>
  <c r="A42" i="5"/>
  <c r="O57" i="5"/>
  <c r="D60" i="8"/>
  <c r="F60" i="8" s="1"/>
  <c r="A59" i="5"/>
  <c r="A26" i="5"/>
  <c r="A51" i="5"/>
  <c r="Y46" i="7"/>
  <c r="A34" i="5"/>
  <c r="A48" i="5"/>
  <c r="Y52" i="7"/>
  <c r="D32" i="8"/>
  <c r="F32" i="8" s="1"/>
  <c r="A33" i="5"/>
  <c r="A45" i="5"/>
  <c r="O49" i="5"/>
  <c r="A58" i="5"/>
  <c r="Y42" i="7"/>
  <c r="Y58" i="7"/>
  <c r="D12" i="8"/>
  <c r="F12" i="8" s="1"/>
  <c r="D44" i="8"/>
  <c r="F44" i="8" s="1"/>
  <c r="A27" i="5"/>
  <c r="A31" i="5"/>
  <c r="A41" i="5"/>
  <c r="O45" i="5"/>
  <c r="A54" i="5"/>
  <c r="A65" i="5"/>
  <c r="F5" i="12"/>
  <c r="Q9" i="5"/>
  <c r="K9" i="5"/>
  <c r="J9" i="5"/>
  <c r="Y27" i="7"/>
  <c r="Y41" i="7"/>
  <c r="Y53" i="7"/>
  <c r="Y65" i="7"/>
  <c r="D34" i="8"/>
  <c r="F34" i="8" s="1"/>
  <c r="D38" i="8"/>
  <c r="F38" i="8" s="1"/>
  <c r="D50" i="8"/>
  <c r="F50" i="8" s="1"/>
  <c r="D62" i="8"/>
  <c r="F62" i="8" s="1"/>
  <c r="Y39" i="7"/>
  <c r="AO39" i="7" s="1"/>
  <c r="AP39" i="7" s="1"/>
  <c r="Y51" i="7"/>
  <c r="Y63" i="7"/>
  <c r="O31" i="5"/>
  <c r="Y37" i="7"/>
  <c r="D27" i="8"/>
  <c r="F27" i="8" s="1"/>
  <c r="D35" i="8"/>
  <c r="F35" i="8" s="1"/>
  <c r="D39" i="8"/>
  <c r="F39" i="8" s="1"/>
  <c r="D43" i="8"/>
  <c r="F43" i="8" s="1"/>
  <c r="D47" i="8"/>
  <c r="F47" i="8" s="1"/>
  <c r="D51" i="8"/>
  <c r="F51" i="8" s="1"/>
  <c r="D55" i="8"/>
  <c r="F55" i="8" s="1"/>
  <c r="D59" i="8"/>
  <c r="F59" i="8" s="1"/>
  <c r="D63" i="8"/>
  <c r="F63" i="8" s="1"/>
  <c r="D67" i="8"/>
  <c r="F67" i="8" s="1"/>
  <c r="Y29" i="7"/>
  <c r="Y49" i="7"/>
  <c r="AO49" i="7" s="1"/>
  <c r="AP49" i="7" s="1"/>
  <c r="Y61" i="7"/>
  <c r="Y35" i="7"/>
  <c r="Y21" i="7"/>
  <c r="Y47" i="7"/>
  <c r="Y59" i="7"/>
  <c r="Y57" i="7"/>
  <c r="Y45" i="7"/>
  <c r="O20" i="5"/>
  <c r="O24" i="5"/>
  <c r="O28" i="5"/>
  <c r="O32" i="5"/>
  <c r="O36" i="5"/>
  <c r="O40" i="5"/>
  <c r="O42" i="5"/>
  <c r="O44" i="5"/>
  <c r="O48" i="5"/>
  <c r="O52" i="5"/>
  <c r="O54" i="5"/>
  <c r="O56" i="5"/>
  <c r="O60" i="5"/>
  <c r="O64" i="5"/>
  <c r="O66" i="5"/>
  <c r="Y25" i="7"/>
  <c r="D33" i="8"/>
  <c r="F33" i="8" s="1"/>
  <c r="O3" i="12"/>
  <c r="AX3" i="12"/>
  <c r="AW3" i="12"/>
  <c r="AU11" i="1"/>
  <c r="AT5" i="1"/>
  <c r="A44" i="4"/>
  <c r="BA38" i="7"/>
  <c r="I8" i="4"/>
  <c r="A57" i="4"/>
  <c r="A38" i="4"/>
  <c r="A50" i="4"/>
  <c r="A62" i="4"/>
  <c r="AS6" i="1"/>
  <c r="AU12" i="1"/>
  <c r="AT11" i="1"/>
  <c r="AU10" i="1"/>
  <c r="AT9" i="1"/>
  <c r="AS8" i="1"/>
  <c r="AS4" i="1"/>
  <c r="AT3" i="1"/>
  <c r="AU14" i="1"/>
  <c r="AT13" i="1"/>
  <c r="AS12" i="1"/>
  <c r="AS10" i="1"/>
  <c r="AT14" i="1"/>
  <c r="AS13" i="1"/>
  <c r="AS14" i="1"/>
  <c r="AS3" i="1"/>
  <c r="AT6" i="1"/>
  <c r="AT8" i="1"/>
  <c r="BL4" i="12"/>
  <c r="Z4" i="1"/>
  <c r="F8" i="4"/>
  <c r="U9" i="7"/>
  <c r="T11" i="4"/>
  <c r="C155" i="1" s="1"/>
  <c r="AS5" i="1"/>
  <c r="AT10" i="1"/>
  <c r="W9" i="7"/>
  <c r="AB4" i="1"/>
  <c r="AU5" i="1"/>
  <c r="AU6" i="1"/>
  <c r="AT12" i="1"/>
  <c r="AS7" i="1"/>
  <c r="AT4" i="1"/>
  <c r="AT7" i="1"/>
  <c r="AU3" i="1"/>
  <c r="AU8" i="1"/>
  <c r="AU4" i="1"/>
  <c r="AU7" i="1"/>
  <c r="AS9" i="1"/>
  <c r="AU9" i="1"/>
  <c r="AS11" i="1"/>
  <c r="AU13" i="1"/>
  <c r="T13" i="4"/>
  <c r="AW9" i="7"/>
  <c r="BC9" i="7" s="1"/>
  <c r="Q8" i="4"/>
  <c r="D4" i="12"/>
  <c r="T12" i="4"/>
  <c r="J8" i="4"/>
  <c r="K8" i="4"/>
  <c r="E38" i="8"/>
  <c r="C40" i="8"/>
  <c r="BA40" i="7"/>
  <c r="X40" i="7"/>
  <c r="C42" i="8"/>
  <c r="BA42" i="7"/>
  <c r="C44" i="8"/>
  <c r="BA44" i="7"/>
  <c r="X44" i="7"/>
  <c r="AO44" i="7" s="1"/>
  <c r="AP44" i="7" s="1"/>
  <c r="BA46" i="7"/>
  <c r="X46" i="7"/>
  <c r="C46" i="8"/>
  <c r="BA48" i="7"/>
  <c r="X48" i="7"/>
  <c r="AO48" i="7" s="1"/>
  <c r="AP48" i="7" s="1"/>
  <c r="C50" i="8"/>
  <c r="X50" i="7"/>
  <c r="AO50" i="7" s="1"/>
  <c r="AP50" i="7" s="1"/>
  <c r="C52" i="8"/>
  <c r="BA52" i="7"/>
  <c r="X52" i="7"/>
  <c r="X54" i="7"/>
  <c r="BA54" i="7"/>
  <c r="C54" i="8"/>
  <c r="C56" i="8"/>
  <c r="BA56" i="7"/>
  <c r="X56" i="7"/>
  <c r="AO56" i="7" s="1"/>
  <c r="AP56" i="7" s="1"/>
  <c r="BA60" i="7"/>
  <c r="X60" i="7"/>
  <c r="AO60" i="7" s="1"/>
  <c r="AP60" i="7" s="1"/>
  <c r="C60" i="8"/>
  <c r="C62" i="8"/>
  <c r="X62" i="7"/>
  <c r="AO62" i="7" s="1"/>
  <c r="AP62" i="7" s="1"/>
  <c r="BA62" i="7"/>
  <c r="BA64" i="7"/>
  <c r="X64" i="7"/>
  <c r="C64" i="8"/>
  <c r="C66" i="8"/>
  <c r="X66" i="7"/>
  <c r="X45" i="7"/>
  <c r="X58" i="7"/>
  <c r="AO58" i="7" s="1"/>
  <c r="AP58" i="7" s="1"/>
  <c r="X38" i="7"/>
  <c r="AO38" i="7" s="1"/>
  <c r="AP38" i="7" s="1"/>
  <c r="BA50" i="7"/>
  <c r="O37" i="4"/>
  <c r="O39" i="4"/>
  <c r="O41" i="4"/>
  <c r="O43" i="4"/>
  <c r="O45" i="4"/>
  <c r="O47" i="4"/>
  <c r="O49" i="4"/>
  <c r="O51" i="4"/>
  <c r="O53" i="4"/>
  <c r="O55" i="4"/>
  <c r="O57" i="4"/>
  <c r="O59" i="4"/>
  <c r="O61" i="4"/>
  <c r="O63" i="4"/>
  <c r="O65" i="4"/>
  <c r="BA41" i="7"/>
  <c r="X42" i="7"/>
  <c r="BA58" i="7"/>
  <c r="G58" i="8"/>
  <c r="H58" i="8" s="1"/>
  <c r="BA37" i="7"/>
  <c r="X37" i="7"/>
  <c r="E39" i="8"/>
  <c r="G41" i="8"/>
  <c r="H41" i="8" s="1"/>
  <c r="E41" i="8"/>
  <c r="C43" i="8"/>
  <c r="BA43" i="7"/>
  <c r="X43" i="7"/>
  <c r="AO43" i="7" s="1"/>
  <c r="AP43" i="7" s="1"/>
  <c r="E45" i="8"/>
  <c r="G45" i="8"/>
  <c r="H45" i="8" s="1"/>
  <c r="C47" i="8"/>
  <c r="X47" i="7"/>
  <c r="BA47" i="7"/>
  <c r="C49" i="8"/>
  <c r="BA49" i="7"/>
  <c r="C51" i="8"/>
  <c r="X51" i="7"/>
  <c r="C53" i="8"/>
  <c r="X53" i="7"/>
  <c r="AO53" i="7" s="1"/>
  <c r="AP53" i="7" s="1"/>
  <c r="BA53" i="7"/>
  <c r="C55" i="8"/>
  <c r="X55" i="7"/>
  <c r="AO55" i="7" s="1"/>
  <c r="AP55" i="7" s="1"/>
  <c r="BA55" i="7"/>
  <c r="BA57" i="7"/>
  <c r="C57" i="8"/>
  <c r="X57" i="7"/>
  <c r="C59" i="8"/>
  <c r="X59" i="7"/>
  <c r="BA59" i="7"/>
  <c r="BA61" i="7"/>
  <c r="X61" i="7"/>
  <c r="C61" i="8"/>
  <c r="C63" i="8"/>
  <c r="X63" i="7"/>
  <c r="BA65" i="7"/>
  <c r="X65" i="7"/>
  <c r="AO65" i="7" s="1"/>
  <c r="AP65" i="7" s="1"/>
  <c r="C65" i="8"/>
  <c r="BA67" i="7"/>
  <c r="X67" i="7"/>
  <c r="AO67" i="7" s="1"/>
  <c r="AP67" i="7" s="1"/>
  <c r="C67" i="8"/>
  <c r="BA45" i="7"/>
  <c r="BA39" i="7"/>
  <c r="C48" i="8"/>
  <c r="X41" i="7"/>
  <c r="C37" i="8"/>
  <c r="O36" i="4"/>
  <c r="O38" i="4"/>
  <c r="O40" i="4"/>
  <c r="O42" i="4"/>
  <c r="O44" i="4"/>
  <c r="O46" i="4"/>
  <c r="O48" i="4"/>
  <c r="O50" i="4"/>
  <c r="O52" i="4"/>
  <c r="O54" i="4"/>
  <c r="O56" i="4"/>
  <c r="O58" i="4"/>
  <c r="O60" i="4"/>
  <c r="O62" i="4"/>
  <c r="O64" i="4"/>
  <c r="O66" i="4"/>
  <c r="BA66" i="7"/>
  <c r="BD3" i="12"/>
  <c r="J8" i="5" l="1"/>
  <c r="AO66" i="7"/>
  <c r="AP66" i="7" s="1"/>
  <c r="AK9" i="7"/>
  <c r="AL20" i="7" s="1"/>
  <c r="K8" i="5"/>
  <c r="AL30" i="7"/>
  <c r="AL17" i="7"/>
  <c r="AL14" i="7"/>
  <c r="AO51" i="7"/>
  <c r="AP51" i="7" s="1"/>
  <c r="AL26" i="7"/>
  <c r="AO37" i="7"/>
  <c r="AP37" i="7" s="1"/>
  <c r="AL16" i="7"/>
  <c r="T10" i="5"/>
  <c r="T16" i="5" s="1"/>
  <c r="D156" i="1" s="1"/>
  <c r="AL31" i="7"/>
  <c r="T14" i="5"/>
  <c r="T12" i="5"/>
  <c r="D157" i="1" s="1"/>
  <c r="AL22" i="7"/>
  <c r="F4" i="12"/>
  <c r="AO46" i="7"/>
  <c r="AP46" i="7" s="1"/>
  <c r="AO42" i="7"/>
  <c r="AP42" i="7" s="1"/>
  <c r="AL36" i="7"/>
  <c r="T13" i="5"/>
  <c r="D158" i="1" s="1"/>
  <c r="AO63" i="7"/>
  <c r="AP63" i="7" s="1"/>
  <c r="AO64" i="7"/>
  <c r="AP64" i="7" s="1"/>
  <c r="AL13" i="7"/>
  <c r="AO52" i="7"/>
  <c r="AP52" i="7" s="1"/>
  <c r="AO59" i="7"/>
  <c r="AP59" i="7" s="1"/>
  <c r="AL18" i="7"/>
  <c r="AL24" i="7"/>
  <c r="AL19" i="7"/>
  <c r="U8" i="5"/>
  <c r="C4" i="12"/>
  <c r="AO45" i="7"/>
  <c r="AP45" i="7" s="1"/>
  <c r="AO47" i="7"/>
  <c r="AP47" i="7" s="1"/>
  <c r="G38" i="8"/>
  <c r="H38" i="8" s="1"/>
  <c r="AO54" i="7"/>
  <c r="AP54" i="7" s="1"/>
  <c r="AO41" i="7"/>
  <c r="AP41" i="7" s="1"/>
  <c r="AO40" i="7"/>
  <c r="AP40" i="7" s="1"/>
  <c r="U9" i="5"/>
  <c r="C5" i="12"/>
  <c r="T17" i="5"/>
  <c r="D160" i="1" s="1"/>
  <c r="G39" i="8"/>
  <c r="H39" i="8" s="1"/>
  <c r="AO61" i="7"/>
  <c r="AP61" i="7" s="1"/>
  <c r="AO57" i="7"/>
  <c r="AP57" i="7" s="1"/>
  <c r="T14" i="4"/>
  <c r="T10" i="4"/>
  <c r="G64" i="8"/>
  <c r="H64" i="8" s="1"/>
  <c r="E64" i="8"/>
  <c r="E54" i="8"/>
  <c r="G54" i="8"/>
  <c r="H54" i="8" s="1"/>
  <c r="G44" i="8"/>
  <c r="H44" i="8" s="1"/>
  <c r="E44" i="8"/>
  <c r="AD4" i="1"/>
  <c r="AI4" i="1"/>
  <c r="E61" i="8"/>
  <c r="G61" i="8"/>
  <c r="H61" i="8" s="1"/>
  <c r="T15" i="4"/>
  <c r="C159" i="1" s="1"/>
  <c r="C158" i="1"/>
  <c r="B16" i="1"/>
  <c r="BL8" i="12"/>
  <c r="BL7" i="12"/>
  <c r="BL15" i="12"/>
  <c r="AG9" i="7"/>
  <c r="AC9" i="7"/>
  <c r="G55" i="8"/>
  <c r="H55" i="8" s="1"/>
  <c r="E55" i="8"/>
  <c r="G48" i="8"/>
  <c r="H48" i="8" s="1"/>
  <c r="E48" i="8"/>
  <c r="G62" i="8"/>
  <c r="H62" i="8" s="1"/>
  <c r="E62" i="8"/>
  <c r="G52" i="8"/>
  <c r="H52" i="8" s="1"/>
  <c r="E52" i="8"/>
  <c r="E42" i="8"/>
  <c r="G42" i="8"/>
  <c r="H42" i="8" s="1"/>
  <c r="E53" i="8"/>
  <c r="G53" i="8"/>
  <c r="H53" i="8" s="1"/>
  <c r="G43" i="8"/>
  <c r="H43" i="8" s="1"/>
  <c r="E43" i="8"/>
  <c r="E60" i="8"/>
  <c r="G60" i="8"/>
  <c r="H60" i="8" s="1"/>
  <c r="G50" i="8"/>
  <c r="H50" i="8" s="1"/>
  <c r="E50" i="8"/>
  <c r="G47" i="8"/>
  <c r="H47" i="8" s="1"/>
  <c r="E47" i="8"/>
  <c r="E63" i="8"/>
  <c r="G63" i="8"/>
  <c r="H63" i="8" s="1"/>
  <c r="G67" i="8"/>
  <c r="H67" i="8" s="1"/>
  <c r="E67" i="8"/>
  <c r="E51" i="8"/>
  <c r="G51" i="8"/>
  <c r="H51" i="8" s="1"/>
  <c r="G40" i="8"/>
  <c r="H40" i="8" s="1"/>
  <c r="E40" i="8"/>
  <c r="E37" i="8"/>
  <c r="G37" i="8"/>
  <c r="H37" i="8" s="1"/>
  <c r="T17" i="4"/>
  <c r="C160" i="1" s="1"/>
  <c r="F16" i="1"/>
  <c r="C157" i="1"/>
  <c r="E49" i="8"/>
  <c r="G49" i="8"/>
  <c r="H49" i="8" s="1"/>
  <c r="E46" i="8"/>
  <c r="G46" i="8"/>
  <c r="H46" i="8" s="1"/>
  <c r="BD30" i="7"/>
  <c r="BD27" i="7"/>
  <c r="BD33" i="7"/>
  <c r="BD36" i="7"/>
  <c r="BD32" i="7"/>
  <c r="BD29" i="7"/>
  <c r="BD35" i="7"/>
  <c r="BD16" i="7"/>
  <c r="BD22" i="7"/>
  <c r="BD19" i="7"/>
  <c r="BD28" i="7"/>
  <c r="BD12" i="7"/>
  <c r="BD25" i="7"/>
  <c r="BD15" i="7"/>
  <c r="BD26" i="7"/>
  <c r="BD9" i="7"/>
  <c r="BD21" i="7"/>
  <c r="BD18" i="7"/>
  <c r="BD31" i="7"/>
  <c r="BD24" i="7"/>
  <c r="BD14" i="7"/>
  <c r="BD11" i="7"/>
  <c r="BD34" i="7"/>
  <c r="BD23" i="7"/>
  <c r="BD20" i="7"/>
  <c r="BD17" i="7"/>
  <c r="BD13" i="7"/>
  <c r="BD10" i="7"/>
  <c r="G59" i="8"/>
  <c r="H59" i="8" s="1"/>
  <c r="E59" i="8"/>
  <c r="E65" i="8"/>
  <c r="G65" i="8"/>
  <c r="H65" i="8" s="1"/>
  <c r="G57" i="8"/>
  <c r="H57" i="8" s="1"/>
  <c r="E57" i="8"/>
  <c r="E66" i="8"/>
  <c r="G66" i="8"/>
  <c r="H66" i="8" s="1"/>
  <c r="G56" i="8"/>
  <c r="H56" i="8" s="1"/>
  <c r="E56" i="8"/>
  <c r="B4" i="12"/>
  <c r="AZ9" i="7"/>
  <c r="BH9" i="7" s="1"/>
  <c r="U8" i="4"/>
  <c r="T3" i="4" s="1"/>
  <c r="L8" i="4" s="1"/>
  <c r="T16" i="4"/>
  <c r="C156" i="1" s="1"/>
  <c r="AN36" i="7" l="1"/>
  <c r="AL11" i="7"/>
  <c r="F11" i="1"/>
  <c r="AL9" i="7"/>
  <c r="AM53" i="7" s="1"/>
  <c r="AL10" i="7"/>
  <c r="AL15" i="7"/>
  <c r="AN48" i="7" s="1"/>
  <c r="AL23" i="7"/>
  <c r="AN43" i="7"/>
  <c r="AM28" i="7"/>
  <c r="AN42" i="7"/>
  <c r="D154" i="1"/>
  <c r="AM29" i="7"/>
  <c r="AM57" i="7"/>
  <c r="AN54" i="7"/>
  <c r="AM38" i="7"/>
  <c r="AN58" i="7"/>
  <c r="AN66" i="7"/>
  <c r="AM15" i="7"/>
  <c r="AN40" i="7"/>
  <c r="AM43" i="7"/>
  <c r="AN12" i="7"/>
  <c r="AM37" i="7"/>
  <c r="AM48" i="7"/>
  <c r="AN59" i="7"/>
  <c r="AN20" i="7"/>
  <c r="AN60" i="7"/>
  <c r="AN45" i="7"/>
  <c r="AM12" i="7"/>
  <c r="AM40" i="7"/>
  <c r="AM50" i="7"/>
  <c r="AM34" i="7"/>
  <c r="AN41" i="7"/>
  <c r="T15" i="5"/>
  <c r="D159" i="1" s="1"/>
  <c r="AN49" i="7"/>
  <c r="AM44" i="7"/>
  <c r="AN24" i="7"/>
  <c r="AN52" i="7"/>
  <c r="AM60" i="7"/>
  <c r="AN13" i="7"/>
  <c r="AM52" i="7"/>
  <c r="AM18" i="7"/>
  <c r="AM25" i="7"/>
  <c r="AM20" i="7"/>
  <c r="AN30" i="7"/>
  <c r="AN35" i="7"/>
  <c r="AM35" i="7"/>
  <c r="AN21" i="7"/>
  <c r="AM67" i="7"/>
  <c r="AM62" i="7"/>
  <c r="AN18" i="7"/>
  <c r="AN57" i="7"/>
  <c r="AN28" i="7"/>
  <c r="AM42" i="7"/>
  <c r="AM41" i="7"/>
  <c r="AN64" i="7"/>
  <c r="T3" i="5"/>
  <c r="L25" i="5" s="1"/>
  <c r="AN51" i="7"/>
  <c r="AM65" i="7"/>
  <c r="AB5" i="12"/>
  <c r="H5" i="12"/>
  <c r="J5" i="12" s="1"/>
  <c r="B11" i="1"/>
  <c r="C154" i="1"/>
  <c r="C9" i="8"/>
  <c r="BA9" i="7"/>
  <c r="X9" i="7"/>
  <c r="N8" i="4"/>
  <c r="M8" i="4"/>
  <c r="BI36" i="7"/>
  <c r="BI32" i="7"/>
  <c r="BI29" i="7"/>
  <c r="BI26" i="7"/>
  <c r="BI35" i="7"/>
  <c r="BI31" i="7"/>
  <c r="BI28" i="7"/>
  <c r="BI9" i="7"/>
  <c r="BI30" i="7"/>
  <c r="BI21" i="7"/>
  <c r="BI18" i="7"/>
  <c r="BI33" i="7"/>
  <c r="BI24" i="7"/>
  <c r="BI14" i="7"/>
  <c r="BI11" i="7"/>
  <c r="BI34" i="7"/>
  <c r="BI23" i="7"/>
  <c r="BI20" i="7"/>
  <c r="BI17" i="7"/>
  <c r="BI13" i="7"/>
  <c r="BI10" i="7"/>
  <c r="BI16" i="7"/>
  <c r="BI22" i="7"/>
  <c r="BI19" i="7"/>
  <c r="BI27" i="7"/>
  <c r="BI12" i="7"/>
  <c r="BI25" i="7"/>
  <c r="BI15" i="7"/>
  <c r="BF66" i="7"/>
  <c r="BF65" i="7"/>
  <c r="BF61" i="7"/>
  <c r="BF51" i="7"/>
  <c r="BE48" i="7"/>
  <c r="BE64" i="7"/>
  <c r="BE60" i="7"/>
  <c r="BE63" i="7"/>
  <c r="BE59" i="7"/>
  <c r="BF67" i="7"/>
  <c r="BE66" i="7"/>
  <c r="BF47" i="7"/>
  <c r="BF43" i="7"/>
  <c r="BF33" i="7"/>
  <c r="BF54" i="7"/>
  <c r="BE47" i="7"/>
  <c r="BF46" i="7"/>
  <c r="BE43" i="7"/>
  <c r="BE33" i="7"/>
  <c r="BE67" i="7"/>
  <c r="BE65" i="7"/>
  <c r="BE54" i="7"/>
  <c r="BF53" i="7"/>
  <c r="BE46" i="7"/>
  <c r="BF39" i="7"/>
  <c r="BF36" i="7"/>
  <c r="BF62" i="7"/>
  <c r="BE61" i="7"/>
  <c r="BE53" i="7"/>
  <c r="BF52" i="7"/>
  <c r="BF42" i="7"/>
  <c r="BE62" i="7"/>
  <c r="BE52" i="7"/>
  <c r="BE42" i="7"/>
  <c r="BE32" i="7"/>
  <c r="BF45" i="7"/>
  <c r="BF63" i="7"/>
  <c r="BF58" i="7"/>
  <c r="BE51" i="7"/>
  <c r="BF50" i="7"/>
  <c r="BE45" i="7"/>
  <c r="BE58" i="7"/>
  <c r="BE50" i="7"/>
  <c r="BF49" i="7"/>
  <c r="BF59" i="7"/>
  <c r="BE49" i="7"/>
  <c r="BF60" i="7"/>
  <c r="BE56" i="7"/>
  <c r="BE55" i="7"/>
  <c r="BE40" i="7"/>
  <c r="BF28" i="7"/>
  <c r="BF27" i="7"/>
  <c r="BE22" i="7"/>
  <c r="BE19" i="7"/>
  <c r="BF12" i="7"/>
  <c r="BE28" i="7"/>
  <c r="BE27" i="7"/>
  <c r="BF25" i="7"/>
  <c r="BF15" i="7"/>
  <c r="BE12" i="7"/>
  <c r="BF64" i="7"/>
  <c r="BF41" i="7"/>
  <c r="BF26" i="7"/>
  <c r="BE25" i="7"/>
  <c r="BE15" i="7"/>
  <c r="BF9" i="7"/>
  <c r="BF57" i="7"/>
  <c r="BF44" i="7"/>
  <c r="BE41" i="7"/>
  <c r="BF30" i="7"/>
  <c r="BE26" i="7"/>
  <c r="BF21" i="7"/>
  <c r="BF18" i="7"/>
  <c r="BE9" i="7"/>
  <c r="BE57" i="7"/>
  <c r="BF56" i="7"/>
  <c r="BE44" i="7"/>
  <c r="BF31" i="7"/>
  <c r="BE30" i="7"/>
  <c r="BF29" i="7"/>
  <c r="BF24" i="7"/>
  <c r="BE21" i="7"/>
  <c r="BE18" i="7"/>
  <c r="BF14" i="7"/>
  <c r="BF11" i="7"/>
  <c r="BF55" i="7"/>
  <c r="BF37" i="7"/>
  <c r="BE36" i="7"/>
  <c r="BF34" i="7"/>
  <c r="BE31" i="7"/>
  <c r="BE29" i="7"/>
  <c r="BE24" i="7"/>
  <c r="BE14" i="7"/>
  <c r="BE11" i="7"/>
  <c r="BF48" i="7"/>
  <c r="BE37" i="7"/>
  <c r="BE34" i="7"/>
  <c r="BF38" i="7"/>
  <c r="BF23" i="7"/>
  <c r="BF20" i="7"/>
  <c r="BF17" i="7"/>
  <c r="BE38" i="7"/>
  <c r="BE23" i="7"/>
  <c r="BE20" i="7"/>
  <c r="BE17" i="7"/>
  <c r="BF13" i="7"/>
  <c r="BF10" i="7"/>
  <c r="BE13" i="7"/>
  <c r="BE10" i="7"/>
  <c r="BF35" i="7"/>
  <c r="BF32" i="7"/>
  <c r="BF16" i="7"/>
  <c r="BF40" i="7"/>
  <c r="BE39" i="7"/>
  <c r="BE35" i="7"/>
  <c r="BF22" i="7"/>
  <c r="BF19" i="7"/>
  <c r="BE16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63" i="2" s="1"/>
  <c r="BL17" i="12"/>
  <c r="L15" i="4"/>
  <c r="L34" i="4"/>
  <c r="L32" i="4"/>
  <c r="L30" i="4"/>
  <c r="L28" i="4"/>
  <c r="L26" i="4"/>
  <c r="L24" i="4"/>
  <c r="L22" i="4"/>
  <c r="L20" i="4"/>
  <c r="L18" i="4"/>
  <c r="L16" i="4"/>
  <c r="L35" i="4"/>
  <c r="L33" i="4"/>
  <c r="L31" i="4"/>
  <c r="L29" i="4"/>
  <c r="L27" i="4"/>
  <c r="L25" i="4"/>
  <c r="L23" i="4"/>
  <c r="L21" i="4"/>
  <c r="L19" i="4"/>
  <c r="L12" i="4"/>
  <c r="C161" i="1"/>
  <c r="L13" i="4"/>
  <c r="L11" i="4"/>
  <c r="L9" i="4"/>
  <c r="L17" i="4"/>
  <c r="L10" i="4"/>
  <c r="L7" i="4"/>
  <c r="L14" i="4"/>
  <c r="AM59" i="7" l="1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L14" i="5"/>
  <c r="N14" i="5" s="1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C29" i="7" s="1"/>
  <c r="AM9" i="7"/>
  <c r="AM21" i="7"/>
  <c r="AN14" i="7"/>
  <c r="AN65" i="7"/>
  <c r="AN46" i="7"/>
  <c r="AN31" i="7"/>
  <c r="AN9" i="7"/>
  <c r="C28" i="7" s="1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L29" i="5"/>
  <c r="N29" i="5" s="1"/>
  <c r="L35" i="5"/>
  <c r="D36" i="8" s="1"/>
  <c r="F36" i="8" s="1"/>
  <c r="L7" i="5"/>
  <c r="D8" i="8" s="1"/>
  <c r="F8" i="8" s="1"/>
  <c r="L13" i="5"/>
  <c r="L17" i="5"/>
  <c r="Y18" i="7" s="1"/>
  <c r="L22" i="5"/>
  <c r="N22" i="5" s="1"/>
  <c r="D161" i="1"/>
  <c r="L12" i="5"/>
  <c r="N12" i="5" s="1"/>
  <c r="L30" i="5"/>
  <c r="N30" i="5" s="1"/>
  <c r="L16" i="5"/>
  <c r="M16" i="5" s="1"/>
  <c r="L8" i="5"/>
  <c r="M8" i="5" s="1"/>
  <c r="L21" i="5"/>
  <c r="N21" i="5" s="1"/>
  <c r="L18" i="5"/>
  <c r="L19" i="5"/>
  <c r="M19" i="5" s="1"/>
  <c r="L15" i="5"/>
  <c r="Y16" i="7" s="1"/>
  <c r="L23" i="5"/>
  <c r="L10" i="5"/>
  <c r="M10" i="5" s="1"/>
  <c r="L9" i="5"/>
  <c r="Y10" i="7" s="1"/>
  <c r="M29" i="5"/>
  <c r="D30" i="8"/>
  <c r="F30" i="8" s="1"/>
  <c r="Y30" i="7"/>
  <c r="Y8" i="7"/>
  <c r="M7" i="5"/>
  <c r="O7" i="5" s="1"/>
  <c r="N7" i="5"/>
  <c r="M14" i="5"/>
  <c r="N16" i="5"/>
  <c r="M17" i="5"/>
  <c r="O17" i="5" s="1"/>
  <c r="N17" i="5"/>
  <c r="N13" i="5"/>
  <c r="M13" i="5"/>
  <c r="Y14" i="7"/>
  <c r="D14" i="8"/>
  <c r="F14" i="8" s="1"/>
  <c r="Y26" i="7"/>
  <c r="N25" i="5"/>
  <c r="D26" i="8"/>
  <c r="F26" i="8" s="1"/>
  <c r="M25" i="5"/>
  <c r="Y22" i="7"/>
  <c r="M21" i="5"/>
  <c r="M15" i="5"/>
  <c r="D16" i="8"/>
  <c r="F16" i="8" s="1"/>
  <c r="D9" i="8"/>
  <c r="F9" i="8" s="1"/>
  <c r="N8" i="5"/>
  <c r="AF5" i="12"/>
  <c r="AE5" i="12"/>
  <c r="AD5" i="12"/>
  <c r="D24" i="8"/>
  <c r="F24" i="8" s="1"/>
  <c r="Y24" i="7"/>
  <c r="N23" i="5"/>
  <c r="M23" i="5"/>
  <c r="Y11" i="7"/>
  <c r="D11" i="8"/>
  <c r="F11" i="8" s="1"/>
  <c r="N10" i="5"/>
  <c r="O8" i="4"/>
  <c r="C22" i="8"/>
  <c r="BA22" i="7"/>
  <c r="X22" i="7"/>
  <c r="N21" i="4"/>
  <c r="A21" i="4"/>
  <c r="M21" i="4"/>
  <c r="O21" i="4" s="1"/>
  <c r="C24" i="8"/>
  <c r="BA24" i="7"/>
  <c r="BL24" i="7" s="1"/>
  <c r="X24" i="7"/>
  <c r="N23" i="4"/>
  <c r="O23" i="4" s="1"/>
  <c r="A23" i="4"/>
  <c r="M23" i="4"/>
  <c r="C15" i="8"/>
  <c r="BA15" i="7"/>
  <c r="X15" i="7"/>
  <c r="M14" i="4"/>
  <c r="N14" i="4"/>
  <c r="O14" i="4" s="1"/>
  <c r="A14" i="4"/>
  <c r="C26" i="8"/>
  <c r="X26" i="7"/>
  <c r="BA26" i="7"/>
  <c r="M25" i="4"/>
  <c r="N25" i="4"/>
  <c r="A25" i="4"/>
  <c r="C29" i="8"/>
  <c r="X29" i="7"/>
  <c r="AO29" i="7" s="1"/>
  <c r="AP29" i="7" s="1"/>
  <c r="BA29" i="7"/>
  <c r="M28" i="4"/>
  <c r="N28" i="4"/>
  <c r="A28" i="4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30" i="12"/>
  <c r="AC26" i="12"/>
  <c r="AC29" i="12"/>
  <c r="AC12" i="12"/>
  <c r="AC22" i="12"/>
  <c r="AC16" i="12"/>
  <c r="AC11" i="12"/>
  <c r="AC10" i="12"/>
  <c r="AC25" i="12"/>
  <c r="AC17" i="12"/>
  <c r="AC19" i="12"/>
  <c r="AC4" i="12"/>
  <c r="AC28" i="12"/>
  <c r="AC27" i="12"/>
  <c r="AC31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C25" i="8"/>
  <c r="BA25" i="7"/>
  <c r="X25" i="7"/>
  <c r="AO25" i="7" s="1"/>
  <c r="AP25" i="7" s="1"/>
  <c r="N24" i="4"/>
  <c r="A24" i="4"/>
  <c r="M24" i="4"/>
  <c r="O24" i="4" s="1"/>
  <c r="C27" i="8"/>
  <c r="BA27" i="7"/>
  <c r="X27" i="7"/>
  <c r="AO27" i="7" s="1"/>
  <c r="AP27" i="7" s="1"/>
  <c r="N26" i="4"/>
  <c r="A26" i="4"/>
  <c r="M26" i="4"/>
  <c r="O26" i="4" s="1"/>
  <c r="C11" i="8"/>
  <c r="BA11" i="7"/>
  <c r="X11" i="7"/>
  <c r="N10" i="4"/>
  <c r="A10" i="4"/>
  <c r="M10" i="4"/>
  <c r="O10" i="4" s="1"/>
  <c r="C30" i="8"/>
  <c r="X30" i="7"/>
  <c r="BA30" i="7"/>
  <c r="N29" i="4"/>
  <c r="A29" i="4"/>
  <c r="M29" i="4"/>
  <c r="BA33" i="7"/>
  <c r="X33" i="7"/>
  <c r="AO33" i="7" s="1"/>
  <c r="AP33" i="7" s="1"/>
  <c r="C33" i="8"/>
  <c r="M32" i="4"/>
  <c r="O32" i="4" s="1"/>
  <c r="A32" i="4"/>
  <c r="N32" i="4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25" i="12"/>
  <c r="I9" i="12"/>
  <c r="I6" i="12"/>
  <c r="I10" i="12"/>
  <c r="J4" i="12"/>
  <c r="I11" i="12"/>
  <c r="I18" i="12"/>
  <c r="C8" i="8"/>
  <c r="BA8" i="7"/>
  <c r="BL8" i="7" s="1"/>
  <c r="BM8" i="7" s="1"/>
  <c r="X8" i="7"/>
  <c r="AO8" i="7" s="1"/>
  <c r="AP8" i="7" s="1"/>
  <c r="N7" i="4"/>
  <c r="M7" i="4"/>
  <c r="O7" i="4" s="1"/>
  <c r="A7" i="4"/>
  <c r="T5" i="4"/>
  <c r="C153" i="1" s="1"/>
  <c r="C31" i="8"/>
  <c r="M30" i="4"/>
  <c r="O30" i="4" s="1"/>
  <c r="X31" i="7"/>
  <c r="BA31" i="7"/>
  <c r="A30" i="4"/>
  <c r="N30" i="4"/>
  <c r="C35" i="8"/>
  <c r="BA35" i="7"/>
  <c r="M34" i="4"/>
  <c r="A34" i="4"/>
  <c r="X35" i="7"/>
  <c r="AO35" i="7" s="1"/>
  <c r="AP35" i="7" s="1"/>
  <c r="N34" i="4"/>
  <c r="C10" i="8"/>
  <c r="BA10" i="7"/>
  <c r="X10" i="7"/>
  <c r="N9" i="4"/>
  <c r="M9" i="4"/>
  <c r="O9" i="4" s="1"/>
  <c r="A9" i="4"/>
  <c r="C16" i="8"/>
  <c r="BA16" i="7"/>
  <c r="X16" i="7"/>
  <c r="N15" i="4"/>
  <c r="A15" i="4"/>
  <c r="M15" i="4"/>
  <c r="O15" i="4" s="1"/>
  <c r="C28" i="8"/>
  <c r="X28" i="7"/>
  <c r="AO28" i="7" s="1"/>
  <c r="AP28" i="7" s="1"/>
  <c r="BA28" i="7"/>
  <c r="BL28" i="7" s="1"/>
  <c r="N27" i="4"/>
  <c r="O27" i="4" s="1"/>
  <c r="A27" i="4"/>
  <c r="M27" i="4"/>
  <c r="C34" i="8"/>
  <c r="BA34" i="7"/>
  <c r="BL34" i="7" s="1"/>
  <c r="X34" i="7"/>
  <c r="AO34" i="7" s="1"/>
  <c r="AP34" i="7" s="1"/>
  <c r="M33" i="4"/>
  <c r="O33" i="4" s="1"/>
  <c r="A33" i="4"/>
  <c r="N33" i="4"/>
  <c r="C12" i="8"/>
  <c r="BA12" i="7"/>
  <c r="BL12" i="7" s="1"/>
  <c r="X12" i="7"/>
  <c r="AO12" i="7" s="1"/>
  <c r="AP12" i="7" s="1"/>
  <c r="N11" i="4"/>
  <c r="M11" i="4"/>
  <c r="A11" i="4"/>
  <c r="C36" i="8"/>
  <c r="X36" i="7"/>
  <c r="BA36" i="7"/>
  <c r="N35" i="4"/>
  <c r="A35" i="4"/>
  <c r="M35" i="4"/>
  <c r="C48" i="7"/>
  <c r="C47" i="7"/>
  <c r="C49" i="7"/>
  <c r="A8" i="4"/>
  <c r="BJ64" i="7"/>
  <c r="BJ60" i="7"/>
  <c r="BJ50" i="7"/>
  <c r="BJ47" i="7"/>
  <c r="BL67" i="7"/>
  <c r="BK67" i="7"/>
  <c r="BM67" i="7" s="1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L35" i="7"/>
  <c r="BK63" i="7"/>
  <c r="BK58" i="7"/>
  <c r="BK51" i="7"/>
  <c r="BL50" i="7"/>
  <c r="BL49" i="7"/>
  <c r="BJ45" i="7"/>
  <c r="BK41" i="7"/>
  <c r="BM41" i="7" s="1"/>
  <c r="BK38" i="7"/>
  <c r="BM38" i="7" s="1"/>
  <c r="BK35" i="7"/>
  <c r="BL31" i="7"/>
  <c r="BJ63" i="7"/>
  <c r="BL59" i="7"/>
  <c r="BJ58" i="7"/>
  <c r="BJ51" i="7"/>
  <c r="BK50" i="7"/>
  <c r="BM50" i="7" s="1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M44" i="7" s="1"/>
  <c r="BL40" i="7"/>
  <c r="BL37" i="7"/>
  <c r="BK34" i="7"/>
  <c r="BL64" i="7"/>
  <c r="BJ57" i="7"/>
  <c r="BK56" i="7"/>
  <c r="BK55" i="7"/>
  <c r="BM55" i="7" s="1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M33" i="7" s="1"/>
  <c r="BJ30" i="7"/>
  <c r="BL29" i="7"/>
  <c r="BJ26" i="7"/>
  <c r="BK24" i="7"/>
  <c r="BJ21" i="7"/>
  <c r="BJ18" i="7"/>
  <c r="BK14" i="7"/>
  <c r="BK11" i="7"/>
  <c r="BK37" i="7"/>
  <c r="BL36" i="7"/>
  <c r="BJ33" i="7"/>
  <c r="BK31" i="7"/>
  <c r="BM31" i="7" s="1"/>
  <c r="BK29" i="7"/>
  <c r="BJ24" i="7"/>
  <c r="BJ14" i="7"/>
  <c r="BJ11" i="7"/>
  <c r="BJ37" i="7"/>
  <c r="BK36" i="7"/>
  <c r="BJ34" i="7"/>
  <c r="BJ31" i="7"/>
  <c r="BJ29" i="7"/>
  <c r="BL17" i="7"/>
  <c r="BJ43" i="7"/>
  <c r="BJ36" i="7"/>
  <c r="BK23" i="7"/>
  <c r="BK20" i="7"/>
  <c r="BK17" i="7"/>
  <c r="BL10" i="7"/>
  <c r="BJ38" i="7"/>
  <c r="BJ23" i="7"/>
  <c r="BJ20" i="7"/>
  <c r="BJ17" i="7"/>
  <c r="BK13" i="7"/>
  <c r="BK10" i="7"/>
  <c r="BM10" i="7" s="1"/>
  <c r="BK54" i="7"/>
  <c r="BK47" i="7"/>
  <c r="BM47" i="7" s="1"/>
  <c r="BL16" i="7"/>
  <c r="BJ13" i="7"/>
  <c r="BJ10" i="7"/>
  <c r="BJ54" i="7"/>
  <c r="BL39" i="7"/>
  <c r="BL22" i="7"/>
  <c r="BK16" i="7"/>
  <c r="BM16" i="7" s="1"/>
  <c r="BK46" i="7"/>
  <c r="BM46" i="7" s="1"/>
  <c r="BK40" i="7"/>
  <c r="BM40" i="7" s="1"/>
  <c r="BK39" i="7"/>
  <c r="BL27" i="7"/>
  <c r="BK22" i="7"/>
  <c r="BK19" i="7"/>
  <c r="BJ16" i="7"/>
  <c r="BL53" i="7"/>
  <c r="BJ46" i="7"/>
  <c r="BL42" i="7"/>
  <c r="BJ40" i="7"/>
  <c r="BJ39" i="7"/>
  <c r="BJ35" i="7"/>
  <c r="BK32" i="7"/>
  <c r="BK27" i="7"/>
  <c r="BM27" i="7" s="1"/>
  <c r="BL25" i="7"/>
  <c r="BJ22" i="7"/>
  <c r="BJ19" i="7"/>
  <c r="BL15" i="7"/>
  <c r="BK12" i="7"/>
  <c r="BK53" i="7"/>
  <c r="BM53" i="7" s="1"/>
  <c r="BK28" i="7"/>
  <c r="BJ27" i="7"/>
  <c r="BK25" i="7"/>
  <c r="BM25" i="7" s="1"/>
  <c r="BK15" i="7"/>
  <c r="BJ12" i="7"/>
  <c r="BL9" i="7"/>
  <c r="BK65" i="7"/>
  <c r="BL30" i="7"/>
  <c r="BJ28" i="7"/>
  <c r="BL26" i="7"/>
  <c r="BJ25" i="7"/>
  <c r="BJ15" i="7"/>
  <c r="BK9" i="7"/>
  <c r="BJ41" i="7"/>
  <c r="BL33" i="7"/>
  <c r="BK30" i="7"/>
  <c r="BK26" i="7"/>
  <c r="BK21" i="7"/>
  <c r="BK18" i="7"/>
  <c r="BL11" i="7"/>
  <c r="BJ9" i="7"/>
  <c r="C18" i="8"/>
  <c r="BA18" i="7"/>
  <c r="BL18" i="7" s="1"/>
  <c r="X18" i="7"/>
  <c r="M17" i="4"/>
  <c r="O17" i="4" s="1"/>
  <c r="A17" i="4"/>
  <c r="N17" i="4"/>
  <c r="C32" i="8"/>
  <c r="BA32" i="7"/>
  <c r="BL32" i="7" s="1"/>
  <c r="X32" i="7"/>
  <c r="AO32" i="7" s="1"/>
  <c r="AP32" i="7" s="1"/>
  <c r="N31" i="4"/>
  <c r="A31" i="4"/>
  <c r="M31" i="4"/>
  <c r="C14" i="8"/>
  <c r="BA14" i="7"/>
  <c r="BL14" i="7" s="1"/>
  <c r="X14" i="7"/>
  <c r="AO14" i="7" s="1"/>
  <c r="N13" i="4"/>
  <c r="M13" i="4"/>
  <c r="O13" i="4" s="1"/>
  <c r="A13" i="4"/>
  <c r="C19" i="8"/>
  <c r="BA19" i="7"/>
  <c r="BL19" i="7" s="1"/>
  <c r="X19" i="7"/>
  <c r="N18" i="4"/>
  <c r="A18" i="4"/>
  <c r="M18" i="4"/>
  <c r="O18" i="4" s="1"/>
  <c r="C13" i="8"/>
  <c r="BA13" i="7"/>
  <c r="BL13" i="7" s="1"/>
  <c r="X13" i="7"/>
  <c r="N12" i="4"/>
  <c r="A12" i="4"/>
  <c r="M12" i="4"/>
  <c r="C17" i="8"/>
  <c r="N16" i="4"/>
  <c r="O16" i="4" s="1"/>
  <c r="M16" i="4"/>
  <c r="BA17" i="7"/>
  <c r="X17" i="7"/>
  <c r="A16" i="4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C21" i="8"/>
  <c r="BA21" i="7"/>
  <c r="BL21" i="7" s="1"/>
  <c r="X21" i="7"/>
  <c r="AO21" i="7" s="1"/>
  <c r="AP21" i="7" s="1"/>
  <c r="N20" i="4"/>
  <c r="A20" i="4"/>
  <c r="M20" i="4"/>
  <c r="O20" i="4" s="1"/>
  <c r="C20" i="8"/>
  <c r="X20" i="7"/>
  <c r="M19" i="4"/>
  <c r="BA20" i="7"/>
  <c r="BL20" i="7" s="1"/>
  <c r="N19" i="4"/>
  <c r="A19" i="4"/>
  <c r="C23" i="8"/>
  <c r="BA23" i="7"/>
  <c r="BL23" i="7" s="1"/>
  <c r="M22" i="4"/>
  <c r="O22" i="4" s="1"/>
  <c r="X23" i="7"/>
  <c r="N22" i="4"/>
  <c r="A22" i="4"/>
  <c r="C45" i="7"/>
  <c r="BO8" i="7"/>
  <c r="BP8" i="7" s="1"/>
  <c r="BO9" i="7"/>
  <c r="BP9" i="7" s="1"/>
  <c r="C46" i="7"/>
  <c r="E9" i="8"/>
  <c r="C27" i="7" l="1"/>
  <c r="C32" i="7" s="1"/>
  <c r="C31" i="7"/>
  <c r="D22" i="8"/>
  <c r="F22" i="8" s="1"/>
  <c r="C30" i="7"/>
  <c r="Y9" i="7"/>
  <c r="AO9" i="7" s="1"/>
  <c r="Y15" i="7"/>
  <c r="M30" i="5"/>
  <c r="D15" i="8"/>
  <c r="F15" i="8" s="1"/>
  <c r="AO10" i="7"/>
  <c r="Y31" i="7"/>
  <c r="Y36" i="7"/>
  <c r="AO36" i="7" s="1"/>
  <c r="Y13" i="7"/>
  <c r="G9" i="8"/>
  <c r="H9" i="8" s="1"/>
  <c r="A23" i="5"/>
  <c r="A16" i="5"/>
  <c r="D13" i="8"/>
  <c r="F13" i="8" s="1"/>
  <c r="D17" i="8"/>
  <c r="F17" i="8" s="1"/>
  <c r="O10" i="5"/>
  <c r="A21" i="5"/>
  <c r="N35" i="5"/>
  <c r="M35" i="5"/>
  <c r="O35" i="5" s="1"/>
  <c r="D23" i="8"/>
  <c r="F23" i="8" s="1"/>
  <c r="N15" i="5"/>
  <c r="O15" i="5" s="1"/>
  <c r="D31" i="8"/>
  <c r="F31" i="8" s="1"/>
  <c r="D18" i="8"/>
  <c r="F18" i="8" s="1"/>
  <c r="A7" i="5"/>
  <c r="N19" i="5"/>
  <c r="O19" i="5" s="1"/>
  <c r="A25" i="5"/>
  <c r="O16" i="5"/>
  <c r="N9" i="5"/>
  <c r="A10" i="5"/>
  <c r="M9" i="5"/>
  <c r="O9" i="5" s="1"/>
  <c r="A15" i="5"/>
  <c r="A14" i="5"/>
  <c r="A29" i="5"/>
  <c r="Y20" i="7"/>
  <c r="AO20" i="7" s="1"/>
  <c r="A30" i="5"/>
  <c r="A13" i="5"/>
  <c r="A18" i="5"/>
  <c r="D10" i="8"/>
  <c r="F10" i="8" s="1"/>
  <c r="M18" i="5"/>
  <c r="O18" i="5" s="1"/>
  <c r="D20" i="8"/>
  <c r="F20" i="8" s="1"/>
  <c r="AO30" i="7"/>
  <c r="A9" i="5"/>
  <c r="M22" i="5"/>
  <c r="O22" i="5" s="1"/>
  <c r="Y19" i="7"/>
  <c r="AO19" i="7" s="1"/>
  <c r="A8" i="5"/>
  <c r="A22" i="5"/>
  <c r="D19" i="8"/>
  <c r="F19" i="8" s="1"/>
  <c r="T5" i="5"/>
  <c r="D153" i="1" s="1"/>
  <c r="A17" i="5"/>
  <c r="N18" i="5"/>
  <c r="A19" i="5"/>
  <c r="M12" i="5"/>
  <c r="O12" i="5" s="1"/>
  <c r="Y23" i="7"/>
  <c r="AO23" i="7" s="1"/>
  <c r="Y17" i="7"/>
  <c r="AO17" i="7" s="1"/>
  <c r="A35" i="5"/>
  <c r="A12" i="5"/>
  <c r="AO15" i="7"/>
  <c r="AP15" i="7" s="1"/>
  <c r="O21" i="5"/>
  <c r="O13" i="5"/>
  <c r="AO13" i="7"/>
  <c r="AO18" i="7"/>
  <c r="O30" i="5"/>
  <c r="O25" i="5"/>
  <c r="AO24" i="7"/>
  <c r="AP9" i="7"/>
  <c r="AR9" i="7" s="1"/>
  <c r="O14" i="5"/>
  <c r="O23" i="5"/>
  <c r="O8" i="5"/>
  <c r="O29" i="5"/>
  <c r="X4" i="1"/>
  <c r="W4" i="1"/>
  <c r="AO31" i="7"/>
  <c r="AO26" i="7"/>
  <c r="AO16" i="7"/>
  <c r="AO11" i="7"/>
  <c r="AP11" i="7" s="1"/>
  <c r="AO22" i="7"/>
  <c r="O35" i="4"/>
  <c r="O25" i="4"/>
  <c r="BM49" i="7"/>
  <c r="O31" i="4"/>
  <c r="O34" i="4"/>
  <c r="O28" i="4"/>
  <c r="C50" i="7"/>
  <c r="O12" i="4"/>
  <c r="T8" i="4" s="1"/>
  <c r="C164" i="1" s="1"/>
  <c r="BM56" i="7"/>
  <c r="O11" i="4"/>
  <c r="O19" i="4"/>
  <c r="BM9" i="7"/>
  <c r="BM29" i="7"/>
  <c r="BM34" i="7"/>
  <c r="O29" i="4"/>
  <c r="BM28" i="7"/>
  <c r="BM66" i="7"/>
  <c r="BM42" i="7"/>
  <c r="G35" i="8"/>
  <c r="H35" i="8" s="1"/>
  <c r="E35" i="8"/>
  <c r="E27" i="8"/>
  <c r="G27" i="8"/>
  <c r="H27" i="8" s="1"/>
  <c r="E17" i="8"/>
  <c r="G17" i="8" s="1"/>
  <c r="H17" i="8" s="1"/>
  <c r="BM18" i="7"/>
  <c r="BM37" i="7"/>
  <c r="BM52" i="7"/>
  <c r="G12" i="8"/>
  <c r="H12" i="8" s="1"/>
  <c r="E12" i="8"/>
  <c r="AR8" i="7"/>
  <c r="AQ8" i="7"/>
  <c r="E33" i="8"/>
  <c r="G33" i="8"/>
  <c r="H33" i="8" s="1"/>
  <c r="C21" i="7"/>
  <c r="C22" i="7"/>
  <c r="C20" i="7"/>
  <c r="G32" i="8"/>
  <c r="H32" i="8" s="1"/>
  <c r="E32" i="8"/>
  <c r="BM11" i="7"/>
  <c r="BM51" i="7"/>
  <c r="E26" i="8"/>
  <c r="G26" i="8" s="1"/>
  <c r="H26" i="8" s="1"/>
  <c r="E18" i="8"/>
  <c r="G18" i="8" s="1"/>
  <c r="H18" i="8" s="1"/>
  <c r="BM13" i="7"/>
  <c r="E20" i="8"/>
  <c r="G20" i="8" s="1"/>
  <c r="H20" i="8" s="1"/>
  <c r="BM21" i="7"/>
  <c r="BM14" i="7"/>
  <c r="BM61" i="7"/>
  <c r="BM58" i="7"/>
  <c r="G28" i="8"/>
  <c r="H28" i="8" s="1"/>
  <c r="E28" i="8"/>
  <c r="AP10" i="7"/>
  <c r="E8" i="8"/>
  <c r="G8" i="8" s="1"/>
  <c r="H8" i="8" s="1"/>
  <c r="AI61" i="12"/>
  <c r="AL62" i="12"/>
  <c r="AH61" i="12"/>
  <c r="AL59" i="12"/>
  <c r="AH58" i="12"/>
  <c r="AL56" i="12"/>
  <c r="AH55" i="12"/>
  <c r="AL53" i="12"/>
  <c r="AH52" i="12"/>
  <c r="AL50" i="12"/>
  <c r="AH49" i="12"/>
  <c r="AL47" i="12"/>
  <c r="AH46" i="12"/>
  <c r="AL44" i="12"/>
  <c r="AH43" i="12"/>
  <c r="AL41" i="12"/>
  <c r="AH40" i="12"/>
  <c r="AL38" i="12"/>
  <c r="AK62" i="12"/>
  <c r="AY62" i="12" s="1"/>
  <c r="AG61" i="12"/>
  <c r="BD61" i="12" s="1"/>
  <c r="AI62" i="12"/>
  <c r="AH62" i="12"/>
  <c r="AL60" i="12"/>
  <c r="AH59" i="12"/>
  <c r="AL57" i="12"/>
  <c r="AH56" i="12"/>
  <c r="AL54" i="12"/>
  <c r="AH53" i="12"/>
  <c r="AL51" i="12"/>
  <c r="AH50" i="12"/>
  <c r="AL48" i="12"/>
  <c r="AH47" i="12"/>
  <c r="AL45" i="12"/>
  <c r="AH44" i="12"/>
  <c r="AL42" i="12"/>
  <c r="AH41" i="12"/>
  <c r="AL39" i="12"/>
  <c r="AH38" i="12"/>
  <c r="AL36" i="12"/>
  <c r="AH35" i="12"/>
  <c r="AL33" i="12"/>
  <c r="AH32" i="12"/>
  <c r="AI59" i="12"/>
  <c r="AL58" i="12"/>
  <c r="AG55" i="12"/>
  <c r="BD55" i="12" s="1"/>
  <c r="AJ54" i="12"/>
  <c r="AM54" i="12" s="1"/>
  <c r="AI50" i="12"/>
  <c r="AL49" i="12"/>
  <c r="AG46" i="12"/>
  <c r="BD46" i="12" s="1"/>
  <c r="AJ45" i="12"/>
  <c r="AM45" i="12" s="1"/>
  <c r="AI41" i="12"/>
  <c r="AJ62" i="12"/>
  <c r="AM62" i="12" s="1"/>
  <c r="AG58" i="12"/>
  <c r="BD58" i="12" s="1"/>
  <c r="AJ57" i="12"/>
  <c r="AM57" i="12" s="1"/>
  <c r="AI53" i="12"/>
  <c r="AL52" i="12"/>
  <c r="AG49" i="12"/>
  <c r="BD49" i="12" s="1"/>
  <c r="AJ48" i="12"/>
  <c r="AM48" i="12" s="1"/>
  <c r="AI44" i="12"/>
  <c r="AL43" i="12"/>
  <c r="AG40" i="12"/>
  <c r="BD40" i="12" s="1"/>
  <c r="AJ39" i="12"/>
  <c r="AM39" i="12" s="1"/>
  <c r="AK36" i="12"/>
  <c r="AY36" i="12" s="1"/>
  <c r="AJ34" i="12"/>
  <c r="AM34" i="12" s="1"/>
  <c r="AI32" i="12"/>
  <c r="AI30" i="12"/>
  <c r="AI27" i="12"/>
  <c r="AI24" i="12"/>
  <c r="AG62" i="12"/>
  <c r="BD62" i="12" s="1"/>
  <c r="AI57" i="12"/>
  <c r="AG53" i="12"/>
  <c r="BD53" i="12" s="1"/>
  <c r="AK52" i="12"/>
  <c r="AY52" i="12" s="1"/>
  <c r="AI48" i="12"/>
  <c r="AG44" i="12"/>
  <c r="BD44" i="12" s="1"/>
  <c r="AK43" i="12"/>
  <c r="AY43" i="12" s="1"/>
  <c r="AI39" i="12"/>
  <c r="AJ36" i="12"/>
  <c r="AM36" i="12" s="1"/>
  <c r="AI34" i="12"/>
  <c r="AG32" i="12"/>
  <c r="BD32" i="12" s="1"/>
  <c r="AH30" i="12"/>
  <c r="AL28" i="12"/>
  <c r="AH27" i="12"/>
  <c r="AL25" i="12"/>
  <c r="AH24" i="12"/>
  <c r="AK60" i="12"/>
  <c r="AY60" i="12" s="1"/>
  <c r="AG57" i="12"/>
  <c r="BD57" i="12" s="1"/>
  <c r="AJ56" i="12"/>
  <c r="AM56" i="12" s="1"/>
  <c r="AL61" i="12"/>
  <c r="AJ61" i="12"/>
  <c r="AM61" i="12" s="1"/>
  <c r="AG60" i="12"/>
  <c r="BD60" i="12" s="1"/>
  <c r="AJ59" i="12"/>
  <c r="AM59" i="12" s="1"/>
  <c r="AI55" i="12"/>
  <c r="AK54" i="12"/>
  <c r="AY54" i="12" s="1"/>
  <c r="AG51" i="12"/>
  <c r="BD51" i="12" s="1"/>
  <c r="AJ50" i="12"/>
  <c r="AM50" i="12" s="1"/>
  <c r="AI46" i="12"/>
  <c r="AK45" i="12"/>
  <c r="AY45" i="12" s="1"/>
  <c r="AG42" i="12"/>
  <c r="BD42" i="12" s="1"/>
  <c r="AJ41" i="12"/>
  <c r="AM41" i="12" s="1"/>
  <c r="AK37" i="12"/>
  <c r="AY37" i="12" s="1"/>
  <c r="AJ35" i="12"/>
  <c r="AM35" i="12" s="1"/>
  <c r="AI60" i="12"/>
  <c r="AK57" i="12"/>
  <c r="AY57" i="12" s="1"/>
  <c r="AH51" i="12"/>
  <c r="AJ49" i="12"/>
  <c r="AM49" i="12" s="1"/>
  <c r="AJ47" i="12"/>
  <c r="AM47" i="12" s="1"/>
  <c r="AH42" i="12"/>
  <c r="AL40" i="12"/>
  <c r="AK35" i="12"/>
  <c r="AY35" i="12" s="1"/>
  <c r="AK34" i="12"/>
  <c r="AY34" i="12" s="1"/>
  <c r="AJ33" i="12"/>
  <c r="AM33" i="12" s="1"/>
  <c r="AG29" i="12"/>
  <c r="AI28" i="12"/>
  <c r="AG24" i="12"/>
  <c r="AK23" i="12"/>
  <c r="AG18" i="12"/>
  <c r="AH17" i="12"/>
  <c r="AI16" i="12"/>
  <c r="AJ15" i="12"/>
  <c r="AM15" i="12" s="1"/>
  <c r="AI56" i="12"/>
  <c r="AG54" i="12"/>
  <c r="BD54" i="12" s="1"/>
  <c r="AG50" i="12"/>
  <c r="BD50" i="12" s="1"/>
  <c r="AH48" i="12"/>
  <c r="AG45" i="12"/>
  <c r="BD45" i="12" s="1"/>
  <c r="AG41" i="12"/>
  <c r="BD41" i="12" s="1"/>
  <c r="AJ38" i="12"/>
  <c r="AM38" i="12" s="1"/>
  <c r="AH37" i="12"/>
  <c r="AH31" i="12"/>
  <c r="AL30" i="12"/>
  <c r="AJ26" i="12"/>
  <c r="AM26" i="12" s="1"/>
  <c r="AL46" i="12"/>
  <c r="AG38" i="12"/>
  <c r="BD38" i="12" s="1"/>
  <c r="AJ30" i="12"/>
  <c r="AM30" i="12" s="1"/>
  <c r="AL29" i="12"/>
  <c r="AH26" i="12"/>
  <c r="AJ25" i="12"/>
  <c r="AM25" i="12" s="1"/>
  <c r="AJ58" i="12"/>
  <c r="AM58" i="12" s="1"/>
  <c r="AL55" i="12"/>
  <c r="AK53" i="12"/>
  <c r="AY53" i="12" s="1"/>
  <c r="AK51" i="12"/>
  <c r="AY51" i="12" s="1"/>
  <c r="AJ46" i="12"/>
  <c r="AM46" i="12" s="1"/>
  <c r="AK44" i="12"/>
  <c r="AY44" i="12" s="1"/>
  <c r="AK42" i="12"/>
  <c r="AY42" i="12" s="1"/>
  <c r="AH39" i="12"/>
  <c r="AJ60" i="12"/>
  <c r="AM60" i="12" s="1"/>
  <c r="AJ55" i="12"/>
  <c r="AM55" i="12" s="1"/>
  <c r="AI51" i="12"/>
  <c r="AK49" i="12"/>
  <c r="AY49" i="12" s="1"/>
  <c r="AK47" i="12"/>
  <c r="AY47" i="12" s="1"/>
  <c r="AI42" i="12"/>
  <c r="AL35" i="12"/>
  <c r="AL34" i="12"/>
  <c r="AK33" i="12"/>
  <c r="AY33" i="12" s="1"/>
  <c r="AH29" i="12"/>
  <c r="AJ28" i="12"/>
  <c r="AM28" i="12" s="1"/>
  <c r="AK59" i="12"/>
  <c r="AY59" i="12" s="1"/>
  <c r="AJ42" i="12"/>
  <c r="AM42" i="12" s="1"/>
  <c r="AJ40" i="12"/>
  <c r="AM40" i="12" s="1"/>
  <c r="AK39" i="12"/>
  <c r="AY39" i="12" s="1"/>
  <c r="AI29" i="12"/>
  <c r="AK27" i="12"/>
  <c r="AK25" i="12"/>
  <c r="AY2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I58" i="12"/>
  <c r="AJ37" i="12"/>
  <c r="AM37" i="12" s="1"/>
  <c r="AJ32" i="12"/>
  <c r="AM32" i="12" s="1"/>
  <c r="AK30" i="12"/>
  <c r="AK28" i="12"/>
  <c r="AL20" i="12"/>
  <c r="AJ19" i="12"/>
  <c r="AM19" i="12" s="1"/>
  <c r="AI18" i="12"/>
  <c r="AG7" i="12"/>
  <c r="AH6" i="12"/>
  <c r="AI5" i="12"/>
  <c r="AJ4" i="12"/>
  <c r="AM4" i="12" s="1"/>
  <c r="AI37" i="12"/>
  <c r="AG30" i="12"/>
  <c r="AH28" i="12"/>
  <c r="AK20" i="12"/>
  <c r="AI19" i="12"/>
  <c r="AH18" i="12"/>
  <c r="AL14" i="12"/>
  <c r="AG6" i="12"/>
  <c r="AH5" i="12"/>
  <c r="AJ52" i="12"/>
  <c r="AM52" i="12" s="1"/>
  <c r="AH36" i="12"/>
  <c r="AL31" i="12"/>
  <c r="AK26" i="12"/>
  <c r="AY26" i="12" s="1"/>
  <c r="AJ23" i="12"/>
  <c r="AM23" i="12" s="1"/>
  <c r="AK21" i="12"/>
  <c r="AY21" i="12" s="1"/>
  <c r="AI20" i="12"/>
  <c r="AG19" i="12"/>
  <c r="AL15" i="12"/>
  <c r="AJ14" i="12"/>
  <c r="AM14" i="12" s="1"/>
  <c r="AK13" i="12"/>
  <c r="AY13" i="12" s="1"/>
  <c r="AL12" i="12"/>
  <c r="AH57" i="12"/>
  <c r="AH45" i="12"/>
  <c r="AJ44" i="12"/>
  <c r="AM44" i="12" s="1"/>
  <c r="AG43" i="12"/>
  <c r="BD43" i="12" s="1"/>
  <c r="AK41" i="12"/>
  <c r="AY41" i="12" s="1"/>
  <c r="AK40" i="12"/>
  <c r="AY40" i="12" s="1"/>
  <c r="AG35" i="12"/>
  <c r="BD35" i="12" s="1"/>
  <c r="AG31" i="12"/>
  <c r="AJ29" i="12"/>
  <c r="AM29" i="12" s="1"/>
  <c r="AL27" i="12"/>
  <c r="AI22" i="12"/>
  <c r="AG21" i="12"/>
  <c r="AI36" i="12"/>
  <c r="AI31" i="12"/>
  <c r="AI23" i="12"/>
  <c r="AH20" i="12"/>
  <c r="AL16" i="12"/>
  <c r="AK15" i="12"/>
  <c r="AY15" i="12" s="1"/>
  <c r="AH8" i="12"/>
  <c r="AJ5" i="12"/>
  <c r="AM5" i="12" s="1"/>
  <c r="AK58" i="12"/>
  <c r="AY58" i="12" s="1"/>
  <c r="AK55" i="12"/>
  <c r="AY55" i="12" s="1"/>
  <c r="AI47" i="12"/>
  <c r="AK61" i="12"/>
  <c r="AY61" i="12" s="1"/>
  <c r="AG37" i="12"/>
  <c r="BD37" i="12" s="1"/>
  <c r="AI21" i="12"/>
  <c r="AL17" i="12"/>
  <c r="AG16" i="12"/>
  <c r="AG15" i="12"/>
  <c r="AH14" i="12"/>
  <c r="AJ13" i="12"/>
  <c r="AM13" i="12" s="1"/>
  <c r="AJ7" i="12"/>
  <c r="AM7" i="12" s="1"/>
  <c r="AG59" i="12"/>
  <c r="BD59" i="12" s="1"/>
  <c r="AK56" i="12"/>
  <c r="AY56" i="12" s="1"/>
  <c r="AK48" i="12"/>
  <c r="AY48" i="12" s="1"/>
  <c r="AK38" i="12"/>
  <c r="AY38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G56" i="12"/>
  <c r="BD56" i="12" s="1"/>
  <c r="AG48" i="12"/>
  <c r="BD48" i="12" s="1"/>
  <c r="AI38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I54" i="12"/>
  <c r="AH54" i="12"/>
  <c r="AJ51" i="12"/>
  <c r="AM51" i="12" s="1"/>
  <c r="AG39" i="12"/>
  <c r="BD39" i="12" s="1"/>
  <c r="AG22" i="12"/>
  <c r="AL19" i="12"/>
  <c r="AH12" i="12"/>
  <c r="AI11" i="12"/>
  <c r="AI10" i="12"/>
  <c r="AJ9" i="12"/>
  <c r="AM9" i="12" s="1"/>
  <c r="AK6" i="12"/>
  <c r="AY6" i="12" s="1"/>
  <c r="AH4" i="12"/>
  <c r="AI25" i="12"/>
  <c r="AL24" i="12"/>
  <c r="AK19" i="12"/>
  <c r="AY19" i="12" s="1"/>
  <c r="AG11" i="12"/>
  <c r="AG10" i="12"/>
  <c r="AH9" i="12"/>
  <c r="AJ6" i="12"/>
  <c r="AM6" i="12" s="1"/>
  <c r="AG4" i="12"/>
  <c r="AI49" i="12"/>
  <c r="AI40" i="12"/>
  <c r="AG33" i="12"/>
  <c r="BD33" i="12" s="1"/>
  <c r="AK32" i="12"/>
  <c r="AY32" i="12" s="1"/>
  <c r="AJ31" i="12"/>
  <c r="AM31" i="12" s="1"/>
  <c r="AK29" i="12"/>
  <c r="AG28" i="12"/>
  <c r="AG27" i="12"/>
  <c r="BD27" i="12" s="1"/>
  <c r="AG26" i="12"/>
  <c r="AL23" i="12"/>
  <c r="AJ20" i="12"/>
  <c r="AM20" i="12" s="1"/>
  <c r="AI8" i="12"/>
  <c r="AK5" i="12"/>
  <c r="AY5" i="12" s="1"/>
  <c r="AK50" i="12"/>
  <c r="AY50" i="12" s="1"/>
  <c r="AI33" i="12"/>
  <c r="AH25" i="12"/>
  <c r="AJ22" i="12"/>
  <c r="AM22" i="12" s="1"/>
  <c r="AG47" i="12"/>
  <c r="BD47" i="12" s="1"/>
  <c r="AH33" i="12"/>
  <c r="AG25" i="12"/>
  <c r="AH23" i="12"/>
  <c r="AG17" i="12"/>
  <c r="AJ27" i="12"/>
  <c r="AM27" i="12" s="1"/>
  <c r="AG23" i="12"/>
  <c r="AJ18" i="12"/>
  <c r="AM18" i="12" s="1"/>
  <c r="AI52" i="12"/>
  <c r="AK31" i="12"/>
  <c r="AY31" i="12" s="1"/>
  <c r="AG52" i="12"/>
  <c r="BD52" i="12" s="1"/>
  <c r="AK24" i="12"/>
  <c r="AH19" i="12"/>
  <c r="AH34" i="12"/>
  <c r="AJ24" i="12"/>
  <c r="AM24" i="12" s="1"/>
  <c r="AK46" i="12"/>
  <c r="AY46" i="12" s="1"/>
  <c r="AJ43" i="12"/>
  <c r="AM43" i="12" s="1"/>
  <c r="AG36" i="12"/>
  <c r="BD36" i="12" s="1"/>
  <c r="AG34" i="12"/>
  <c r="BD34" i="12" s="1"/>
  <c r="AL8" i="12"/>
  <c r="AH60" i="12"/>
  <c r="AI43" i="12"/>
  <c r="AL26" i="12"/>
  <c r="AG20" i="12"/>
  <c r="AK9" i="12"/>
  <c r="AY9" i="12" s="1"/>
  <c r="AK8" i="12"/>
  <c r="AY8" i="12" s="1"/>
  <c r="AL7" i="12"/>
  <c r="AL32" i="12"/>
  <c r="AI26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J53" i="12"/>
  <c r="AM53" i="12" s="1"/>
  <c r="AL37" i="12"/>
  <c r="AI35" i="12"/>
  <c r="AH15" i="12"/>
  <c r="AI14" i="12"/>
  <c r="AG13" i="12"/>
  <c r="AI45" i="12"/>
  <c r="AJ16" i="12"/>
  <c r="AM16" i="12" s="1"/>
  <c r="AI12" i="12"/>
  <c r="AI4" i="12"/>
  <c r="AI15" i="12"/>
  <c r="AK14" i="12"/>
  <c r="AY14" i="12" s="1"/>
  <c r="BM19" i="7"/>
  <c r="BM36" i="7"/>
  <c r="BM62" i="7"/>
  <c r="BM48" i="7"/>
  <c r="BM57" i="7"/>
  <c r="BM63" i="7"/>
  <c r="C12" i="7"/>
  <c r="C13" i="7"/>
  <c r="C11" i="7"/>
  <c r="E24" i="8"/>
  <c r="G24" i="8" s="1"/>
  <c r="H24" i="8" s="1"/>
  <c r="E19" i="8"/>
  <c r="G19" i="8" s="1"/>
  <c r="H19" i="8" s="1"/>
  <c r="G23" i="8"/>
  <c r="H23" i="8" s="1"/>
  <c r="E23" i="8"/>
  <c r="E13" i="8"/>
  <c r="G13" i="8"/>
  <c r="H13" i="8" s="1"/>
  <c r="AP14" i="7"/>
  <c r="BM26" i="7"/>
  <c r="BM65" i="7"/>
  <c r="BM22" i="7"/>
  <c r="BM17" i="7"/>
  <c r="E10" i="8"/>
  <c r="G10" i="8"/>
  <c r="H10" i="8" s="1"/>
  <c r="G11" i="8"/>
  <c r="H11" i="8" s="1"/>
  <c r="E11" i="8"/>
  <c r="C18" i="7"/>
  <c r="G49" i="1" s="1"/>
  <c r="C19" i="7"/>
  <c r="BM30" i="7"/>
  <c r="BM20" i="7"/>
  <c r="BM24" i="7"/>
  <c r="BM43" i="7"/>
  <c r="BM60" i="7"/>
  <c r="E36" i="8"/>
  <c r="G36" i="8" s="1"/>
  <c r="H36" i="8" s="1"/>
  <c r="G21" i="8"/>
  <c r="H21" i="8" s="1"/>
  <c r="E21" i="8"/>
  <c r="G14" i="8"/>
  <c r="H14" i="8" s="1"/>
  <c r="E14" i="8"/>
  <c r="BM32" i="7"/>
  <c r="BM23" i="7"/>
  <c r="BM64" i="7"/>
  <c r="E31" i="8"/>
  <c r="E25" i="8"/>
  <c r="G25" i="8"/>
  <c r="H25" i="8" s="1"/>
  <c r="E29" i="8"/>
  <c r="G29" i="8"/>
  <c r="H29" i="8" s="1"/>
  <c r="C54" i="7"/>
  <c r="BM12" i="7"/>
  <c r="BM15" i="7"/>
  <c r="BM39" i="7"/>
  <c r="BM54" i="7"/>
  <c r="BM35" i="7"/>
  <c r="BM45" i="7"/>
  <c r="E34" i="8"/>
  <c r="G34" i="8"/>
  <c r="H34" i="8" s="1"/>
  <c r="V61" i="1"/>
  <c r="V58" i="1"/>
  <c r="V55" i="1"/>
  <c r="V52" i="1"/>
  <c r="V49" i="1"/>
  <c r="U47" i="1"/>
  <c r="U44" i="1"/>
  <c r="U41" i="1"/>
  <c r="U38" i="1"/>
  <c r="U35" i="1"/>
  <c r="U32" i="1"/>
  <c r="U29" i="1"/>
  <c r="U26" i="1"/>
  <c r="U23" i="1"/>
  <c r="V15" i="1"/>
  <c r="U14" i="1"/>
  <c r="U61" i="1"/>
  <c r="U58" i="1"/>
  <c r="U52" i="1"/>
  <c r="U55" i="1"/>
  <c r="V20" i="1"/>
  <c r="V17" i="1"/>
  <c r="V46" i="1"/>
  <c r="V43" i="1"/>
  <c r="V40" i="1"/>
  <c r="V37" i="1"/>
  <c r="V34" i="1"/>
  <c r="V31" i="1"/>
  <c r="V28" i="1"/>
  <c r="V25" i="1"/>
  <c r="U20" i="1"/>
  <c r="U17" i="1"/>
  <c r="V60" i="1"/>
  <c r="V57" i="1"/>
  <c r="V54" i="1"/>
  <c r="V51" i="1"/>
  <c r="U46" i="1"/>
  <c r="U43" i="1"/>
  <c r="U40" i="1"/>
  <c r="U37" i="1"/>
  <c r="U34" i="1"/>
  <c r="U31" i="1"/>
  <c r="U28" i="1"/>
  <c r="U25" i="1"/>
  <c r="V22" i="1"/>
  <c r="V19" i="1"/>
  <c r="V16" i="1"/>
  <c r="V7" i="1"/>
  <c r="U6" i="1"/>
  <c r="V5" i="1"/>
  <c r="V53" i="1"/>
  <c r="V50" i="1"/>
  <c r="U48" i="1"/>
  <c r="U45" i="1"/>
  <c r="U36" i="1"/>
  <c r="U33" i="1"/>
  <c r="U30" i="1"/>
  <c r="U27" i="1"/>
  <c r="V11" i="1"/>
  <c r="V48" i="1"/>
  <c r="V45" i="1"/>
  <c r="V42" i="1"/>
  <c r="V39" i="1"/>
  <c r="V36" i="1"/>
  <c r="V33" i="1"/>
  <c r="V30" i="1"/>
  <c r="V27" i="1"/>
  <c r="V24" i="1"/>
  <c r="U22" i="1"/>
  <c r="U19" i="1"/>
  <c r="U16" i="1"/>
  <c r="V8" i="1"/>
  <c r="U7" i="1"/>
  <c r="U5" i="1"/>
  <c r="V4" i="1"/>
  <c r="U42" i="1"/>
  <c r="V62" i="1"/>
  <c r="V59" i="1"/>
  <c r="V56" i="1"/>
  <c r="U39" i="1"/>
  <c r="U24" i="1"/>
  <c r="U8" i="1"/>
  <c r="U56" i="1"/>
  <c r="U3" i="1"/>
  <c r="V23" i="1"/>
  <c r="V44" i="1"/>
  <c r="U12" i="1"/>
  <c r="U10" i="1"/>
  <c r="U54" i="1"/>
  <c r="U53" i="1"/>
  <c r="V26" i="1"/>
  <c r="U11" i="1"/>
  <c r="U9" i="1"/>
  <c r="V6" i="1"/>
  <c r="V3" i="1"/>
  <c r="U57" i="1"/>
  <c r="V32" i="1"/>
  <c r="U49" i="1"/>
  <c r="V35" i="1"/>
  <c r="V13" i="1"/>
  <c r="U4" i="1"/>
  <c r="V9" i="1"/>
  <c r="U60" i="1"/>
  <c r="U59" i="1"/>
  <c r="V38" i="1"/>
  <c r="U13" i="1"/>
  <c r="V41" i="1"/>
  <c r="V10" i="1"/>
  <c r="U51" i="1"/>
  <c r="V14" i="1"/>
  <c r="U62" i="1"/>
  <c r="V29" i="1"/>
  <c r="V21" i="1"/>
  <c r="V18" i="1"/>
  <c r="U15" i="1"/>
  <c r="U18" i="1"/>
  <c r="V12" i="1"/>
  <c r="V47" i="1"/>
  <c r="U50" i="1"/>
  <c r="U21" i="1"/>
  <c r="K60" i="12"/>
  <c r="O60" i="12" s="1"/>
  <c r="K57" i="12"/>
  <c r="O57" i="12" s="1"/>
  <c r="K54" i="12"/>
  <c r="O54" i="12" s="1"/>
  <c r="K51" i="12"/>
  <c r="O51" i="12" s="1"/>
  <c r="K48" i="12"/>
  <c r="O48" i="12" s="1"/>
  <c r="K45" i="12"/>
  <c r="O45" i="12" s="1"/>
  <c r="K42" i="12"/>
  <c r="O42" i="12" s="1"/>
  <c r="K39" i="12"/>
  <c r="O39" i="12" s="1"/>
  <c r="N61" i="12"/>
  <c r="K61" i="12"/>
  <c r="O61" i="12" s="1"/>
  <c r="K58" i="12"/>
  <c r="O58" i="12" s="1"/>
  <c r="K55" i="12"/>
  <c r="O55" i="12" s="1"/>
  <c r="K52" i="12"/>
  <c r="O52" i="12" s="1"/>
  <c r="K49" i="12"/>
  <c r="O49" i="12" s="1"/>
  <c r="K46" i="12"/>
  <c r="O46" i="12" s="1"/>
  <c r="K43" i="12"/>
  <c r="O43" i="12" s="1"/>
  <c r="K40" i="12"/>
  <c r="O40" i="12" s="1"/>
  <c r="K37" i="12"/>
  <c r="O37" i="12" s="1"/>
  <c r="K34" i="12"/>
  <c r="O34" i="12" s="1"/>
  <c r="K31" i="12"/>
  <c r="O31" i="12" s="1"/>
  <c r="M62" i="12"/>
  <c r="N62" i="12"/>
  <c r="L60" i="12"/>
  <c r="M59" i="12"/>
  <c r="M55" i="12"/>
  <c r="L51" i="12"/>
  <c r="M50" i="12"/>
  <c r="M46" i="12"/>
  <c r="L42" i="12"/>
  <c r="K62" i="12"/>
  <c r="O62" i="12" s="1"/>
  <c r="M58" i="12"/>
  <c r="L54" i="12"/>
  <c r="M53" i="12"/>
  <c r="M49" i="12"/>
  <c r="L45" i="12"/>
  <c r="M44" i="12"/>
  <c r="M40" i="12"/>
  <c r="M37" i="12"/>
  <c r="N32" i="12"/>
  <c r="L29" i="12"/>
  <c r="L26" i="12"/>
  <c r="L23" i="12"/>
  <c r="L58" i="12"/>
  <c r="L53" i="12"/>
  <c r="L49" i="12"/>
  <c r="L44" i="12"/>
  <c r="L40" i="12"/>
  <c r="L37" i="12"/>
  <c r="M32" i="12"/>
  <c r="K29" i="12"/>
  <c r="O29" i="12" s="1"/>
  <c r="K26" i="12"/>
  <c r="O26" i="12" s="1"/>
  <c r="K23" i="12"/>
  <c r="O23" i="12" s="1"/>
  <c r="M57" i="12"/>
  <c r="N56" i="12"/>
  <c r="M60" i="12"/>
  <c r="N59" i="12"/>
  <c r="N55" i="12"/>
  <c r="M51" i="12"/>
  <c r="N50" i="12"/>
  <c r="N46" i="12"/>
  <c r="M42" i="12"/>
  <c r="N41" i="12"/>
  <c r="K38" i="12"/>
  <c r="O38" i="12" s="1"/>
  <c r="L47" i="12"/>
  <c r="N36" i="12"/>
  <c r="N35" i="12"/>
  <c r="N34" i="12"/>
  <c r="N29" i="12"/>
  <c r="N28" i="12"/>
  <c r="L24" i="12"/>
  <c r="M22" i="12"/>
  <c r="M21" i="12"/>
  <c r="M20" i="12"/>
  <c r="M19" i="12"/>
  <c r="N18" i="12"/>
  <c r="L48" i="12"/>
  <c r="K41" i="12"/>
  <c r="O41" i="12" s="1"/>
  <c r="M38" i="12"/>
  <c r="N37" i="12"/>
  <c r="K33" i="12"/>
  <c r="O33" i="12" s="1"/>
  <c r="N31" i="12"/>
  <c r="K27" i="12"/>
  <c r="O27" i="12" s="1"/>
  <c r="M23" i="12"/>
  <c r="L62" i="12"/>
  <c r="L61" i="12"/>
  <c r="N58" i="12"/>
  <c r="K53" i="12"/>
  <c r="O53" i="12" s="1"/>
  <c r="K44" i="12"/>
  <c r="O44" i="12" s="1"/>
  <c r="N39" i="12"/>
  <c r="L31" i="12"/>
  <c r="M30" i="12"/>
  <c r="L55" i="12"/>
  <c r="L39" i="12"/>
  <c r="L57" i="12"/>
  <c r="M47" i="12"/>
  <c r="K25" i="12"/>
  <c r="O25" i="12" s="1"/>
  <c r="L38" i="12"/>
  <c r="M34" i="12"/>
  <c r="L27" i="12"/>
  <c r="M25" i="12"/>
  <c r="L21" i="12"/>
  <c r="N16" i="12"/>
  <c r="L15" i="12"/>
  <c r="L14" i="12"/>
  <c r="M13" i="12"/>
  <c r="N12" i="12"/>
  <c r="N54" i="12"/>
  <c r="N53" i="12"/>
  <c r="N52" i="12"/>
  <c r="L36" i="12"/>
  <c r="L28" i="12"/>
  <c r="L17" i="12"/>
  <c r="K11" i="12"/>
  <c r="K10" i="12"/>
  <c r="L9" i="12"/>
  <c r="M8" i="12"/>
  <c r="N7" i="12"/>
  <c r="M56" i="12"/>
  <c r="M54" i="12"/>
  <c r="M52" i="12"/>
  <c r="L50" i="12"/>
  <c r="N49" i="12"/>
  <c r="N48" i="12"/>
  <c r="N47" i="12"/>
  <c r="K36" i="12"/>
  <c r="O36" i="12" s="1"/>
  <c r="K28" i="12"/>
  <c r="O28" i="12" s="1"/>
  <c r="M18" i="12"/>
  <c r="K17" i="12"/>
  <c r="K9" i="12"/>
  <c r="L8" i="12"/>
  <c r="M7" i="12"/>
  <c r="N6" i="12"/>
  <c r="K56" i="12"/>
  <c r="O56" i="12" s="1"/>
  <c r="L46" i="12"/>
  <c r="M45" i="12"/>
  <c r="M43" i="12"/>
  <c r="M41" i="12"/>
  <c r="M35" i="12"/>
  <c r="N33" i="12"/>
  <c r="M26" i="12"/>
  <c r="N19" i="12"/>
  <c r="K18" i="12"/>
  <c r="N38" i="12"/>
  <c r="M27" i="12"/>
  <c r="N25" i="12"/>
  <c r="N21" i="12"/>
  <c r="K20" i="12"/>
  <c r="M48" i="12"/>
  <c r="N45" i="12"/>
  <c r="M16" i="12"/>
  <c r="N15" i="12"/>
  <c r="N8" i="12"/>
  <c r="M5" i="12"/>
  <c r="N51" i="12"/>
  <c r="N42" i="12"/>
  <c r="N60" i="12"/>
  <c r="N57" i="12"/>
  <c r="N22" i="12"/>
  <c r="N17" i="12"/>
  <c r="K14" i="12"/>
  <c r="N43" i="12"/>
  <c r="L22" i="12"/>
  <c r="L18" i="12"/>
  <c r="M17" i="12"/>
  <c r="N13" i="12"/>
  <c r="L7" i="12"/>
  <c r="L52" i="12"/>
  <c r="L43" i="12"/>
  <c r="N40" i="12"/>
  <c r="L35" i="12"/>
  <c r="N30" i="12"/>
  <c r="L25" i="12"/>
  <c r="N24" i="12"/>
  <c r="K22" i="12"/>
  <c r="O22" i="12" s="1"/>
  <c r="L13" i="12"/>
  <c r="M12" i="12"/>
  <c r="N11" i="12"/>
  <c r="N10" i="12"/>
  <c r="K7" i="12"/>
  <c r="O7" i="12" s="1"/>
  <c r="L33" i="12"/>
  <c r="K32" i="12"/>
  <c r="O32" i="12" s="1"/>
  <c r="K30" i="12"/>
  <c r="O30" i="12" s="1"/>
  <c r="M29" i="12"/>
  <c r="M28" i="12"/>
  <c r="N27" i="12"/>
  <c r="K24" i="12"/>
  <c r="O24" i="12" s="1"/>
  <c r="K19" i="12"/>
  <c r="K12" i="12"/>
  <c r="L11" i="12"/>
  <c r="L10" i="12"/>
  <c r="M6" i="12"/>
  <c r="M4" i="12"/>
  <c r="K47" i="12"/>
  <c r="O47" i="12" s="1"/>
  <c r="N44" i="12"/>
  <c r="M36" i="12"/>
  <c r="M31" i="12"/>
  <c r="N9" i="12"/>
  <c r="L6" i="12"/>
  <c r="L4" i="12"/>
  <c r="K59" i="12"/>
  <c r="O59" i="12" s="1"/>
  <c r="L56" i="12"/>
  <c r="L20" i="12"/>
  <c r="N5" i="12"/>
  <c r="L34" i="12"/>
  <c r="L30" i="12"/>
  <c r="N26" i="12"/>
  <c r="N20" i="12"/>
  <c r="L32" i="12"/>
  <c r="M10" i="12"/>
  <c r="M9" i="12"/>
  <c r="K8" i="12"/>
  <c r="K6" i="12"/>
  <c r="N4" i="12"/>
  <c r="K21" i="12"/>
  <c r="M11" i="12"/>
  <c r="L5" i="12"/>
  <c r="K4" i="12"/>
  <c r="L59" i="12"/>
  <c r="K35" i="12"/>
  <c r="O35" i="12" s="1"/>
  <c r="L16" i="12"/>
  <c r="N14" i="12"/>
  <c r="L12" i="12"/>
  <c r="K5" i="12"/>
  <c r="K50" i="12"/>
  <c r="O50" i="12" s="1"/>
  <c r="K16" i="12"/>
  <c r="M15" i="12"/>
  <c r="M14" i="12"/>
  <c r="K13" i="12"/>
  <c r="M39" i="12"/>
  <c r="M33" i="12"/>
  <c r="K15" i="12"/>
  <c r="M61" i="12"/>
  <c r="L41" i="12"/>
  <c r="N23" i="12"/>
  <c r="M24" i="12"/>
  <c r="L19" i="12"/>
  <c r="E15" i="8"/>
  <c r="G15" i="8"/>
  <c r="H15" i="8" s="1"/>
  <c r="G16" i="8"/>
  <c r="H16" i="8" s="1"/>
  <c r="E16" i="8"/>
  <c r="E30" i="8"/>
  <c r="G30" i="8"/>
  <c r="H30" i="8" s="1"/>
  <c r="C10" i="7"/>
  <c r="C9" i="7"/>
  <c r="G23" i="1" s="1"/>
  <c r="AT9" i="7"/>
  <c r="AU9" i="7" s="1"/>
  <c r="E22" i="8"/>
  <c r="G22" i="8"/>
  <c r="H22" i="8" s="1"/>
  <c r="AP13" i="7" l="1"/>
  <c r="X47" i="1"/>
  <c r="G31" i="8"/>
  <c r="H31" i="8" s="1"/>
  <c r="X55" i="1"/>
  <c r="W12" i="1"/>
  <c r="W28" i="1"/>
  <c r="X14" i="1"/>
  <c r="X12" i="1"/>
  <c r="W32" i="1"/>
  <c r="X44" i="1"/>
  <c r="X9" i="1"/>
  <c r="W35" i="1"/>
  <c r="X53" i="1"/>
  <c r="T8" i="5"/>
  <c r="D164" i="1" s="1"/>
  <c r="X13" i="1"/>
  <c r="X5" i="1"/>
  <c r="X31" i="1"/>
  <c r="X18" i="1"/>
  <c r="X51" i="1"/>
  <c r="W50" i="1"/>
  <c r="X56" i="1"/>
  <c r="W43" i="1"/>
  <c r="W47" i="1"/>
  <c r="X28" i="1"/>
  <c r="X19" i="1"/>
  <c r="AP31" i="7"/>
  <c r="X8" i="1"/>
  <c r="X7" i="1"/>
  <c r="W15" i="1"/>
  <c r="X21" i="1"/>
  <c r="X57" i="1"/>
  <c r="W56" i="1"/>
  <c r="X62" i="1"/>
  <c r="W49" i="1"/>
  <c r="W53" i="1"/>
  <c r="W14" i="1"/>
  <c r="W38" i="1"/>
  <c r="W31" i="1"/>
  <c r="X6" i="1"/>
  <c r="W21" i="1"/>
  <c r="X24" i="1"/>
  <c r="W3" i="1"/>
  <c r="X10" i="1"/>
  <c r="X33" i="1"/>
  <c r="W55" i="1"/>
  <c r="W59" i="1"/>
  <c r="W18" i="1"/>
  <c r="W37" i="1"/>
  <c r="AP26" i="7"/>
  <c r="W51" i="1"/>
  <c r="W22" i="1"/>
  <c r="W24" i="1"/>
  <c r="X27" i="1"/>
  <c r="W23" i="1"/>
  <c r="X17" i="1"/>
  <c r="X11" i="1"/>
  <c r="W61" i="1"/>
  <c r="X22" i="1"/>
  <c r="W27" i="1"/>
  <c r="W19" i="1"/>
  <c r="W16" i="1"/>
  <c r="X15" i="1"/>
  <c r="X50" i="1"/>
  <c r="AQ9" i="7"/>
  <c r="W5" i="1"/>
  <c r="W33" i="1"/>
  <c r="W30" i="1"/>
  <c r="X30" i="1"/>
  <c r="W11" i="1"/>
  <c r="X20" i="1"/>
  <c r="W20" i="1"/>
  <c r="X16" i="1"/>
  <c r="X36" i="1"/>
  <c r="W58" i="1"/>
  <c r="W42" i="1"/>
  <c r="X37" i="1"/>
  <c r="W57" i="1"/>
  <c r="W34" i="1"/>
  <c r="X34" i="1"/>
  <c r="X39" i="1"/>
  <c r="X23" i="1"/>
  <c r="W29" i="1"/>
  <c r="X25" i="1"/>
  <c r="X48" i="1"/>
  <c r="X59" i="1"/>
  <c r="X49" i="1"/>
  <c r="W54" i="1"/>
  <c r="W39" i="1"/>
  <c r="W40" i="1"/>
  <c r="X40" i="1"/>
  <c r="X3" i="1"/>
  <c r="X26" i="1"/>
  <c r="W44" i="1"/>
  <c r="X42" i="1"/>
  <c r="T7" i="5"/>
  <c r="D163" i="1" s="1"/>
  <c r="W45" i="1"/>
  <c r="X61" i="1"/>
  <c r="W36" i="1"/>
  <c r="W46" i="1"/>
  <c r="X46" i="1"/>
  <c r="W10" i="1"/>
  <c r="X29" i="1"/>
  <c r="W62" i="1"/>
  <c r="X54" i="1"/>
  <c r="X35" i="1"/>
  <c r="W41" i="1"/>
  <c r="W25" i="1"/>
  <c r="W6" i="1"/>
  <c r="X43" i="1"/>
  <c r="W52" i="1"/>
  <c r="X52" i="1"/>
  <c r="W17" i="1"/>
  <c r="X32" i="1"/>
  <c r="W9" i="1"/>
  <c r="X60" i="1"/>
  <c r="X41" i="1"/>
  <c r="X45" i="1"/>
  <c r="BD30" i="12"/>
  <c r="W48" i="1"/>
  <c r="W7" i="1"/>
  <c r="W60" i="1"/>
  <c r="W13" i="1"/>
  <c r="X58" i="1"/>
  <c r="W26" i="1"/>
  <c r="X38" i="1"/>
  <c r="W8" i="1"/>
  <c r="AP30" i="7"/>
  <c r="AP20" i="7"/>
  <c r="AP18" i="7"/>
  <c r="AP23" i="7"/>
  <c r="T6" i="5"/>
  <c r="D162" i="1" s="1"/>
  <c r="AP19" i="7"/>
  <c r="AQ19" i="7" s="1"/>
  <c r="BD11" i="12"/>
  <c r="BD16" i="12"/>
  <c r="AP22" i="7"/>
  <c r="AP16" i="7"/>
  <c r="AP24" i="7"/>
  <c r="AP36" i="7"/>
  <c r="O10" i="12"/>
  <c r="AP17" i="7"/>
  <c r="BD25" i="12"/>
  <c r="O16" i="12"/>
  <c r="T7" i="4"/>
  <c r="C163" i="1" s="1"/>
  <c r="C58" i="7"/>
  <c r="AR12" i="7"/>
  <c r="BD18" i="12"/>
  <c r="BD5" i="12"/>
  <c r="BD26" i="12"/>
  <c r="BD10" i="12"/>
  <c r="BD22" i="12"/>
  <c r="BD14" i="12"/>
  <c r="BD15" i="12"/>
  <c r="BD24" i="12"/>
  <c r="AR10" i="7"/>
  <c r="C56" i="7"/>
  <c r="C55" i="7"/>
  <c r="C59" i="7" s="1"/>
  <c r="T6" i="4"/>
  <c r="C162" i="1" s="1"/>
  <c r="O9" i="12"/>
  <c r="O6" i="12"/>
  <c r="O12" i="12"/>
  <c r="AQ11" i="7"/>
  <c r="C57" i="7"/>
  <c r="O13" i="12"/>
  <c r="BD23" i="12"/>
  <c r="BD4" i="12"/>
  <c r="AX11" i="12"/>
  <c r="AW11" i="12"/>
  <c r="BD31" i="12"/>
  <c r="BD19" i="12"/>
  <c r="AY28" i="12"/>
  <c r="AX33" i="12"/>
  <c r="AW33" i="12"/>
  <c r="AW54" i="12"/>
  <c r="AX54" i="12"/>
  <c r="AR15" i="7"/>
  <c r="AQ16" i="7"/>
  <c r="AY22" i="12"/>
  <c r="AX12" i="12"/>
  <c r="AW12" i="12"/>
  <c r="AY20" i="12"/>
  <c r="AY30" i="12"/>
  <c r="AX17" i="12"/>
  <c r="AW17" i="12"/>
  <c r="AW51" i="12"/>
  <c r="AX51" i="12"/>
  <c r="Q38" i="12"/>
  <c r="Q28" i="12"/>
  <c r="Q8" i="12"/>
  <c r="Q7" i="12"/>
  <c r="Q6" i="12"/>
  <c r="Q15" i="12"/>
  <c r="Q13" i="12"/>
  <c r="Q37" i="12"/>
  <c r="Q29" i="12"/>
  <c r="Q17" i="12"/>
  <c r="Q3" i="12"/>
  <c r="Q45" i="12"/>
  <c r="Q43" i="12"/>
  <c r="Q50" i="12"/>
  <c r="Q12" i="12"/>
  <c r="Q18" i="12"/>
  <c r="Q48" i="12"/>
  <c r="Q21" i="12"/>
  <c r="Q14" i="12"/>
  <c r="Q16" i="12"/>
  <c r="Q30" i="12"/>
  <c r="Q10" i="12"/>
  <c r="Q9" i="12"/>
  <c r="Q57" i="12"/>
  <c r="Q40" i="12"/>
  <c r="Q5" i="12"/>
  <c r="Q33" i="12"/>
  <c r="Q39" i="12"/>
  <c r="Q53" i="12"/>
  <c r="Q44" i="12"/>
  <c r="Q49" i="12"/>
  <c r="Q32" i="12"/>
  <c r="Q52" i="12"/>
  <c r="Q56" i="12"/>
  <c r="Q55" i="12"/>
  <c r="Q26" i="12"/>
  <c r="Q58" i="12"/>
  <c r="Q19" i="12"/>
  <c r="Q36" i="12"/>
  <c r="Q35" i="12"/>
  <c r="Q51" i="12"/>
  <c r="Q41" i="12"/>
  <c r="Q47" i="12"/>
  <c r="Q60" i="12"/>
  <c r="Q27" i="12"/>
  <c r="Q62" i="12"/>
  <c r="Q23" i="12"/>
  <c r="Q59" i="12"/>
  <c r="Q25" i="12"/>
  <c r="Q4" i="12"/>
  <c r="Q24" i="12"/>
  <c r="Q46" i="12"/>
  <c r="Q42" i="12"/>
  <c r="Q31" i="12"/>
  <c r="Q11" i="12"/>
  <c r="Q34" i="12"/>
  <c r="Q20" i="12"/>
  <c r="Q54" i="12"/>
  <c r="Q22" i="12"/>
  <c r="Q61" i="12"/>
  <c r="O21" i="12"/>
  <c r="O18" i="12"/>
  <c r="BD17" i="12"/>
  <c r="AW15" i="12"/>
  <c r="AX15" i="12"/>
  <c r="AW40" i="12"/>
  <c r="AX40" i="12"/>
  <c r="AX21" i="12"/>
  <c r="AW21" i="12"/>
  <c r="AX53" i="12"/>
  <c r="AW53" i="12"/>
  <c r="AY23" i="12"/>
  <c r="AX57" i="12"/>
  <c r="AW57" i="12"/>
  <c r="AX62" i="12"/>
  <c r="AW62" i="12"/>
  <c r="AR13" i="7"/>
  <c r="AQ14" i="7"/>
  <c r="AW46" i="12"/>
  <c r="AX46" i="12"/>
  <c r="AX25" i="12"/>
  <c r="AW25" i="12"/>
  <c r="AW8" i="12"/>
  <c r="AX8" i="12"/>
  <c r="AY16" i="12"/>
  <c r="AW9" i="12"/>
  <c r="AX9" i="12"/>
  <c r="AY29" i="12"/>
  <c r="AY7" i="12"/>
  <c r="AX39" i="12"/>
  <c r="AW39" i="12"/>
  <c r="AX43" i="12"/>
  <c r="AW43" i="12"/>
  <c r="AX36" i="12"/>
  <c r="AW36" i="12"/>
  <c r="AQ15" i="7"/>
  <c r="AX41" i="12"/>
  <c r="AW41" i="12"/>
  <c r="O17" i="12"/>
  <c r="AW18" i="12"/>
  <c r="AX18" i="12"/>
  <c r="O19" i="12"/>
  <c r="BD20" i="12"/>
  <c r="AY24" i="12"/>
  <c r="AX34" i="12"/>
  <c r="AW34" i="12"/>
  <c r="AR17" i="7"/>
  <c r="AY27" i="12"/>
  <c r="AX19" i="12"/>
  <c r="AW19" i="12"/>
  <c r="BD29" i="12"/>
  <c r="AW32" i="12"/>
  <c r="AX32" i="12"/>
  <c r="AW4" i="12"/>
  <c r="AX4" i="12"/>
  <c r="AX38" i="12"/>
  <c r="AW38" i="12"/>
  <c r="AW61" i="12"/>
  <c r="AX61" i="12"/>
  <c r="BD21" i="12"/>
  <c r="BD7" i="12"/>
  <c r="AX35" i="12"/>
  <c r="AW35" i="12"/>
  <c r="AX45" i="12"/>
  <c r="AW45" i="12"/>
  <c r="AW60" i="12"/>
  <c r="AX60" i="12"/>
  <c r="AR11" i="7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X31" i="12"/>
  <c r="AW31" i="12"/>
  <c r="AW6" i="12"/>
  <c r="AX6" i="12"/>
  <c r="AX48" i="12"/>
  <c r="AW48" i="12"/>
  <c r="AX13" i="12"/>
  <c r="AW13" i="12"/>
  <c r="BD6" i="12"/>
  <c r="AX59" i="12"/>
  <c r="AW59" i="12"/>
  <c r="AX52" i="12"/>
  <c r="AW52" i="12"/>
  <c r="AR14" i="7"/>
  <c r="AX14" i="12"/>
  <c r="AW14" i="12"/>
  <c r="AW26" i="12"/>
  <c r="AX26" i="12"/>
  <c r="O8" i="12"/>
  <c r="O53" i="2"/>
  <c r="O51" i="2"/>
  <c r="O49" i="2"/>
  <c r="O47" i="2"/>
  <c r="O45" i="2"/>
  <c r="O43" i="2"/>
  <c r="O41" i="2"/>
  <c r="O39" i="2"/>
  <c r="O37" i="2"/>
  <c r="O35" i="2"/>
  <c r="O33" i="2"/>
  <c r="O31" i="2"/>
  <c r="O29" i="2"/>
  <c r="O27" i="2"/>
  <c r="O25" i="2"/>
  <c r="O23" i="2"/>
  <c r="O21" i="2"/>
  <c r="O54" i="2"/>
  <c r="N52" i="2"/>
  <c r="M50" i="2"/>
  <c r="R47" i="2"/>
  <c r="P43" i="2"/>
  <c r="Q43" i="2" s="1"/>
  <c r="N41" i="2"/>
  <c r="M39" i="2"/>
  <c r="R36" i="2"/>
  <c r="P32" i="2"/>
  <c r="Q32" i="2" s="1"/>
  <c r="O30" i="2"/>
  <c r="N28" i="2"/>
  <c r="M26" i="2"/>
  <c r="R23" i="2"/>
  <c r="P19" i="2"/>
  <c r="Q19" i="2" s="1"/>
  <c r="O19" i="2"/>
  <c r="P7" i="2"/>
  <c r="Q7" i="2" s="1"/>
  <c r="N54" i="2"/>
  <c r="M52" i="2"/>
  <c r="R49" i="2"/>
  <c r="P45" i="2"/>
  <c r="Q45" i="2" s="1"/>
  <c r="N43" i="2"/>
  <c r="M41" i="2"/>
  <c r="R38" i="2"/>
  <c r="P34" i="2"/>
  <c r="Q34" i="2" s="1"/>
  <c r="O32" i="2"/>
  <c r="N30" i="2"/>
  <c r="M28" i="2"/>
  <c r="R25" i="2"/>
  <c r="P21" i="2"/>
  <c r="Q21" i="2" s="1"/>
  <c r="P17" i="2"/>
  <c r="Q17" i="2" s="1"/>
  <c r="P15" i="2"/>
  <c r="Q15" i="2" s="1"/>
  <c r="P13" i="2"/>
  <c r="Q13" i="2" s="1"/>
  <c r="P11" i="2"/>
  <c r="Q11" i="2" s="1"/>
  <c r="P9" i="2"/>
  <c r="Q9" i="2" s="1"/>
  <c r="P5" i="2"/>
  <c r="Q5" i="2" s="1"/>
  <c r="M54" i="2"/>
  <c r="R51" i="2"/>
  <c r="P47" i="2"/>
  <c r="Q47" i="2" s="1"/>
  <c r="N45" i="2"/>
  <c r="M43" i="2"/>
  <c r="R40" i="2"/>
  <c r="P36" i="2"/>
  <c r="Q36" i="2" s="1"/>
  <c r="O34" i="2"/>
  <c r="N32" i="2"/>
  <c r="M30" i="2"/>
  <c r="R27" i="2"/>
  <c r="P23" i="2"/>
  <c r="Q23" i="2" s="1"/>
  <c r="N21" i="2"/>
  <c r="N19" i="2"/>
  <c r="O17" i="2"/>
  <c r="O15" i="2"/>
  <c r="O13" i="2"/>
  <c r="O11" i="2"/>
  <c r="O9" i="2"/>
  <c r="O7" i="2"/>
  <c r="O5" i="2"/>
  <c r="R53" i="2"/>
  <c r="P49" i="2"/>
  <c r="Q49" i="2" s="1"/>
  <c r="N47" i="2"/>
  <c r="M45" i="2"/>
  <c r="R42" i="2"/>
  <c r="P38" i="2"/>
  <c r="Q38" i="2" s="1"/>
  <c r="O36" i="2"/>
  <c r="N34" i="2"/>
  <c r="M32" i="2"/>
  <c r="R29" i="2"/>
  <c r="P25" i="2"/>
  <c r="Q25" i="2" s="1"/>
  <c r="N23" i="2"/>
  <c r="M21" i="2"/>
  <c r="M19" i="2"/>
  <c r="N17" i="2"/>
  <c r="N15" i="2"/>
  <c r="N13" i="2"/>
  <c r="N11" i="2"/>
  <c r="N9" i="2"/>
  <c r="N7" i="2"/>
  <c r="N5" i="2"/>
  <c r="P51" i="2"/>
  <c r="Q51" i="2" s="1"/>
  <c r="N49" i="2"/>
  <c r="M47" i="2"/>
  <c r="R44" i="2"/>
  <c r="P40" i="2"/>
  <c r="Q40" i="2" s="1"/>
  <c r="O38" i="2"/>
  <c r="N36" i="2"/>
  <c r="M34" i="2"/>
  <c r="R31" i="2"/>
  <c r="P27" i="2"/>
  <c r="Q27" i="2" s="1"/>
  <c r="N25" i="2"/>
  <c r="M23" i="2"/>
  <c r="R20" i="2"/>
  <c r="R18" i="2"/>
  <c r="M17" i="2"/>
  <c r="M15" i="2"/>
  <c r="M13" i="2"/>
  <c r="M11" i="2"/>
  <c r="M9" i="2"/>
  <c r="M7" i="2"/>
  <c r="M5" i="2"/>
  <c r="N53" i="2"/>
  <c r="M51" i="2"/>
  <c r="R48" i="2"/>
  <c r="P44" i="2"/>
  <c r="Q44" i="2" s="1"/>
  <c r="O42" i="2"/>
  <c r="N40" i="2"/>
  <c r="M38" i="2"/>
  <c r="R35" i="2"/>
  <c r="P31" i="2"/>
  <c r="Q31" i="2" s="1"/>
  <c r="N29" i="2"/>
  <c r="M27" i="2"/>
  <c r="R24" i="2"/>
  <c r="P20" i="2"/>
  <c r="Q20" i="2" s="1"/>
  <c r="P18" i="2"/>
  <c r="Q18" i="2" s="1"/>
  <c r="M53" i="2"/>
  <c r="R50" i="2"/>
  <c r="P46" i="2"/>
  <c r="Q46" i="2" s="1"/>
  <c r="O44" i="2"/>
  <c r="N42" i="2"/>
  <c r="M40" i="2"/>
  <c r="R37" i="2"/>
  <c r="P33" i="2"/>
  <c r="Q33" i="2" s="1"/>
  <c r="N31" i="2"/>
  <c r="M29" i="2"/>
  <c r="R26" i="2"/>
  <c r="P22" i="2"/>
  <c r="Q22" i="2" s="1"/>
  <c r="O20" i="2"/>
  <c r="O18" i="2"/>
  <c r="P16" i="2"/>
  <c r="Q16" i="2" s="1"/>
  <c r="P14" i="2"/>
  <c r="Q14" i="2" s="1"/>
  <c r="P12" i="2"/>
  <c r="Q12" i="2" s="1"/>
  <c r="P10" i="2"/>
  <c r="Q10" i="2" s="1"/>
  <c r="P8" i="2"/>
  <c r="Q8" i="2" s="1"/>
  <c r="P6" i="2"/>
  <c r="Q6" i="2" s="1"/>
  <c r="R52" i="2"/>
  <c r="P48" i="2"/>
  <c r="Q48" i="2" s="1"/>
  <c r="O46" i="2"/>
  <c r="N44" i="2"/>
  <c r="M42" i="2"/>
  <c r="R39" i="2"/>
  <c r="P35" i="2"/>
  <c r="Q35" i="2" s="1"/>
  <c r="N33" i="2"/>
  <c r="M31" i="2"/>
  <c r="R28" i="2"/>
  <c r="P24" i="2"/>
  <c r="Q24" i="2" s="1"/>
  <c r="O22" i="2"/>
  <c r="N20" i="2"/>
  <c r="N18" i="2"/>
  <c r="O16" i="2"/>
  <c r="O14" i="2"/>
  <c r="O12" i="2"/>
  <c r="O10" i="2"/>
  <c r="O8" i="2"/>
  <c r="O6" i="2"/>
  <c r="P52" i="2"/>
  <c r="Q52" i="2" s="1"/>
  <c r="O50" i="2"/>
  <c r="N48" i="2"/>
  <c r="M46" i="2"/>
  <c r="R43" i="2"/>
  <c r="P39" i="2"/>
  <c r="Q39" i="2" s="1"/>
  <c r="N37" i="2"/>
  <c r="M35" i="2"/>
  <c r="R32" i="2"/>
  <c r="P28" i="2"/>
  <c r="Q28" i="2" s="1"/>
  <c r="O26" i="2"/>
  <c r="N24" i="2"/>
  <c r="M22" i="2"/>
  <c r="R19" i="2"/>
  <c r="M16" i="2"/>
  <c r="M14" i="2"/>
  <c r="M12" i="2"/>
  <c r="M10" i="2"/>
  <c r="M8" i="2"/>
  <c r="M6" i="2"/>
  <c r="M49" i="2"/>
  <c r="O40" i="2"/>
  <c r="R22" i="2"/>
  <c r="R14" i="2"/>
  <c r="R6" i="2"/>
  <c r="O48" i="2"/>
  <c r="R30" i="2"/>
  <c r="N22" i="2"/>
  <c r="N14" i="2"/>
  <c r="N6" i="2"/>
  <c r="P29" i="2"/>
  <c r="Q29" i="2" s="1"/>
  <c r="R10" i="2"/>
  <c r="N50" i="2"/>
  <c r="M48" i="2"/>
  <c r="N39" i="2"/>
  <c r="P30" i="2"/>
  <c r="Q30" i="2" s="1"/>
  <c r="R21" i="2"/>
  <c r="R13" i="2"/>
  <c r="R5" i="2"/>
  <c r="N38" i="2"/>
  <c r="R12" i="2"/>
  <c r="R46" i="2"/>
  <c r="R7" i="2"/>
  <c r="R54" i="2"/>
  <c r="N46" i="2"/>
  <c r="P37" i="2"/>
  <c r="Q37" i="2" s="1"/>
  <c r="M20" i="2"/>
  <c r="N12" i="2"/>
  <c r="R15" i="2"/>
  <c r="P54" i="2"/>
  <c r="Q54" i="2" s="1"/>
  <c r="R45" i="2"/>
  <c r="M37" i="2"/>
  <c r="O28" i="2"/>
  <c r="R11" i="2"/>
  <c r="P53" i="2"/>
  <c r="Q53" i="2" s="1"/>
  <c r="M36" i="2"/>
  <c r="N27" i="2"/>
  <c r="M24" i="2"/>
  <c r="M44" i="2"/>
  <c r="N35" i="2"/>
  <c r="P26" i="2"/>
  <c r="Q26" i="2" s="1"/>
  <c r="M18" i="2"/>
  <c r="N10" i="2"/>
  <c r="O24" i="2"/>
  <c r="O52" i="2"/>
  <c r="R34" i="2"/>
  <c r="N26" i="2"/>
  <c r="R17" i="2"/>
  <c r="R9" i="2"/>
  <c r="P50" i="2"/>
  <c r="Q50" i="2" s="1"/>
  <c r="M33" i="2"/>
  <c r="N16" i="2"/>
  <c r="P41" i="2"/>
  <c r="Q41" i="2" s="1"/>
  <c r="N51" i="2"/>
  <c r="P42" i="2"/>
  <c r="Q42" i="2" s="1"/>
  <c r="R33" i="2"/>
  <c r="M25" i="2"/>
  <c r="R16" i="2"/>
  <c r="R8" i="2"/>
  <c r="R41" i="2"/>
  <c r="N8" i="2"/>
  <c r="AO56" i="12"/>
  <c r="AO46" i="12"/>
  <c r="BG19" i="12"/>
  <c r="BF13" i="12"/>
  <c r="BI13" i="12" s="1"/>
  <c r="BH9" i="12"/>
  <c r="BF5" i="12"/>
  <c r="BI5" i="12" s="1"/>
  <c r="BF7" i="12"/>
  <c r="BI7" i="12" s="1"/>
  <c r="BH18" i="12"/>
  <c r="AO49" i="12"/>
  <c r="BG8" i="12"/>
  <c r="AO29" i="12"/>
  <c r="AO19" i="12"/>
  <c r="AO50" i="12"/>
  <c r="AO41" i="12"/>
  <c r="BH4" i="12"/>
  <c r="BH12" i="12"/>
  <c r="AO38" i="12"/>
  <c r="BG12" i="12"/>
  <c r="BG16" i="12"/>
  <c r="AO59" i="12"/>
  <c r="AO45" i="12"/>
  <c r="BH16" i="12"/>
  <c r="BH3" i="12"/>
  <c r="AO48" i="12"/>
  <c r="AO22" i="12"/>
  <c r="AO8" i="12"/>
  <c r="AO24" i="12"/>
  <c r="BG6" i="12"/>
  <c r="AO23" i="12"/>
  <c r="AO36" i="12"/>
  <c r="AO53" i="12"/>
  <c r="BG11" i="12"/>
  <c r="BG13" i="12"/>
  <c r="BF3" i="12"/>
  <c r="BI3" i="12" s="1"/>
  <c r="BF14" i="12"/>
  <c r="BI14" i="12" s="1"/>
  <c r="AO47" i="12"/>
  <c r="AO13" i="12"/>
  <c r="BF11" i="12"/>
  <c r="BI11" i="12" s="1"/>
  <c r="BF18" i="12"/>
  <c r="BI18" i="12" s="1"/>
  <c r="BF10" i="12"/>
  <c r="BI10" i="12" s="1"/>
  <c r="BH17" i="12"/>
  <c r="AO20" i="12"/>
  <c r="AO4" i="12"/>
  <c r="BG14" i="12"/>
  <c r="BG3" i="12"/>
  <c r="BH13" i="12"/>
  <c r="AO15" i="12"/>
  <c r="BG21" i="12"/>
  <c r="AO55" i="12"/>
  <c r="AO14" i="12"/>
  <c r="AO44" i="12"/>
  <c r="AO32" i="12"/>
  <c r="AO7" i="12"/>
  <c r="AO10" i="12"/>
  <c r="AO6" i="12"/>
  <c r="BH7" i="12"/>
  <c r="AO25" i="12"/>
  <c r="BH10" i="12"/>
  <c r="BF21" i="12"/>
  <c r="BI21" i="12" s="1"/>
  <c r="AO54" i="12"/>
  <c r="BF6" i="12"/>
  <c r="BI6" i="12" s="1"/>
  <c r="AO62" i="12"/>
  <c r="AO17" i="12"/>
  <c r="AO31" i="12"/>
  <c r="BF22" i="12"/>
  <c r="BI22" i="12" s="1"/>
  <c r="BF4" i="12"/>
  <c r="BI4" i="12" s="1"/>
  <c r="BH11" i="12"/>
  <c r="AO16" i="12"/>
  <c r="BG9" i="12"/>
  <c r="AO51" i="12"/>
  <c r="BG20" i="12"/>
  <c r="BF16" i="12"/>
  <c r="BI16" i="12" s="1"/>
  <c r="AO57" i="12"/>
  <c r="BF12" i="12"/>
  <c r="BI12" i="12" s="1"/>
  <c r="BF15" i="12"/>
  <c r="BI15" i="12" s="1"/>
  <c r="BF8" i="12"/>
  <c r="BI8" i="12" s="1"/>
  <c r="AO3" i="12"/>
  <c r="AO11" i="12"/>
  <c r="BF17" i="12"/>
  <c r="BI17" i="12" s="1"/>
  <c r="AO60" i="12"/>
  <c r="AO58" i="12"/>
  <c r="BF9" i="12"/>
  <c r="BI9" i="12" s="1"/>
  <c r="BH5" i="12"/>
  <c r="BG22" i="12"/>
  <c r="AO9" i="12"/>
  <c r="BH19" i="12"/>
  <c r="AO5" i="12"/>
  <c r="AO37" i="12"/>
  <c r="BF20" i="12"/>
  <c r="BI20" i="12" s="1"/>
  <c r="BG7" i="12"/>
  <c r="AO40" i="12"/>
  <c r="BH15" i="12"/>
  <c r="BF19" i="12"/>
  <c r="BI19" i="12" s="1"/>
  <c r="BG5" i="12"/>
  <c r="AO28" i="12"/>
  <c r="AO42" i="12"/>
  <c r="AO35" i="12"/>
  <c r="AO26" i="12"/>
  <c r="BG15" i="12"/>
  <c r="AO39" i="12"/>
  <c r="AO18" i="12"/>
  <c r="BG4" i="12"/>
  <c r="AO33" i="12"/>
  <c r="BH6" i="12"/>
  <c r="AO52" i="12"/>
  <c r="BG18" i="12"/>
  <c r="BH21" i="12"/>
  <c r="AO61" i="12"/>
  <c r="AO12" i="12"/>
  <c r="BH14" i="12"/>
  <c r="BG17" i="12"/>
  <c r="BH20" i="12"/>
  <c r="AO30" i="12"/>
  <c r="BH22" i="12"/>
  <c r="AO34" i="12"/>
  <c r="BH8" i="12"/>
  <c r="AO43" i="12"/>
  <c r="AO21" i="12"/>
  <c r="AO27" i="12"/>
  <c r="BG10" i="12"/>
  <c r="O11" i="12"/>
  <c r="O14" i="12"/>
  <c r="O20" i="12"/>
  <c r="BD8" i="12"/>
  <c r="AX50" i="12"/>
  <c r="AW50" i="12"/>
  <c r="AW56" i="12"/>
  <c r="AX56" i="12"/>
  <c r="AW55" i="12"/>
  <c r="AX55" i="12"/>
  <c r="AX42" i="12"/>
  <c r="AW42" i="12"/>
  <c r="AQ10" i="7"/>
  <c r="O5" i="12"/>
  <c r="AW37" i="12"/>
  <c r="AX37" i="12"/>
  <c r="O4" i="12"/>
  <c r="BD9" i="12"/>
  <c r="AW5" i="12"/>
  <c r="AX5" i="12"/>
  <c r="AX10" i="12"/>
  <c r="AW10" i="12"/>
  <c r="AW58" i="12"/>
  <c r="AX58" i="12"/>
  <c r="BD12" i="12"/>
  <c r="AX44" i="12"/>
  <c r="AW44" i="12"/>
  <c r="AQ12" i="7"/>
  <c r="AQ13" i="7"/>
  <c r="AQ18" i="7" l="1"/>
  <c r="AR32" i="7"/>
  <c r="AQ37" i="7"/>
  <c r="AQ21" i="7"/>
  <c r="AR23" i="7"/>
  <c r="AR20" i="7"/>
  <c r="AQ23" i="7"/>
  <c r="AR19" i="7"/>
  <c r="AQ36" i="7"/>
  <c r="AR21" i="7"/>
  <c r="AR42" i="7"/>
  <c r="AQ49" i="7"/>
  <c r="AQ59" i="7"/>
  <c r="AR49" i="7"/>
  <c r="AQ60" i="7"/>
  <c r="AR57" i="7"/>
  <c r="AR40" i="7"/>
  <c r="AQ46" i="7"/>
  <c r="AR38" i="7"/>
  <c r="AQ45" i="7"/>
  <c r="AR43" i="7"/>
  <c r="AR61" i="7"/>
  <c r="AR52" i="7"/>
  <c r="AQ50" i="7"/>
  <c r="AR54" i="7"/>
  <c r="AR41" i="7"/>
  <c r="AR53" i="7"/>
  <c r="AQ48" i="7"/>
  <c r="AR60" i="7"/>
  <c r="AQ29" i="7"/>
  <c r="AR45" i="7"/>
  <c r="AR63" i="7"/>
  <c r="AR24" i="7"/>
  <c r="AQ44" i="7"/>
  <c r="AR65" i="7"/>
  <c r="AQ40" i="7"/>
  <c r="AR67" i="7"/>
  <c r="AR55" i="7"/>
  <c r="AQ57" i="7"/>
  <c r="AQ67" i="7"/>
  <c r="AR58" i="7"/>
  <c r="AR27" i="7"/>
  <c r="AR33" i="7"/>
  <c r="AR28" i="7"/>
  <c r="AQ32" i="7"/>
  <c r="AQ41" i="7"/>
  <c r="AR62" i="7"/>
  <c r="AR34" i="7"/>
  <c r="AQ31" i="7"/>
  <c r="AR30" i="7"/>
  <c r="AQ34" i="7"/>
  <c r="AR26" i="7"/>
  <c r="AQ58" i="7"/>
  <c r="AQ47" i="7"/>
  <c r="AR51" i="7"/>
  <c r="AQ61" i="7"/>
  <c r="AQ26" i="7"/>
  <c r="AQ17" i="7"/>
  <c r="AQ63" i="7"/>
  <c r="AR56" i="7"/>
  <c r="AQ43" i="7"/>
  <c r="AR46" i="7"/>
  <c r="AQ35" i="7"/>
  <c r="AR31" i="7"/>
  <c r="AQ66" i="7"/>
  <c r="AR29" i="7"/>
  <c r="AR35" i="7"/>
  <c r="AQ55" i="7"/>
  <c r="AR22" i="7"/>
  <c r="AQ24" i="7"/>
  <c r="AQ65" i="7"/>
  <c r="AR18" i="7"/>
  <c r="AQ56" i="7"/>
  <c r="AQ53" i="7"/>
  <c r="AQ22" i="7"/>
  <c r="AR37" i="7"/>
  <c r="AQ33" i="7"/>
  <c r="AR25" i="7"/>
  <c r="AR47" i="7"/>
  <c r="AQ52" i="7"/>
  <c r="AQ42" i="7"/>
  <c r="AR39" i="7"/>
  <c r="AR64" i="7"/>
  <c r="AQ39" i="7"/>
  <c r="AQ62" i="7"/>
  <c r="AQ64" i="7"/>
  <c r="AR59" i="7"/>
  <c r="AQ27" i="7"/>
  <c r="AQ51" i="7"/>
  <c r="AR48" i="7"/>
  <c r="AR44" i="7"/>
  <c r="AQ25" i="7"/>
  <c r="AQ54" i="7"/>
  <c r="AQ28" i="7"/>
  <c r="AQ20" i="7"/>
  <c r="AR36" i="7"/>
  <c r="AQ30" i="7"/>
  <c r="AR66" i="7"/>
  <c r="AQ38" i="7"/>
  <c r="AR50" i="7"/>
  <c r="AR16" i="7"/>
  <c r="AU46" i="12"/>
  <c r="AQ46" i="12"/>
  <c r="AR46" i="12"/>
  <c r="AP46" i="12"/>
  <c r="AV46" i="12" s="1"/>
  <c r="AT46" i="12"/>
  <c r="AS46" i="12"/>
  <c r="AS28" i="12"/>
  <c r="AQ28" i="12"/>
  <c r="AT28" i="12"/>
  <c r="AU28" i="12"/>
  <c r="AR28" i="12"/>
  <c r="AP28" i="12"/>
  <c r="AV2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AQ20" i="12"/>
  <c r="AR20" i="12"/>
  <c r="AT20" i="12"/>
  <c r="AP20" i="12"/>
  <c r="AV20" i="12" s="1"/>
  <c r="AU20" i="12"/>
  <c r="AR36" i="12"/>
  <c r="AT36" i="12"/>
  <c r="AQ36" i="12"/>
  <c r="AS36" i="12"/>
  <c r="AP36" i="12"/>
  <c r="AV36" i="12" s="1"/>
  <c r="AU36" i="12"/>
  <c r="T31" i="12"/>
  <c r="S31" i="12"/>
  <c r="R31" i="12"/>
  <c r="U31" i="12" s="1"/>
  <c r="T41" i="12"/>
  <c r="S41" i="12"/>
  <c r="R41" i="12"/>
  <c r="U41" i="12" s="1"/>
  <c r="T44" i="12"/>
  <c r="S44" i="12"/>
  <c r="R44" i="12"/>
  <c r="U44" i="12" s="1"/>
  <c r="S21" i="12"/>
  <c r="R21" i="12"/>
  <c r="U21" i="12" s="1"/>
  <c r="T21" i="12"/>
  <c r="R15" i="12"/>
  <c r="U15" i="12" s="1"/>
  <c r="S15" i="12"/>
  <c r="T15" i="12"/>
  <c r="AX28" i="12"/>
  <c r="AW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U32" i="12"/>
  <c r="AT32" i="12"/>
  <c r="AP32" i="12"/>
  <c r="AV32" i="12" s="1"/>
  <c r="AQ32" i="12"/>
  <c r="AR32" i="12"/>
  <c r="AS32" i="12"/>
  <c r="S46" i="12"/>
  <c r="T46" i="12"/>
  <c r="R46" i="12"/>
  <c r="U46" i="12" s="1"/>
  <c r="T35" i="12"/>
  <c r="R35" i="12"/>
  <c r="U35" i="12" s="1"/>
  <c r="S35" i="12"/>
  <c r="T39" i="12"/>
  <c r="S39" i="12"/>
  <c r="R39" i="12"/>
  <c r="U39" i="12" s="1"/>
  <c r="T18" i="12"/>
  <c r="S18" i="12"/>
  <c r="R18" i="12"/>
  <c r="U18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5" i="12"/>
  <c r="AT5" i="12"/>
  <c r="AS5" i="12"/>
  <c r="AQ5" i="12"/>
  <c r="AP5" i="12"/>
  <c r="AV5" i="12" s="1"/>
  <c r="AR5" i="12"/>
  <c r="AU17" i="12"/>
  <c r="AT17" i="12"/>
  <c r="AS17" i="12"/>
  <c r="AQ17" i="12"/>
  <c r="AP17" i="12"/>
  <c r="AV17" i="12" s="1"/>
  <c r="AR17" i="12"/>
  <c r="AU44" i="12"/>
  <c r="AP44" i="12"/>
  <c r="AV44" i="12" s="1"/>
  <c r="AS44" i="12"/>
  <c r="AQ44" i="12"/>
  <c r="AT44" i="12"/>
  <c r="AR44" i="12"/>
  <c r="AU24" i="12"/>
  <c r="AQ24" i="12"/>
  <c r="AS24" i="12"/>
  <c r="AR24" i="12"/>
  <c r="AP24" i="12"/>
  <c r="AV24" i="12" s="1"/>
  <c r="AT24" i="12"/>
  <c r="AW23" i="12"/>
  <c r="AX23" i="12"/>
  <c r="T24" i="12"/>
  <c r="R24" i="12"/>
  <c r="U24" i="12" s="1"/>
  <c r="S24" i="12"/>
  <c r="T36" i="12"/>
  <c r="R36" i="12"/>
  <c r="U36" i="12" s="1"/>
  <c r="S36" i="12"/>
  <c r="T33" i="12"/>
  <c r="R33" i="12"/>
  <c r="U33" i="12" s="1"/>
  <c r="S33" i="12"/>
  <c r="T12" i="12"/>
  <c r="S12" i="12"/>
  <c r="R12" i="12"/>
  <c r="U12" i="12" s="1"/>
  <c r="R8" i="12"/>
  <c r="U8" i="12" s="1"/>
  <c r="T8" i="12"/>
  <c r="S8" i="12"/>
  <c r="AW27" i="12"/>
  <c r="AX27" i="12"/>
  <c r="AX24" i="12"/>
  <c r="AW24" i="12"/>
  <c r="R4" i="12"/>
  <c r="U4" i="12" s="1"/>
  <c r="S4" i="12"/>
  <c r="T4" i="12"/>
  <c r="R19" i="12"/>
  <c r="U19" i="12" s="1"/>
  <c r="T19" i="12"/>
  <c r="S19" i="12"/>
  <c r="T5" i="12"/>
  <c r="S5" i="12"/>
  <c r="R5" i="12"/>
  <c r="U5" i="12" s="1"/>
  <c r="T50" i="12"/>
  <c r="S50" i="12"/>
  <c r="R50" i="12"/>
  <c r="U50" i="12" s="1"/>
  <c r="T28" i="12"/>
  <c r="S28" i="12"/>
  <c r="R28" i="12"/>
  <c r="U28" i="12" s="1"/>
  <c r="T51" i="12"/>
  <c r="R51" i="12"/>
  <c r="U51" i="12" s="1"/>
  <c r="S51" i="12"/>
  <c r="AU62" i="12"/>
  <c r="AS62" i="12"/>
  <c r="AQ62" i="12"/>
  <c r="AP62" i="12"/>
  <c r="AV62" i="12" s="1"/>
  <c r="AR62" i="12"/>
  <c r="AT62" i="12"/>
  <c r="AT12" i="12"/>
  <c r="AP12" i="12"/>
  <c r="AV12" i="12" s="1"/>
  <c r="AS12" i="12"/>
  <c r="AU12" i="12"/>
  <c r="AR12" i="12"/>
  <c r="AQ12" i="12"/>
  <c r="AU35" i="12"/>
  <c r="AR35" i="12"/>
  <c r="AQ35" i="12"/>
  <c r="AS35" i="12"/>
  <c r="AT35" i="12"/>
  <c r="AP35" i="12"/>
  <c r="AV35" i="12" s="1"/>
  <c r="AR9" i="12"/>
  <c r="AQ9" i="12"/>
  <c r="AU9" i="12"/>
  <c r="AP9" i="12"/>
  <c r="AV9" i="12" s="1"/>
  <c r="AT9" i="12"/>
  <c r="AS9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S13" i="12"/>
  <c r="AQ13" i="12"/>
  <c r="AR13" i="12"/>
  <c r="AU13" i="12"/>
  <c r="AT13" i="12"/>
  <c r="AP13" i="12"/>
  <c r="AV13" i="12" s="1"/>
  <c r="AR22" i="12"/>
  <c r="AT22" i="12"/>
  <c r="AQ22" i="12"/>
  <c r="AP22" i="12"/>
  <c r="AV22" i="12" s="1"/>
  <c r="AS22" i="12"/>
  <c r="AU22" i="12"/>
  <c r="AU50" i="12"/>
  <c r="AS50" i="12"/>
  <c r="AR50" i="12"/>
  <c r="AQ50" i="12"/>
  <c r="AT50" i="12"/>
  <c r="AP50" i="12"/>
  <c r="AV50" i="12" s="1"/>
  <c r="AU56" i="12"/>
  <c r="AS56" i="12"/>
  <c r="AT56" i="12"/>
  <c r="AQ56" i="12"/>
  <c r="AP56" i="12"/>
  <c r="AV56" i="12" s="1"/>
  <c r="AR56" i="12"/>
  <c r="T25" i="12"/>
  <c r="R25" i="12"/>
  <c r="U25" i="12" s="1"/>
  <c r="S25" i="12"/>
  <c r="S58" i="12"/>
  <c r="T58" i="12"/>
  <c r="R58" i="12"/>
  <c r="U58" i="12" s="1"/>
  <c r="T40" i="12"/>
  <c r="R40" i="12"/>
  <c r="U40" i="12" s="1"/>
  <c r="S40" i="12"/>
  <c r="S43" i="12"/>
  <c r="R43" i="12"/>
  <c r="U43" i="12" s="1"/>
  <c r="T43" i="12"/>
  <c r="T38" i="12"/>
  <c r="S38" i="12"/>
  <c r="R38" i="12"/>
  <c r="U38" i="12" s="1"/>
  <c r="AX30" i="12"/>
  <c r="AW30" i="12"/>
  <c r="T48" i="12"/>
  <c r="R48" i="12"/>
  <c r="U48" i="12" s="1"/>
  <c r="S48" i="12"/>
  <c r="AS8" i="12"/>
  <c r="AR8" i="12"/>
  <c r="AU8" i="12"/>
  <c r="AT8" i="12"/>
  <c r="AQ8" i="12"/>
  <c r="AP8" i="12"/>
  <c r="AV8" i="12" s="1"/>
  <c r="AU61" i="12"/>
  <c r="AT61" i="12"/>
  <c r="AQ61" i="12"/>
  <c r="AS61" i="12"/>
  <c r="AP61" i="12"/>
  <c r="AV61" i="12" s="1"/>
  <c r="AR61" i="12"/>
  <c r="AQ42" i="12"/>
  <c r="AU42" i="12"/>
  <c r="AP42" i="12"/>
  <c r="AV42" i="12" s="1"/>
  <c r="AT42" i="12"/>
  <c r="AR42" i="12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T57" i="12"/>
  <c r="R57" i="12"/>
  <c r="U57" i="12" s="1"/>
  <c r="S57" i="12"/>
  <c r="T45" i="12"/>
  <c r="R45" i="12"/>
  <c r="U45" i="12" s="1"/>
  <c r="S45" i="12"/>
  <c r="AW20" i="12"/>
  <c r="AX20" i="12"/>
  <c r="AT18" i="12"/>
  <c r="AS18" i="12"/>
  <c r="AR18" i="12"/>
  <c r="AU18" i="12"/>
  <c r="AQ18" i="12"/>
  <c r="AP18" i="12"/>
  <c r="AV18" i="12" s="1"/>
  <c r="T53" i="12"/>
  <c r="S53" i="12"/>
  <c r="R53" i="12"/>
  <c r="U53" i="12" s="1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Q29" i="12"/>
  <c r="AU29" i="12"/>
  <c r="AS29" i="12"/>
  <c r="AT29" i="12"/>
  <c r="AP29" i="12"/>
  <c r="AV29" i="12" s="1"/>
  <c r="AW29" i="12"/>
  <c r="AX29" i="12"/>
  <c r="T22" i="12"/>
  <c r="S22" i="12"/>
  <c r="R22" i="12"/>
  <c r="U22" i="12" s="1"/>
  <c r="S23" i="12"/>
  <c r="T23" i="12"/>
  <c r="R23" i="12"/>
  <c r="U23" i="12" s="1"/>
  <c r="T55" i="12"/>
  <c r="R55" i="12"/>
  <c r="U55" i="12" s="1"/>
  <c r="S55" i="12"/>
  <c r="T9" i="12"/>
  <c r="S9" i="12"/>
  <c r="R9" i="12"/>
  <c r="U9" i="12" s="1"/>
  <c r="R3" i="12"/>
  <c r="U3" i="12" s="1"/>
  <c r="S3" i="12"/>
  <c r="T3" i="12"/>
  <c r="AP3" i="12"/>
  <c r="AV3" i="12" s="1"/>
  <c r="AU3" i="12"/>
  <c r="AT3" i="12"/>
  <c r="AS3" i="12"/>
  <c r="AQ3" i="12"/>
  <c r="AR3" i="12"/>
  <c r="AS21" i="12"/>
  <c r="AT21" i="12"/>
  <c r="AU21" i="12"/>
  <c r="AP21" i="12"/>
  <c r="AV21" i="12" s="1"/>
  <c r="AQ21" i="12"/>
  <c r="AR21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62" i="12"/>
  <c r="S62" i="12"/>
  <c r="R62" i="12"/>
  <c r="U62" i="12" s="1"/>
  <c r="T56" i="12"/>
  <c r="S56" i="12"/>
  <c r="R56" i="12"/>
  <c r="U56" i="12" s="1"/>
  <c r="R10" i="12"/>
  <c r="U10" i="12" s="1"/>
  <c r="T10" i="12"/>
  <c r="S10" i="12"/>
  <c r="R17" i="12"/>
  <c r="U17" i="12" s="1"/>
  <c r="T17" i="12"/>
  <c r="S17" i="12"/>
  <c r="AT7" i="12"/>
  <c r="AS7" i="12"/>
  <c r="AU7" i="12"/>
  <c r="AP7" i="12"/>
  <c r="AV7" i="12" s="1"/>
  <c r="AR7" i="12"/>
  <c r="AQ7" i="12"/>
  <c r="AU41" i="12"/>
  <c r="AS41" i="12"/>
  <c r="AR41" i="12"/>
  <c r="AQ41" i="12"/>
  <c r="AT41" i="12"/>
  <c r="AP41" i="12"/>
  <c r="AV41" i="12" s="1"/>
  <c r="AU52" i="12"/>
  <c r="AQ52" i="12"/>
  <c r="AR52" i="12"/>
  <c r="AS52" i="12"/>
  <c r="AP52" i="12"/>
  <c r="AV52" i="12" s="1"/>
  <c r="AT52" i="12"/>
  <c r="AU58" i="12"/>
  <c r="AQ58" i="12"/>
  <c r="AS58" i="12"/>
  <c r="AR58" i="12"/>
  <c r="AP58" i="12"/>
  <c r="AV58" i="12" s="1"/>
  <c r="AT58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AU49" i="12"/>
  <c r="AQ49" i="12"/>
  <c r="AS49" i="12"/>
  <c r="AP49" i="12"/>
  <c r="AV49" i="12" s="1"/>
  <c r="AT49" i="12"/>
  <c r="AR49" i="12"/>
  <c r="T20" i="12"/>
  <c r="S20" i="12"/>
  <c r="R20" i="12"/>
  <c r="U20" i="12" s="1"/>
  <c r="S27" i="12"/>
  <c r="T27" i="12"/>
  <c r="R27" i="12"/>
  <c r="U27" i="12" s="1"/>
  <c r="S52" i="12"/>
  <c r="R52" i="12"/>
  <c r="U52" i="12" s="1"/>
  <c r="T52" i="12"/>
  <c r="R30" i="12"/>
  <c r="U30" i="12" s="1"/>
  <c r="S30" i="12"/>
  <c r="T30" i="12"/>
  <c r="T29" i="12"/>
  <c r="S29" i="12"/>
  <c r="R29" i="12"/>
  <c r="U29" i="12" s="1"/>
  <c r="AW22" i="12"/>
  <c r="AX22" i="12"/>
  <c r="AR23" i="12"/>
  <c r="AQ23" i="12"/>
  <c r="AU23" i="12"/>
  <c r="AT23" i="12"/>
  <c r="AP23" i="12"/>
  <c r="AV23" i="12" s="1"/>
  <c r="AS23" i="12"/>
  <c r="T6" i="12"/>
  <c r="S6" i="12"/>
  <c r="R6" i="12"/>
  <c r="U6" i="12" s="1"/>
  <c r="AR26" i="12"/>
  <c r="AQ26" i="12"/>
  <c r="AP26" i="12"/>
  <c r="AV26" i="12" s="1"/>
  <c r="AS26" i="12"/>
  <c r="AU26" i="12"/>
  <c r="AT26" i="12"/>
  <c r="AU27" i="12"/>
  <c r="AS27" i="12"/>
  <c r="AT27" i="12"/>
  <c r="AR27" i="12"/>
  <c r="AQ27" i="12"/>
  <c r="AP27" i="12"/>
  <c r="AV27" i="12" s="1"/>
  <c r="AQ60" i="12"/>
  <c r="AP60" i="12"/>
  <c r="AV60" i="12" s="1"/>
  <c r="AT60" i="12"/>
  <c r="AR60" i="12"/>
  <c r="AS60" i="12"/>
  <c r="AU60" i="12"/>
  <c r="AU59" i="12"/>
  <c r="AS59" i="12"/>
  <c r="AR59" i="12"/>
  <c r="AP59" i="12"/>
  <c r="AV59" i="12" s="1"/>
  <c r="AQ59" i="12"/>
  <c r="AT59" i="12"/>
  <c r="AW16" i="12"/>
  <c r="AX16" i="12"/>
  <c r="R34" i="12"/>
  <c r="U34" i="12" s="1"/>
  <c r="S34" i="12"/>
  <c r="T34" i="12"/>
  <c r="T60" i="12"/>
  <c r="R60" i="12"/>
  <c r="U60" i="12" s="1"/>
  <c r="S60" i="12"/>
  <c r="S32" i="12"/>
  <c r="T32" i="12"/>
  <c r="R32" i="12"/>
  <c r="U32" i="12" s="1"/>
  <c r="T16" i="12"/>
  <c r="S16" i="12"/>
  <c r="R16" i="12"/>
  <c r="U16" i="12" s="1"/>
  <c r="S37" i="12"/>
  <c r="T37" i="12"/>
  <c r="R37" i="12"/>
  <c r="U37" i="12" s="1"/>
  <c r="T42" i="12"/>
  <c r="R42" i="12"/>
  <c r="U42" i="12" s="1"/>
  <c r="S42" i="12"/>
  <c r="AU43" i="12"/>
  <c r="AQ43" i="12"/>
  <c r="AR43" i="12"/>
  <c r="AS43" i="12"/>
  <c r="AP43" i="12"/>
  <c r="AV43" i="12" s="1"/>
  <c r="AT43" i="12"/>
  <c r="AR16" i="12"/>
  <c r="AQ16" i="12"/>
  <c r="AU16" i="12"/>
  <c r="AT16" i="12"/>
  <c r="AS16" i="12"/>
  <c r="AP16" i="12"/>
  <c r="AV16" i="12" s="1"/>
  <c r="AQ34" i="12"/>
  <c r="AP34" i="12"/>
  <c r="AV34" i="12" s="1"/>
  <c r="AU34" i="12"/>
  <c r="AS34" i="12"/>
  <c r="AR34" i="12"/>
  <c r="AT34" i="12"/>
  <c r="AQ33" i="12"/>
  <c r="AP33" i="12"/>
  <c r="AV33" i="12" s="1"/>
  <c r="AU33" i="12"/>
  <c r="AS33" i="12"/>
  <c r="AT33" i="12"/>
  <c r="AR33" i="12"/>
  <c r="AU40" i="12"/>
  <c r="AQ40" i="12"/>
  <c r="AT40" i="12"/>
  <c r="AR40" i="12"/>
  <c r="AS40" i="12"/>
  <c r="AP40" i="12"/>
  <c r="AV40" i="12" s="1"/>
  <c r="AU6" i="12"/>
  <c r="AT6" i="12"/>
  <c r="AQ6" i="12"/>
  <c r="AP6" i="12"/>
  <c r="AV6" i="12" s="1"/>
  <c r="AS6" i="12"/>
  <c r="AR6" i="12"/>
  <c r="AR4" i="12"/>
  <c r="AS4" i="12"/>
  <c r="AU4" i="12"/>
  <c r="AT4" i="12"/>
  <c r="AQ4" i="12"/>
  <c r="AP4" i="12"/>
  <c r="AV4" i="12" s="1"/>
  <c r="AU53" i="12"/>
  <c r="AP53" i="12"/>
  <c r="AV53" i="12" s="1"/>
  <c r="AS53" i="12"/>
  <c r="AQ53" i="12"/>
  <c r="AR53" i="12"/>
  <c r="AT53" i="12"/>
  <c r="R11" i="12"/>
  <c r="U11" i="12" s="1"/>
  <c r="T11" i="12"/>
  <c r="S11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4" i="12"/>
  <c r="S13" i="12"/>
  <c r="T13" i="12"/>
  <c r="R13" i="12"/>
  <c r="U13" i="12" s="1"/>
  <c r="C37" i="7" l="1"/>
  <c r="C41" i="7" s="1"/>
  <c r="C40" i="7"/>
  <c r="C36" i="7"/>
  <c r="C38" i="7"/>
  <c r="C39" i="7"/>
  <c r="M3" i="2"/>
  <c r="B3" i="2"/>
  <c r="B62" i="2"/>
  <c r="T17" i="2"/>
  <c r="T3" i="2"/>
</calcChain>
</file>

<file path=xl/sharedStrings.xml><?xml version="1.0" encoding="utf-8"?>
<sst xmlns="http://schemas.openxmlformats.org/spreadsheetml/2006/main" count="686" uniqueCount="496">
  <si>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</si>
  <si>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</si>
  <si>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</si>
  <si>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</si>
  <si>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</si>
  <si>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</si>
  <si>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</si>
  <si>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</si>
  <si>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</si>
  <si>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</si>
  <si>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</si>
  <si>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</si>
  <si>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</si>
  <si>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</si>
  <si>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</si>
  <si>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</si>
  <si>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</si>
  <si>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</si>
  <si>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</si>
  <si>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</si>
  <si>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</si>
  <si>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</si>
  <si>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</si>
  <si>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</si>
  <si>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</si>
  <si>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</si>
  <si>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</si>
  <si>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</si>
  <si>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</si>
  <si>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</si>
  <si>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</si>
  <si>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</si>
  <si>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</si>
  <si>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</si>
  <si>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</si>
  <si>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</si>
  <si>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</si>
  <si>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</si>
  <si>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</si>
  <si>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</si>
  <si>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</si>
  <si>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</si>
  <si>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</si>
  <si>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</si>
  <si>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</si>
  <si>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</si>
  <si>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</si>
  <si>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</si>
  <si>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</si>
  <si>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</si>
  <si>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</si>
  <si>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</si>
  <si>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</si>
  <si>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</si>
  <si>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</si>
  <si>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</si>
  <si>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</si>
  <si>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</si>
  <si>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</si>
  <si>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</si>
  <si>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</si>
  <si>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</si>
  <si>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</si>
  <si>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</si>
  <si>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</si>
  <si>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</si>
  <si>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</si>
  <si>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</si>
  <si>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</si>
  <si>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</si>
  <si>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</si>
  <si>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</si>
  <si>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</si>
  <si>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</si>
  <si>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</si>
  <si>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</si>
  <si>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</si>
  <si>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</si>
  <si>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</si>
  <si>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</si>
  <si>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</si>
  <si>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</si>
  <si>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</si>
  <si>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</si>
  <si>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</si>
  <si>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</si>
  <si>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</si>
  <si>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</si>
  <si>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</si>
  <si>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</si>
  <si>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</si>
  <si>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</si>
  <si>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</si>
  <si>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</si>
  <si>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</si>
  <si>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</si>
  <si>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</si>
  <si>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</si>
  <si>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</si>
  <si>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</si>
  <si>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</si>
  <si>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</si>
  <si>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</si>
  <si>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</si>
  <si>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</si>
  <si>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</si>
  <si>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</si>
  <si>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</si>
  <si>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</si>
  <si>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</si>
  <si>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</si>
  <si>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</si>
  <si>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</si>
  <si>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</si>
  <si>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</si>
  <si>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</si>
  <si>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</si>
  <si>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</si>
  <si>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</si>
  <si>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</si>
  <si>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</si>
  <si>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</si>
  <si>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</si>
  <si>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</si>
  <si>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</si>
  <si>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</si>
  <si>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</si>
  <si>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</si>
  <si>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</si>
  <si>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</si>
  <si>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</si>
  <si>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</si>
  <si>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</si>
  <si>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</si>
  <si>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</si>
  <si>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</si>
  <si>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</si>
  <si>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</si>
  <si>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</si>
  <si>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</si>
  <si>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</si>
  <si>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</si>
  <si>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</si>
  <si>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</si>
  <si>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</si>
  <si>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</si>
  <si>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</si>
  <si>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</si>
  <si>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</si>
  <si>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</si>
  <si>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</si>
  <si>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</si>
  <si>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</si>
  <si>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</si>
  <si>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</si>
  <si>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</si>
  <si>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</si>
  <si>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</si>
  <si>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</si>
  <si>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</si>
  <si>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</si>
  <si>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</si>
  <si>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</si>
  <si>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</si>
  <si>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</si>
  <si>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</si>
  <si>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</si>
  <si>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</si>
  <si>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</si>
  <si>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</si>
  <si>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</si>
  <si>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</si>
  <si>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</si>
  <si>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</si>
  <si>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</si>
  <si>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</si>
  <si>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</si>
  <si>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</si>
  <si>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</si>
  <si>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</si>
  <si>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</si>
  <si>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</si>
  <si>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</si>
  <si>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</si>
  <si>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</si>
  <si>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</si>
  <si>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</si>
  <si>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</si>
  <si>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</si>
  <si>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</si>
  <si>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</si>
  <si>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</si>
  <si>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</si>
  <si>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</si>
  <si>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</si>
  <si>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</si>
  <si>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</si>
  <si>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</si>
  <si>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</si>
  <si>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</si>
  <si>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</si>
  <si>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</si>
  <si>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</si>
  <si>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</si>
  <si>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</si>
  <si>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</si>
  <si>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</si>
  <si>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</si>
  <si>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</si>
  <si>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</si>
  <si>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</si>
  <si>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</si>
  <si>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</si>
  <si>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</si>
  <si>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</si>
  <si>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</si>
  <si>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</si>
  <si>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</si>
  <si>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</si>
  <si>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</si>
  <si>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</si>
  <si>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</si>
  <si>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</si>
  <si>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</si>
  <si>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</si>
  <si>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</si>
  <si>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</si>
  <si>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</si>
  <si>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</si>
  <si>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</si>
  <si>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</si>
  <si>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</si>
  <si>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</si>
  <si>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</si>
  <si>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</si>
  <si>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</si>
  <si>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</si>
  <si>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</si>
  <si>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</si>
  <si>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</si>
  <si>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</si>
  <si>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</si>
  <si>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</si>
  <si>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</si>
  <si>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</si>
  <si>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</si>
  <si>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</si>
  <si>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</si>
  <si>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</si>
  <si>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</si>
  <si>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</si>
  <si>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</si>
  <si>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</si>
  <si>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</si>
  <si>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</si>
  <si>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</si>
  <si>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</si>
  <si>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</si>
  <si>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</si>
  <si>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</si>
  <si>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</si>
  <si>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</si>
  <si>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</si>
  <si>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</si>
  <si>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</si>
  <si>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</si>
  <si>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</si>
  <si>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</si>
  <si>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</si>
  <si>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</si>
  <si>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</si>
  <si>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</si>
  <si>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</si>
  <si>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</si>
  <si>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</si>
  <si>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</si>
  <si>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</si>
  <si>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</si>
  <si>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</si>
  <si>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</si>
  <si>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</si>
  <si>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</si>
  <si>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</si>
  <si>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</si>
  <si>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</si>
  <si>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</si>
  <si>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</si>
  <si>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</si>
  <si>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</si>
  <si>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</si>
  <si>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</si>
  <si>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</si>
  <si>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</si>
  <si>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</si>
  <si>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</si>
  <si>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</si>
  <si>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</si>
  <si>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</si>
  <si>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</si>
  <si>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</si>
  <si>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</si>
  <si>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</si>
  <si>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</si>
  <si>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</si>
  <si>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</si>
  <si>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</si>
  <si>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</si>
  <si>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</si>
  <si>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</si>
  <si>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</si>
  <si>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</si>
  <si>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</si>
  <si>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</si>
  <si>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</si>
  <si>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</si>
  <si>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</si>
  <si>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</si>
  <si>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</si>
  <si>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</si>
  <si>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</si>
  <si>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</si>
  <si>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</si>
  <si>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</si>
  <si>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</si>
  <si>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</si>
  <si>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</si>
  <si>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</si>
  <si>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</si>
  <si>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</si>
  <si>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</si>
  <si>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</si>
  <si>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</si>
  <si>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</si>
  <si>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</si>
  <si>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</si>
  <si>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</si>
  <si>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</si>
  <si>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</si>
  <si>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</si>
  <si>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</si>
  <si>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</si>
  <si>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</si>
  <si>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</si>
  <si>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</si>
  <si>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</si>
  <si>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</si>
  <si>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</si>
  <si>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</si>
  <si>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</si>
  <si>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</si>
  <si>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</si>
  <si>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</si>
  <si>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</si>
  <si>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</si>
  <si>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</si>
  <si>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</si>
  <si>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</si>
  <si>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</si>
  <si>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</si>
  <si>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</si>
  <si>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</si>
  <si>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</si>
  <si>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</si>
  <si>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</si>
  <si>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</si>
  <si>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</si>
  <si>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</si>
  <si>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</si>
  <si>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</si>
  <si>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</si>
  <si>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</si>
  <si>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</si>
  <si>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</si>
  <si>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</si>
  <si>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</si>
  <si>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</si>
  <si>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</si>
  <si>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</si>
  <si>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</si>
  <si>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</si>
  <si>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</si>
  <si>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</si>
  <si>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</si>
  <si>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</si>
  <si>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</si>
  <si>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</si>
  <si>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</si>
  <si>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</si>
  <si>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</si>
  <si>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</si>
  <si>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</si>
  <si>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</si>
  <si>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</si>
  <si>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</si>
  <si>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</si>
  <si>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</si>
  <si>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</si>
  <si>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</si>
  <si>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</si>
  <si>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</si>
  <si>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</si>
  <si>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</si>
  <si>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</si>
  <si>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</si>
  <si>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</si>
  <si>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</si>
  <si>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</si>
  <si>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</si>
  <si>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</si>
  <si>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</si>
  <si>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</si>
  <si>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</si>
  <si>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</si>
  <si>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</si>
  <si>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</si>
  <si>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</si>
  <si>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</si>
  <si>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</si>
  <si>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</si>
  <si>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</si>
  <si>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</si>
  <si>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</si>
  <si>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</si>
  <si>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</si>
  <si>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</si>
  <si>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</si>
  <si>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</si>
  <si>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</si>
  <si>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</si>
  <si>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</si>
  <si>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</si>
  <si>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</si>
  <si>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</si>
  <si>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</si>
  <si>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</si>
  <si>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</si>
  <si>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</si>
  <si>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</si>
  <si>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</si>
  <si>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</si>
  <si>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</si>
  <si>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</si>
  <si>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</si>
  <si>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</si>
  <si>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</si>
  <si>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</si>
  <si>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</si>
  <si>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</si>
  <si>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</si>
  <si>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</si>
  <si>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</si>
  <si>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</si>
  <si>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</si>
  <si>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</si>
  <si>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</si>
  <si>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</si>
  <si>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</si>
  <si>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</si>
  <si>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</si>
  <si>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</si>
  <si>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</si>
  <si>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</si>
  <si>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</si>
  <si>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</si>
  <si>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</si>
  <si>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</si>
  <si>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</si>
  <si>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</si>
  <si>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</si>
  <si>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</si>
  <si>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</si>
  <si>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</si>
  <si>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</si>
  <si>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</si>
  <si>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</si>
  <si>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</si>
  <si>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</si>
  <si>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</si>
  <si>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</si>
  <si>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</si>
  <si>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</si>
  <si>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 xml:space="preserve">8. 担当者ランキング　※ 目標達成率＝会社目標 1.6分/件 に対する達成率。順位も判定も、この同じ値で付けています</t>
  </si>
  <si>
    <t xml:space="preserve">記録日数の少ない人は数字がブレます。ブレの大きさを見積もって、参考値（縮小後効率）と信頼区間を計算します。順位づけには使いません。</t>
  </si>
  <si>
    <t xml:space="preserve">全体サマリー、目標達成率のランキング、配置マップが自動で出ます。
段取り比率が高い月ほど、件数だけの比較は不公平になります。</t>
  </si>
  <si>
    <t xml:space="preserve">記録日数が少ない人は数字がブレるため、平均側へ寄せた参考値。順位づけには使わない。</t>
  </si>
  <si>
    <t xml:space="preserve">会社目標 1.6分/件 に対する達成率で4区分。100%以上＝◎達成、90%以上＝○あと一歩、80%以上＝△要改善、80%未満＝✕要支援。</t>
  </si>
  <si>
    <t xml:space="preserve">◎ 達成</t>
  </si>
  <si>
    <t xml:space="preserve">会社目標 1.6分/件 に対する達成率が 100% 以上</t>
  </si>
  <si>
    <t xml:space="preserve">○ あと一歩</t>
  </si>
  <si>
    <t xml:space="preserve">達成率 90% 以上 100% 未満</t>
  </si>
  <si>
    <t xml:space="preserve">△ 要改善</t>
  </si>
  <si>
    <t xml:space="preserve">達成率 80% 以上 90% 未満</t>
  </si>
  <si>
    <t xml:space="preserve">✕ 要支援</t>
  </si>
  <si>
    <t xml:space="preserve">達成率 80% 未満</t>
  </si>
  <si>
    <t xml:space="preserve">標準時間 ＝ a × 企業数 ＋ b × 件数　（ピッキング a=56.05秒/社・b=75.6秒/件／梱包 a=92.1秒/社・b=69.5秒/件）</t>
  </si>
  <si>
    <t xml:space="preserve">1社ごとに必ず発生する時間。ピッキングは 56.05秒/社（① リストを見る 10秒 ＋ ④ 伝票を挟む 46.05秒）。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</si>
</sst>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11" fillId="0" borderId="0" xfId="0" applyFont="1"/>
    <xf numFmtId="0" fontId="9" fillId="0" borderId="1" xfId="0" applyFont="1" applyBorder="1"/>
    <xf numFmtId="0" fontId="4" fillId="0" borderId="0" xfId="0" applyFont="1"/>
    <xf numFmtId="0" fontId="9" fillId="0" borderId="0" xfId="0" applyFont="1"/>
  </cellXfs>
  <cellStyles count="1">
    <cellStyle name="標準" xfId="0" builtinId="0"/>
  </cellStyles>
  <dxfs count="9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ダッシュボード!$AF$3:$AF$62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ダッシュボード!$AK$3:$AK$62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General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General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dPt>
            <c:idx val="0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General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143.79496402877697</c:v>
                </c:pt>
                <c:pt idx="1">
                  <c:v>146.43356643356643</c:v>
                </c:pt>
                <c:pt idx="2">
                  <c:v>138.1651376146789</c:v>
                </c:pt>
                <c:pt idx="3">
                  <c:v>129.9769053117783</c:v>
                </c:pt>
                <c:pt idx="4">
                  <c:v>105.67375886524823</c:v>
                </c:pt>
                <c:pt idx="5">
                  <c:v>118.37270341207349</c:v>
                </c:pt>
                <c:pt idx="6">
                  <c:v>101.14607797087835</c:v>
                </c:pt>
                <c:pt idx="7">
                  <c:v>107.43889479277364</c:v>
                </c:pt>
                <c:pt idx="8">
                  <c:v>92.0866590649943</c:v>
                </c:pt>
                <c:pt idx="9">
                  <c:v>107.17488789237669</c:v>
                </c:pt>
                <c:pt idx="10">
                  <c:v>93.88379204892966</c:v>
                </c:pt>
                <c:pt idx="11">
                  <c:v>83.68638239339752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上村和恵</c:v>
                </c:pt>
                <c:pt idx="1">
                  <c:v>秋草文恵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石戸谷亜子</c:v>
                </c:pt>
                <c:pt idx="5">
                  <c:v>中納沙織</c:v>
                </c:pt>
                <c:pt idx="6">
                  <c:v>山本祥吉</c:v>
                </c:pt>
                <c:pt idx="7">
                  <c:v>高橋佐織</c:v>
                </c:pt>
                <c:pt idx="8">
                  <c:v>晩田恵美</c:v>
                </c:pt>
                <c:pt idx="9">
                  <c:v>後藤克行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105.28192446043165</c:v>
                </c:pt>
                <c:pt idx="1">
                  <c:v>104.46258741258742</c:v>
                </c:pt>
                <c:pt idx="2">
                  <c:v>102.00110091743119</c:v>
                </c:pt>
                <c:pt idx="3">
                  <c:v>88.60635103926097</c:v>
                </c:pt>
                <c:pt idx="4">
                  <c:v>74.97375886524823</c:v>
                </c:pt>
                <c:pt idx="5">
                  <c:v>73.57165354330708</c:v>
                </c:pt>
                <c:pt idx="6">
                  <c:v>69.30690465007046</c:v>
                </c:pt>
                <c:pt idx="7">
                  <c:v>68.28905419766207</c:v>
                </c:pt>
                <c:pt idx="8">
                  <c:v>67.82770809578106</c:v>
                </c:pt>
                <c:pt idx="9">
                  <c:v>63.16696562032886</c:v>
                </c:pt>
                <c:pt idx="10">
                  <c:v>48.725688073394494</c:v>
                </c:pt>
                <c:pt idx="11">
                  <c:v>44.98411279229711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本吉有美子</c:v>
                </c:pt>
                <c:pt idx="1">
                  <c:v>大江美記子</c:v>
                </c:pt>
                <c:pt idx="2">
                  <c:v>佐藤辰成</c:v>
                </c:pt>
                <c:pt idx="3">
                  <c:v>春谷智子</c:v>
                </c:pt>
                <c:pt idx="4">
                  <c:v>澤田凌</c:v>
                </c:pt>
                <c:pt idx="5">
                  <c:v>後藤克行</c:v>
                </c:pt>
                <c:pt idx="6">
                  <c:v>中村美佳</c:v>
                </c:pt>
                <c:pt idx="7">
                  <c:v>晩田恵美</c:v>
                </c:pt>
                <c:pt idx="8">
                  <c:v>高橋佐織</c:v>
                </c:pt>
                <c:pt idx="9">
                  <c:v>山本祥吉</c:v>
                </c:pt>
                <c:pt idx="10">
                  <c:v>佐々木千恵</c:v>
                </c:pt>
                <c:pt idx="11">
                  <c:v>北田倫子</c:v>
                </c:pt>
                <c:pt idx="12">
                  <c:v>中納沙織</c:v>
                </c:pt>
                <c:pt idx="13">
                  <c:v>石戸谷亜子</c:v>
                </c:pt>
                <c:pt idx="14">
                  <c:v>森田美加</c:v>
                </c:pt>
                <c:pt idx="15">
                  <c:v>木村千鶴</c:v>
                </c:pt>
                <c:pt idx="16">
                  <c:v>河野忠</c:v>
                </c:pt>
                <c:pt idx="17">
                  <c:v>奥野愛海</c:v>
                </c:pt>
                <c:pt idx="18">
                  <c:v>鈴木香織</c:v>
                </c:pt>
                <c:pt idx="19">
                  <c:v>向井ひかり</c:v>
                </c:pt>
                <c:pt idx="20">
                  <c:v>廣瀬こずえ</c:v>
                </c:pt>
                <c:pt idx="21">
                  <c:v>片岡達也</c:v>
                </c:pt>
                <c:pt idx="22">
                  <c:v>森本久美</c:v>
                </c:pt>
                <c:pt idx="23">
                  <c:v>菊池敬</c:v>
                </c:pt>
                <c:pt idx="24">
                  <c:v>高橋正美</c:v>
                </c:pt>
                <c:pt idx="25">
                  <c:v>秋草文恵</c:v>
                </c:pt>
                <c:pt idx="26">
                  <c:v>上村和恵</c:v>
                </c:pt>
                <c:pt idx="27">
                  <c:v>平田学</c:v>
                </c:pt>
                <c:pt idx="28">
                  <c:v>飯田由加里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120.67691021365592</c:v>
                </c:pt>
                <c:pt idx="2">
                  <c:v>119.7425901187512</c:v>
                </c:pt>
                <c:pt idx="3">
                  <c:v>111.28404540730916</c:v>
                </c:pt>
                <c:pt idx="4">
                  <c:v>109.608647015599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100.54560159272768</c:v>
                </c:pt>
                <c:pt idx="16">
                  <c:v>100.53479201324765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93.41118109614357</c:v>
                </c:pt>
                <c:pt idx="21">
                  <c:v>93.27565646093761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北田倫子</c:v>
                </c:pt>
                <c:pt idx="3">
                  <c:v>大江美記子</c:v>
                </c:pt>
                <c:pt idx="4">
                  <c:v>佐藤辰成</c:v>
                </c:pt>
                <c:pt idx="5">
                  <c:v>飯田由加里</c:v>
                </c:pt>
                <c:pt idx="6">
                  <c:v>晩田恵美</c:v>
                </c:pt>
                <c:pt idx="7">
                  <c:v>河野忠</c:v>
                </c:pt>
                <c:pt idx="8">
                  <c:v>森本久美</c:v>
                </c:pt>
                <c:pt idx="9">
                  <c:v>鈴木香織</c:v>
                </c:pt>
                <c:pt idx="10">
                  <c:v>澤田凌</c:v>
                </c:pt>
                <c:pt idx="11">
                  <c:v>高橋佐織</c:v>
                </c:pt>
                <c:pt idx="12">
                  <c:v>中村美佳</c:v>
                </c:pt>
                <c:pt idx="13">
                  <c:v>山本祥吉</c:v>
                </c:pt>
                <c:pt idx="14">
                  <c:v>後藤克行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160.21330038970882</c:v>
                </c:pt>
                <c:pt idx="1">
                  <c:v>146.66177155707118</c:v>
                </c:pt>
                <c:pt idx="2">
                  <c:v>133.25785675591538</c:v>
                </c:pt>
                <c:pt idx="3">
                  <c:v>131.04490021102978</c:v>
                </c:pt>
                <c:pt idx="4">
                  <c:v>128.1824773344137</c:v>
                </c:pt>
                <c:pt idx="5">
                  <c:v>126.82484924085423</c:v>
                </c:pt>
                <c:pt idx="6">
                  <c:v>120.21334891697963</c:v>
                </c:pt>
                <c:pt idx="7">
                  <c:v>115.10131008792217</c:v>
                </c:pt>
                <c:pt idx="8">
                  <c:v>102.27473325768686</c:v>
                </c:pt>
                <c:pt idx="9">
                  <c:v>98.81317753034124</c:v>
                </c:pt>
                <c:pt idx="10">
                  <c:v>96.6040089685315</c:v>
                </c:pt>
                <c:pt idx="11">
                  <c:v>95.03098129485993</c:v>
                </c:pt>
                <c:pt idx="12">
                  <c:v>89.76235104145006</c:v>
                </c:pt>
                <c:pt idx="13">
                  <c:v>86.58781937105334</c:v>
                </c:pt>
                <c:pt idx="14">
                  <c:v>82.50800954832064</c:v>
                </c:pt>
                <c:pt idx="15">
                  <c:v>81.8195904305488</c:v>
                </c:pt>
                <c:pt idx="16">
                  <c:v>74.64765281846198</c:v>
                </c:pt>
                <c:pt idx="17">
                  <c:v>69.50855316564756</c:v>
                </c:pt>
                <c:pt idx="18">
                  <c:v>60.24629206624098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104.36744107744107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56.602448979591827</c:v>
                </c:pt>
                <c:pt idx="1">
                  <c:v>98.221111111111114</c:v>
                </c:pt>
                <c:pt idx="2">
                  <c:v>85.862631578947358</c:v>
                </c:pt>
                <c:pt idx="3">
                  <c:v>76.883663366336634</c:v>
                </c:pt>
                <c:pt idx="4">
                  <c:v>99.64362464183381</c:v>
                </c:pt>
                <c:pt idx="5">
                  <c:v>79.358161350844284</c:v>
                </c:pt>
                <c:pt idx="6">
                  <c:v>80.289637058261704</c:v>
                </c:pt>
                <c:pt idx="7">
                  <c:v>80.89163346613546</c:v>
                </c:pt>
                <c:pt idx="8">
                  <c:v>121.32499999999997</c:v>
                </c:pt>
                <c:pt idx="9">
                  <c:v>88.026622718052721</c:v>
                </c:pt>
                <c:pt idx="10">
                  <c:v>89.993336886993617</c:v>
                </c:pt>
                <c:pt idx="11">
                  <c:v>91.348648648648634</c:v>
                </c:pt>
                <c:pt idx="12">
                  <c:v>81.891759776536304</c:v>
                </c:pt>
                <c:pt idx="13">
                  <c:v>101.71352549889134</c:v>
                </c:pt>
                <c:pt idx="14">
                  <c:v>106.22178879910837</c:v>
                </c:pt>
                <c:pt idx="15">
                  <c:v>96.542574257425741</c:v>
                </c:pt>
                <c:pt idx="16">
                  <c:v>106.8047477744807</c:v>
                </c:pt>
                <c:pt idx="17">
                  <c:v>111.60069735006972</c:v>
                </c:pt>
                <c:pt idx="18">
                  <c:v>100.59261744966443</c:v>
                </c:pt>
                <c:pt idx="19">
                  <c:v>114.09203480589021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0" formatCode="General">
                  <c:v>0</c:v>
                </c:pt>
                <c:pt idx="1">
                  <c:v>52.277377892030849</c:v>
                </c:pt>
                <c:pt idx="2">
                  <c:v>65.703477177483293</c:v>
                </c:pt>
                <c:pt idx="3" formatCode="General">
                  <c:v>0</c:v>
                </c:pt>
                <c:pt idx="4">
                  <c:v>71.829549454417446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>
                  <c:v>81.792465753424665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>
                  <c:v>100.98448866067606</c:v>
                </c:pt>
                <c:pt idx="13">
                  <c:v>66.904561403508765</c:v>
                </c:pt>
                <c:pt idx="14">
                  <c:v>84.736739745403099</c:v>
                </c:pt>
                <c:pt idx="15">
                  <c:v>97.378246753246756</c:v>
                </c:pt>
                <c:pt idx="16">
                  <c:v>93.863706034204569</c:v>
                </c:pt>
                <c:pt idx="17">
                  <c:v>80.326509661835729</c:v>
                </c:pt>
                <c:pt idx="18" formatCode="General">
                  <c:v>0</c:v>
                </c:pt>
                <c:pt idx="19">
                  <c:v>94.524254742547413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9.1503267973856214E-3"/>
                  <c:y val="-1.2226120557446657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114.09203480589021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94.524254742547413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5.6209150326797387E-2"/>
                  <c:y val="-4.2167640289969083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98.221111111111114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98.116847826086968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96.542574257425741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81.891759776536304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85.862631578947358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74.630235602094231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印刷用データ!$AW$25</c:f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印刷用データ!$AW$26</c:f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印刷用データ!$AW$31</c:f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1">
                  <c:v>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79D4-48A9-8F10-910E96FCBD2E}"/>
            </c:ext>
          </c:extLst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7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散布図!$AE$8:$AE$67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83.68638239339752</c:v>
                </c:pt>
                <c:pt idx="1">
                  <c:v>94.55696202531645</c:v>
                </c:pt>
                <c:pt idx="2">
                  <c:v>93.88379204892966</c:v>
                </c:pt>
                <c:pt idx="3">
                  <c:v>72.86356821589206</c:v>
                </c:pt>
                <c:pt idx="4">
                  <c:v>103.27868852459017</c:v>
                </c:pt>
                <c:pt idx="5">
                  <c:v>107.17488789237669</c:v>
                </c:pt>
                <c:pt idx="6">
                  <c:v>91.13924050632912</c:v>
                </c:pt>
                <c:pt idx="7">
                  <c:v>92.0866590649943</c:v>
                </c:pt>
                <c:pt idx="8">
                  <c:v>107.43889479277364</c:v>
                </c:pt>
                <c:pt idx="9">
                  <c:v>101.14607797087835</c:v>
                </c:pt>
                <c:pt idx="10">
                  <c:v>95.33039647577093</c:v>
                </c:pt>
                <c:pt idx="11">
                  <c:v>128.33333333333334</c:v>
                </c:pt>
                <c:pt idx="12">
                  <c:v>118.37270341207349</c:v>
                </c:pt>
                <c:pt idx="13">
                  <c:v>105.67375886524823</c:v>
                </c:pt>
                <c:pt idx="14">
                  <c:v>123.85321100917432</c:v>
                </c:pt>
                <c:pt idx="15">
                  <c:v>118.28571428571429</c:v>
                </c:pt>
                <c:pt idx="16">
                  <c:v>121.21562952243126</c:v>
                </c:pt>
                <c:pt idx="17">
                  <c:v>133.41346153846155</c:v>
                </c:pt>
                <c:pt idx="18">
                  <c:v>131.16883116883116</c:v>
                </c:pt>
                <c:pt idx="19">
                  <c:v>129.9769053117783</c:v>
                </c:pt>
                <c:pt idx="20">
                  <c:v>183.63636363636363</c:v>
                </c:pt>
                <c:pt idx="21">
                  <c:v>141.19331742243438</c:v>
                </c:pt>
                <c:pt idx="22">
                  <c:v>128.23880597014926</c:v>
                </c:pt>
                <c:pt idx="23">
                  <c:v>135.07109004739337</c:v>
                </c:pt>
                <c:pt idx="24">
                  <c:v>138.1651376146789</c:v>
                </c:pt>
                <c:pt idx="25">
                  <c:v>146.43356643356643</c:v>
                </c:pt>
                <c:pt idx="26">
                  <c:v>143.79496402877697</c:v>
                </c:pt>
                <c:pt idx="27">
                  <c:v>198.64864864864865</c:v>
                </c:pt>
                <c:pt idx="28">
                  <c:v>169.15129151291512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115.51439393939393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散布図!$AI$8:$AI$67</c:f>
              <c:numCache>
                <c:formatCode>General</c:formatCode>
                <c:ptCount val="60"/>
                <c:pt idx="0">
                  <c:v>0.4202200825309491</c:v>
                </c:pt>
                <c:pt idx="1">
                  <c:v>0.5759493670886076</c:v>
                </c:pt>
                <c:pt idx="2">
                  <c:v>0.49031600407747195</c:v>
                </c:pt>
                <c:pt idx="3">
                  <c:v>0.22188905547226387</c:v>
                </c:pt>
                <c:pt idx="4">
                  <c:v>0.5983606557377049</c:v>
                </c:pt>
                <c:pt idx="5">
                  <c:v>0.4778276033881415</c:v>
                </c:pt>
                <c:pt idx="6">
                  <c:v>0.379746835443038</c:v>
                </c:pt>
                <c:pt idx="7">
                  <c:v>0.2633979475484607</c:v>
                </c:pt>
                <c:pt idx="8">
                  <c:v>0.4250797024442083</c:v>
                </c:pt>
                <c:pt idx="9">
                  <c:v>0.3457022076092062</c:v>
                </c:pt>
                <c:pt idx="10">
                  <c:v>0.28046989720998533</c:v>
                </c:pt>
                <c:pt idx="11">
                  <c:v>0.6004273504273504</c:v>
                </c:pt>
                <c:pt idx="12">
                  <c:v>0.4864391951006124</c:v>
                </c:pt>
                <c:pt idx="13">
                  <c:v>0.3333333333333333</c:v>
                </c:pt>
                <c:pt idx="14">
                  <c:v>0.5</c:v>
                </c:pt>
                <c:pt idx="15">
                  <c:v>0.4392857142857143</c:v>
                </c:pt>
                <c:pt idx="16">
                  <c:v>0.4905933429811867</c:v>
                </c:pt>
                <c:pt idx="17">
                  <c:v>0.5024038461538461</c:v>
                </c:pt>
                <c:pt idx="18">
                  <c:v>0.5541125541125541</c:v>
                </c:pt>
                <c:pt idx="19">
                  <c:v>0.4491916859122402</c:v>
                </c:pt>
                <c:pt idx="20">
                  <c:v>0.7121212121212122</c:v>
                </c:pt>
                <c:pt idx="21">
                  <c:v>0.5286396181384249</c:v>
                </c:pt>
                <c:pt idx="22">
                  <c:v>0.3194029850746269</c:v>
                </c:pt>
                <c:pt idx="23">
                  <c:v>0.43838862559241704</c:v>
                </c:pt>
                <c:pt idx="24">
                  <c:v>0.3926605504587156</c:v>
                </c:pt>
                <c:pt idx="25">
                  <c:v>0.4557109557109557</c:v>
                </c:pt>
                <c:pt idx="26">
                  <c:v>0.4181654676258993</c:v>
                </c:pt>
                <c:pt idx="27">
                  <c:v>0.4</c:v>
                </c:pt>
                <c:pt idx="28">
                  <c:v>0.5498154981549815</c:v>
                </c:pt>
              </c:numCache>
            </c:num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44.98411279229711</c:v>
                </c:pt>
                <c:pt idx="1">
                  <c:v>62.275</c:v>
                </c:pt>
                <c:pt idx="2">
                  <c:v>48.725688073394494</c:v>
                </c:pt>
                <c:pt idx="3">
                  <c:v>52.42758620689656</c:v>
                </c:pt>
                <c:pt idx="4">
                  <c:v>48.16967213114755</c:v>
                </c:pt>
                <c:pt idx="5">
                  <c:v>63.16696562032886</c:v>
                </c:pt>
                <c:pt idx="6">
                  <c:v>56.164556962025316</c:v>
                </c:pt>
                <c:pt idx="7">
                  <c:v>67.82770809578106</c:v>
                </c:pt>
                <c:pt idx="8">
                  <c:v>68.28905419766207</c:v>
                </c:pt>
                <c:pt idx="9">
                  <c:v>69.30690465007046</c:v>
                </c:pt>
                <c:pt idx="10">
                  <c:v>69.49911894273129</c:v>
                </c:pt>
                <c:pt idx="11">
                  <c:v>73.03397435897435</c:v>
                </c:pt>
                <c:pt idx="12">
                  <c:v>73.57165354330708</c:v>
                </c:pt>
                <c:pt idx="13">
                  <c:v>74.97375886524823</c:v>
                </c:pt>
                <c:pt idx="14">
                  <c:v>77.8032110091743</c:v>
                </c:pt>
                <c:pt idx="15">
                  <c:v>77.82750000000001</c:v>
                </c:pt>
                <c:pt idx="16">
                  <c:v>76.03198263386396</c:v>
                </c:pt>
                <c:pt idx="17">
                  <c:v>87.14206730769232</c:v>
                </c:pt>
                <c:pt idx="18">
                  <c:v>80.13506493506492</c:v>
                </c:pt>
                <c:pt idx="19">
                  <c:v>88.60635103926097</c:v>
                </c:pt>
                <c:pt idx="20">
                  <c:v>118.05000000000001</c:v>
                </c:pt>
                <c:pt idx="21">
                  <c:v>92.50560859188546</c:v>
                </c:pt>
                <c:pt idx="22">
                  <c:v>98.82179104477613</c:v>
                </c:pt>
                <c:pt idx="23">
                  <c:v>94.69549763033176</c:v>
                </c:pt>
                <c:pt idx="24">
                  <c:v>102.00110091743119</c:v>
                </c:pt>
                <c:pt idx="25">
                  <c:v>104.46258741258742</c:v>
                </c:pt>
                <c:pt idx="26">
                  <c:v>105.28192446043165</c:v>
                </c:pt>
                <c:pt idx="27">
                  <c:v>161.80864864864867</c:v>
                </c:pt>
                <c:pt idx="28">
                  <c:v>118.51328413284132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散布図!$AM$8:$AM$67</c:f>
              <c:numCache>
                <c:formatCode>General</c:formatCode>
                <c:ptCount val="60"/>
                <c:pt idx="0">
                  <c:v>0.2619334135579623</c:v>
                </c:pt>
                <c:pt idx="1">
                  <c:v>0.4400630914826498</c:v>
                </c:pt>
                <c:pt idx="2">
                  <c:v>0.2580275229357798</c:v>
                </c:pt>
                <c:pt idx="3">
                  <c:v>0.17253521126760563</c:v>
                </c:pt>
                <c:pt idx="4">
                  <c:v>0.2617874736101337</c:v>
                </c:pt>
                <c:pt idx="5">
                  <c:v>0.2826666666666667</c:v>
                </c:pt>
                <c:pt idx="6">
                  <c:v>0.3429364803887539</c:v>
                </c:pt>
                <c:pt idx="7">
                  <c:v>0.28860445912469035</c:v>
                </c:pt>
                <c:pt idx="8">
                  <c:v>0.25387596899224807</c:v>
                </c:pt>
                <c:pt idx="9">
                  <c:v>0.21460674157303372</c:v>
                </c:pt>
                <c:pt idx="10">
                  <c:v>0.3273231622746186</c:v>
                </c:pt>
                <c:pt idx="11">
                  <c:v>0.16964285714285715</c:v>
                </c:pt>
                <c:pt idx="12">
                  <c:v>0.2968253968253968</c:v>
                </c:pt>
                <c:pt idx="13">
                  <c:v>0.12141652613827993</c:v>
                </c:pt>
                <c:pt idx="14">
                  <c:v>0.2582857142857143</c:v>
                </c:pt>
                <c:pt idx="15">
                  <c:v>0.3619047619047619</c:v>
                </c:pt>
                <c:pt idx="16">
                  <c:v>0.3020618556701031</c:v>
                </c:pt>
                <c:pt idx="17">
                  <c:v>0.31022823330515636</c:v>
                </c:pt>
                <c:pt idx="18">
                  <c:v>0.40810556079170596</c:v>
                </c:pt>
              </c:numCache>
            </c:num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62.5511432009627</c:v>
                </c:pt>
                <c:pt idx="1">
                  <c:v>116.40378548895899</c:v>
                </c:pt>
                <c:pt idx="2">
                  <c:v>70.18348623853211</c:v>
                </c:pt>
                <c:pt idx="3">
                  <c:v>64.43661971830986</c:v>
                </c:pt>
                <c:pt idx="4">
                  <c:v>116.53764954257565</c:v>
                </c:pt>
                <c:pt idx="5">
                  <c:v>116.8</c:v>
                </c:pt>
                <c:pt idx="6">
                  <c:v>83.45019090593544</c:v>
                </c:pt>
                <c:pt idx="7">
                  <c:v>102.36168455821635</c:v>
                </c:pt>
                <c:pt idx="8">
                  <c:v>109.6124031007752</c:v>
                </c:pt>
                <c:pt idx="9">
                  <c:v>51.91011235955056</c:v>
                </c:pt>
                <c:pt idx="10">
                  <c:v>73.14840499306518</c:v>
                </c:pt>
                <c:pt idx="11">
                  <c:v>127.23214285714286</c:v>
                </c:pt>
                <c:pt idx="12">
                  <c:v>185.23809523809524</c:v>
                </c:pt>
                <c:pt idx="13">
                  <c:v>69.30860033726813</c:v>
                </c:pt>
                <c:pt idx="14">
                  <c:v>129.87428571428572</c:v>
                </c:pt>
                <c:pt idx="15">
                  <c:v>105.6</c:v>
                </c:pt>
                <c:pt idx="16">
                  <c:v>96.37113402061856</c:v>
                </c:pt>
                <c:pt idx="17">
                  <c:v>149.26458157227387</c:v>
                </c:pt>
                <c:pt idx="18">
                  <c:v>82.90292177191328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散布図!$AQ$8:$AQ$67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109.25811506173572</c:v>
                </c:pt>
                <c:pt idx="5">
                  <c:v>108.19661844228943</c:v>
                </c:pt>
                <c:pt idx="6">
                  <c:v>106.48628255257557</c:v>
                </c:pt>
                <c:pt idx="7">
                  <c:v>105.5199126114411</c:v>
                </c:pt>
                <c:pt idx="8">
                  <c:v>105.27874024037102</c:v>
                </c:pt>
                <c:pt idx="9">
                  <c:v>104.82956951103425</c:v>
                </c:pt>
                <c:pt idx="10">
                  <c:v>102.19941536738331</c:v>
                </c:pt>
                <c:pt idx="11">
                  <c:v>102.10123607448666</c:v>
                </c:pt>
                <c:pt idx="12">
                  <c:v>100.77903963067155</c:v>
                </c:pt>
                <c:pt idx="13">
                  <c:v>100.53479201324765</c:v>
                </c:pt>
                <c:pt idx="14">
                  <c:v>100.54560159272768</c:v>
                </c:pt>
                <c:pt idx="15">
                  <c:v>99.0427992117129</c:v>
                </c:pt>
                <c:pt idx="16">
                  <c:v>90.9750925905042</c:v>
                </c:pt>
                <c:pt idx="17">
                  <c:v>90.76031955021183</c:v>
                </c:pt>
                <c:pt idx="18">
                  <c:v>85.53848561318566</c:v>
                </c:pt>
              </c:numCache>
            </c:num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146.66177155707118</c:v>
                </c:pt>
                <c:pt idx="1">
                  <c:v>96.6040089685315</c:v>
                </c:pt>
                <c:pt idx="2">
                  <c:v>131.04490021102978</c:v>
                </c:pt>
                <c:pt idx="3">
                  <c:v>128.1824773344137</c:v>
                </c:pt>
                <c:pt idx="4">
                  <c:v>82.50800954832064</c:v>
                </c:pt>
                <c:pt idx="5">
                  <c:v>89.76235104145006</c:v>
                </c:pt>
                <c:pt idx="6">
                  <c:v>120.21334891697963</c:v>
                </c:pt>
                <c:pt idx="7">
                  <c:v>95.03098129485993</c:v>
                </c:pt>
                <c:pt idx="8">
                  <c:v>86.58781937105334</c:v>
                </c:pt>
                <c:pt idx="9">
                  <c:v>160.21330038970882</c:v>
                </c:pt>
                <c:pt idx="10">
                  <c:v>133.25785675591538</c:v>
                </c:pt>
                <c:pt idx="11">
                  <c:v>81.8195904305488</c:v>
                </c:pt>
                <c:pt idx="12">
                  <c:v>60.24629206624098</c:v>
                </c:pt>
                <c:pt idx="13">
                  <c:v>115.10131008792217</c:v>
                </c:pt>
                <c:pt idx="14">
                  <c:v>74.64765281846198</c:v>
                </c:pt>
                <c:pt idx="15">
                  <c:v>98.81317753034124</c:v>
                </c:pt>
                <c:pt idx="16">
                  <c:v>102.27473325768686</c:v>
                </c:pt>
                <c:pt idx="17">
                  <c:v>69.50855316564756</c:v>
                </c:pt>
                <c:pt idx="18">
                  <c:v>126.82484924085423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散布図!$BE$8:$BE$67</c:f>
              <c:numCache>
                <c:formatCode>General</c:formatCode>
                <c:ptCount val="60"/>
                <c:pt idx="0">
                  <c:v>2769.925</c:v>
                </c:pt>
                <c:pt idx="1">
                  <c:v>1420.4458333333332</c:v>
                </c:pt>
                <c:pt idx="2">
                  <c:v>1974.395</c:v>
                </c:pt>
                <c:pt idx="3">
                  <c:v>1067.6</c:v>
                </c:pt>
                <c:pt idx="4">
                  <c:v>265.775</c:v>
                </c:pt>
                <c:pt idx="5">
                  <c:v>4000.8849999999993</c:v>
                </c:pt>
                <c:pt idx="6">
                  <c:v>145.58999999999997</c:v>
                </c:pt>
                <c:pt idx="7">
                  <c:v>1459.605</c:v>
                </c:pt>
                <c:pt idx="8">
                  <c:v>1799.6599999999999</c:v>
                </c:pt>
                <c:pt idx="9">
                  <c:v>3812.2999999999997</c:v>
                </c:pt>
                <c:pt idx="10">
                  <c:v>1151.245</c:v>
                </c:pt>
                <c:pt idx="11">
                  <c:v>1021.0149999999999</c:v>
                </c:pt>
                <c:pt idx="12">
                  <c:v>2293.64</c:v>
                </c:pt>
                <c:pt idx="13">
                  <c:v>1498.83</c:v>
                </c:pt>
                <c:pt idx="14">
                  <c:v>441.995</c:v>
                </c:pt>
                <c:pt idx="15">
                  <c:v>541.605</c:v>
                </c:pt>
                <c:pt idx="16">
                  <c:v>1391.025</c:v>
                </c:pt>
                <c:pt idx="17">
                  <c:v>844.9749999999999</c:v>
                </c:pt>
                <c:pt idx="18">
                  <c:v>487.53999999999996</c:v>
                </c:pt>
                <c:pt idx="19">
                  <c:v>1688.275</c:v>
                </c:pt>
                <c:pt idx="20">
                  <c:v>155.305</c:v>
                </c:pt>
                <c:pt idx="21">
                  <c:v>1735.8849999999998</c:v>
                </c:pt>
                <c:pt idx="22">
                  <c:v>586.3449999999999</c:v>
                </c:pt>
                <c:pt idx="23">
                  <c:v>815.6949999999999</c:v>
                </c:pt>
                <c:pt idx="24">
                  <c:v>2030.38</c:v>
                </c:pt>
                <c:pt idx="25">
                  <c:v>1681.2649999999999</c:v>
                </c:pt>
                <c:pt idx="26">
                  <c:v>2114.895</c:v>
                </c:pt>
                <c:pt idx="27">
                  <c:v>693.3799999999999</c:v>
                </c:pt>
                <c:pt idx="28">
                  <c:v>570.175</c:v>
                </c:pt>
              </c:numCache>
            </c:num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2028</c:v>
                </c:pt>
                <c:pt idx="1">
                  <c:v>1245</c:v>
                </c:pt>
                <c:pt idx="2">
                  <c:v>1535</c:v>
                </c:pt>
                <c:pt idx="3">
                  <c:v>810</c:v>
                </c:pt>
                <c:pt idx="4">
                  <c:v>210</c:v>
                </c:pt>
                <c:pt idx="5">
                  <c:v>3585</c:v>
                </c:pt>
                <c:pt idx="6">
                  <c:v>120</c:v>
                </c:pt>
                <c:pt idx="7">
                  <c:v>1346</c:v>
                </c:pt>
                <c:pt idx="8">
                  <c:v>1685</c:v>
                </c:pt>
                <c:pt idx="9">
                  <c:v>3589</c:v>
                </c:pt>
                <c:pt idx="10">
                  <c:v>1082</c:v>
                </c:pt>
                <c:pt idx="11">
                  <c:v>1001</c:v>
                </c:pt>
                <c:pt idx="12">
                  <c:v>2255</c:v>
                </c:pt>
                <c:pt idx="13">
                  <c:v>1490</c:v>
                </c:pt>
                <c:pt idx="14">
                  <c:v>450</c:v>
                </c:pt>
                <c:pt idx="15">
                  <c:v>552</c:v>
                </c:pt>
                <c:pt idx="16">
                  <c:v>1396</c:v>
                </c:pt>
                <c:pt idx="17">
                  <c:v>925</c:v>
                </c:pt>
                <c:pt idx="18">
                  <c:v>505</c:v>
                </c:pt>
                <c:pt idx="19">
                  <c:v>1876</c:v>
                </c:pt>
                <c:pt idx="20">
                  <c:v>202</c:v>
                </c:pt>
                <c:pt idx="21">
                  <c:v>1972</c:v>
                </c:pt>
                <c:pt idx="22">
                  <c:v>716</c:v>
                </c:pt>
                <c:pt idx="23">
                  <c:v>950</c:v>
                </c:pt>
                <c:pt idx="24">
                  <c:v>2510</c:v>
                </c:pt>
                <c:pt idx="25">
                  <c:v>2094</c:v>
                </c:pt>
                <c:pt idx="26">
                  <c:v>2665</c:v>
                </c:pt>
                <c:pt idx="27">
                  <c:v>1225</c:v>
                </c:pt>
                <c:pt idx="28">
                  <c:v>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136.58407297830374</c:v>
                </c:pt>
                <c:pt idx="1">
                  <c:v>114.09203480589021</c:v>
                </c:pt>
                <c:pt idx="2">
                  <c:v>128.62508143322475</c:v>
                </c:pt>
                <c:pt idx="3">
                  <c:v>131.80246913580245</c:v>
                </c:pt>
                <c:pt idx="4">
                  <c:v>126.5595238095238</c:v>
                </c:pt>
                <c:pt idx="5">
                  <c:v>111.60069735006972</c:v>
                </c:pt>
                <c:pt idx="6">
                  <c:v>121.32499999999997</c:v>
                </c:pt>
                <c:pt idx="7">
                  <c:v>108.44019316493313</c:v>
                </c:pt>
                <c:pt idx="8">
                  <c:v>106.8047477744807</c:v>
                </c:pt>
                <c:pt idx="9">
                  <c:v>106.22178879910837</c:v>
                </c:pt>
                <c:pt idx="10">
                  <c:v>106.39972273567466</c:v>
                </c:pt>
                <c:pt idx="11">
                  <c:v>101.99950049950048</c:v>
                </c:pt>
                <c:pt idx="12">
                  <c:v>101.71352549889134</c:v>
                </c:pt>
                <c:pt idx="13">
                  <c:v>100.59261744966443</c:v>
                </c:pt>
                <c:pt idx="14">
                  <c:v>98.22111111111111</c:v>
                </c:pt>
                <c:pt idx="15">
                  <c:v>98.11684782608697</c:v>
                </c:pt>
                <c:pt idx="16">
                  <c:v>99.64362464183381</c:v>
                </c:pt>
                <c:pt idx="17">
                  <c:v>91.34864864864863</c:v>
                </c:pt>
                <c:pt idx="18">
                  <c:v>96.54257425742574</c:v>
                </c:pt>
                <c:pt idx="19">
                  <c:v>89.99333688699362</c:v>
                </c:pt>
                <c:pt idx="20">
                  <c:v>76.88366336633663</c:v>
                </c:pt>
                <c:pt idx="21">
                  <c:v>88.02662271805272</c:v>
                </c:pt>
                <c:pt idx="22">
                  <c:v>81.8917597765363</c:v>
                </c:pt>
                <c:pt idx="23">
                  <c:v>85.86263157894736</c:v>
                </c:pt>
                <c:pt idx="24">
                  <c:v>80.89163346613546</c:v>
                </c:pt>
                <c:pt idx="25">
                  <c:v>80.2896370582617</c:v>
                </c:pt>
                <c:pt idx="26">
                  <c:v>79.35816135084428</c:v>
                </c:pt>
                <c:pt idx="27">
                  <c:v>56.60244897959183</c:v>
                </c:pt>
                <c:pt idx="28">
                  <c:v>74.63023560209423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散布図!$BJ$8:$BJ$67</c:f>
              <c:numCache>
                <c:formatCode>General</c:formatCod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numCache>
            </c:num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127.03460719829701</c:v>
                </c:pt>
                <c:pt idx="1">
                  <c:v>109.608647015599</c:v>
                </c:pt>
                <c:pt idx="2">
                  <c:v>120.67691021365592</c:v>
                </c:pt>
                <c:pt idx="3">
                  <c:v>119.7425901187512</c:v>
                </c:pt>
                <c:pt idx="4">
                  <c:v>111.28404540730916</c:v>
                </c:pt>
                <c:pt idx="5">
                  <c:v>109.25811506173572</c:v>
                </c:pt>
                <c:pt idx="6">
                  <c:v>108.19661844228943</c:v>
                </c:pt>
                <c:pt idx="7">
                  <c:v>106.48628255257557</c:v>
                </c:pt>
                <c:pt idx="8">
                  <c:v>105.5199126114411</c:v>
                </c:pt>
                <c:pt idx="9">
                  <c:v>105.27874024037102</c:v>
                </c:pt>
                <c:pt idx="10">
                  <c:v>104.82956951103425</c:v>
                </c:pt>
                <c:pt idx="11">
                  <c:v>102.19941536738331</c:v>
                </c:pt>
                <c:pt idx="12">
                  <c:v>102.10123607448666</c:v>
                </c:pt>
                <c:pt idx="13">
                  <c:v>101.53055698910751</c:v>
                </c:pt>
                <c:pt idx="14">
                  <c:v>100.77903963067155</c:v>
                </c:pt>
                <c:pt idx="15">
                  <c:v>100.53479201324765</c:v>
                </c:pt>
                <c:pt idx="16">
                  <c:v>100.54560159272768</c:v>
                </c:pt>
                <c:pt idx="17">
                  <c:v>99.23412966546182</c:v>
                </c:pt>
                <c:pt idx="18">
                  <c:v>99.0427992117129</c:v>
                </c:pt>
                <c:pt idx="19">
                  <c:v>94.65110162100073</c:v>
                </c:pt>
                <c:pt idx="20">
                  <c:v>93.27565646093761</c:v>
                </c:pt>
                <c:pt idx="21">
                  <c:v>93.41118109614357</c:v>
                </c:pt>
                <c:pt idx="22">
                  <c:v>90.9750925905042</c:v>
                </c:pt>
                <c:pt idx="23">
                  <c:v>90.76031955021183</c:v>
                </c:pt>
                <c:pt idx="24">
                  <c:v>88.91290688944902</c:v>
                </c:pt>
                <c:pt idx="25">
                  <c:v>88.53337654701247</c:v>
                </c:pt>
                <c:pt idx="26">
                  <c:v>87.51745426620545</c:v>
                </c:pt>
                <c:pt idx="27">
                  <c:v>85.92335307408533</c:v>
                </c:pt>
                <c:pt idx="28">
                  <c:v>85.53848561318566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1" name="Tbl_PK" displayName="Tbl_PK" ref="A6:R66" headerRowCount="1" totalsRowShown="0">
  <autoFilter ref="A6:R66"/>
  <tableColumns count="18">
    <tableColumn id="1" name="順位"/>
    <tableColumn id="2" name="担当者名"/>
    <tableColumn id="3" name="件数"/>
    <tableColumn id="4" name="時間&#10;(分)"/>
    <tableColumn id="5" name="企業数"/>
    <tableColumn id="6" name="件/社"/>
    <tableColumn id="7" name="素の&#10;秒/件"/>
    <tableColumn id="8" name="段取り&#10;(分)"/>
    <tableColumn id="9" name="標準時間&#10;(分)"/>
    <tableColumn id="10" name="段取り&#10;比率"/>
    <tableColumn id="11" name="効率&#10;%"/>
    <tableColumn id="12" name="縮小後&#10;効率%"/>
    <tableColumn id="13" name="下限&#10;95%"/>
    <tableColumn id="14" name="上限&#10;95%"/>
    <tableColumn id="15" name="判定"/>
    <tableColumn id="16" name="純速度&#10;秒/件"/>
    <tableColumn id="17" name="公平目標&#10;分/個"/>
    <tableColumn id="18" name="目標達成率&#10;%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Tbl_KP" displayName="Tbl_KP" ref="A6:R66" headerRowCount="1" totalsRowShown="0">
  <autoFilter ref="A6:R66"/>
  <tableColumns count="18">
    <tableColumn id="1" name="順位"/>
    <tableColumn id="2" name="担当者名"/>
    <tableColumn id="3" name="件数"/>
    <tableColumn id="4" name="時間&#10;(分)"/>
    <tableColumn id="5" name="企業数"/>
    <tableColumn id="6" name="件/社"/>
    <tableColumn id="7" name="素の&#10;秒/件"/>
    <tableColumn id="8" name="段取り&#10;(分)"/>
    <tableColumn id="9" name="標準時間&#10;(分)"/>
    <tableColumn id="10" name="段取り&#10;比率"/>
    <tableColumn id="11" name="効率&#10;%"/>
    <tableColumn id="12" name="縮小後&#10;効率%"/>
    <tableColumn id="13" name="下限&#10;95%"/>
    <tableColumn id="14" name="上限&#10;95%"/>
    <tableColumn id="15" name="判定"/>
    <tableColumn id="16" name="純速度&#10;秒/件"/>
    <tableColumn id="17" name="公平目標&#10;分/個"/>
    <tableColumn id="18" name="目標達成率&#10;%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76" t="s">
        <v>2</v>
      </c>
      <c r="H2" s="74"/>
      <c r="I2" s="74"/>
      <c r="J2" s="75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8" t="s">
        <v>30</v>
      </c>
      <c r="H3" s="74"/>
      <c r="I3" s="74"/>
      <c r="J3" s="75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131.7530864197531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184.93506493506493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114.71400394477318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153.47441323585994</v>
      </c>
      <c r="Z4">
        <f>IF(OR(ピッキング!$E$8="",ピッキング!$C$8=""),"",ピッキング!$E$8/ピッキング!$C$8)</f>
        <v>0.57594936708860756</v>
      </c>
      <c r="AA4">
        <f>IF(ピッキング!$G$8="","",ピッキング!$G$8)</f>
        <v>94.556962025316452</v>
      </c>
      <c r="AB4">
        <f>IF(ピッキング!$P$8="","",ピッキング!$P$8)</f>
        <v>62.274999999999999</v>
      </c>
      <c r="AD4">
        <f t="shared" si="0"/>
        <v>1</v>
      </c>
      <c r="AE4">
        <f>IF(AD4=1,SUM($AD$3:AD4),"")</f>
        <v>2</v>
      </c>
      <c r="AF4">
        <f t="shared" si="1"/>
        <v>0.57594936708860756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0.57594936708860756</v>
      </c>
      <c r="AL4">
        <f t="shared" si="5"/>
        <v>62.274999999999999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105.33333333333334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148.98360655737704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104.24962852897475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138.5109489051095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102.25407166123779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136.7843137254902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9" t="s">
        <v>45</v>
      </c>
      <c r="C8" s="80"/>
      <c r="D8" s="80"/>
      <c r="E8" s="80"/>
      <c r="F8" s="80"/>
      <c r="G8" s="80"/>
      <c r="H8" s="80"/>
      <c r="I8" s="80"/>
      <c r="J8" s="80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101.5261044176707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131.24004550625713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100.70240295748616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115.79809004092772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9" t="s">
        <v>46</v>
      </c>
      <c r="C10" s="67"/>
      <c r="D10" s="67"/>
      <c r="E10" s="67"/>
      <c r="F10" s="69" t="s">
        <v>47</v>
      </c>
      <c r="G10" s="67"/>
      <c r="H10" s="67"/>
      <c r="I10" s="67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94.91223181944831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115.03868230596457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68">
        <f>ピッキング!$T$10+梱包!$T$10</f>
        <v>45716</v>
      </c>
      <c r="C11" s="67"/>
      <c r="D11" s="67"/>
      <c r="E11" s="67"/>
      <c r="F11" s="82">
        <f>IFERROR((ピッキング!$T$14+梱包!$T$14)/(ピッキング!$T$12+梱包!$T$12)*100,"")</f>
        <v>100.0345895569223</v>
      </c>
      <c r="G11" s="67"/>
      <c r="H11" s="67"/>
      <c r="I11" s="67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92.95238095238096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99.61489088575097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2">
        <v>0.29399999999999998</v>
      </c>
      <c r="C12" s="67"/>
      <c r="D12" s="67"/>
      <c r="E12" s="67"/>
      <c r="F12" s="66">
        <v>6.7000000000000004E-2</v>
      </c>
      <c r="G12" s="67"/>
      <c r="H12" s="67"/>
      <c r="I12" s="67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90.84563758389262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93.78509196515006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0" t="s">
        <v>48</v>
      </c>
      <c r="C13" s="67"/>
      <c r="D13" s="67"/>
      <c r="E13" s="67"/>
      <c r="F13" s="70" t="s">
        <v>49</v>
      </c>
      <c r="G13" s="67"/>
      <c r="H13" s="67"/>
      <c r="I13" s="67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89.57322175732219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89.35311572700297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87.58132956152758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9" t="s">
        <v>50</v>
      </c>
      <c r="C15" s="67"/>
      <c r="D15" s="67"/>
      <c r="E15" s="67"/>
      <c r="F15" s="69" t="s">
        <v>51</v>
      </c>
      <c r="G15" s="67"/>
      <c r="H15" s="67"/>
      <c r="I15" s="67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81.15942028985508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82.47154471544717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3">
        <f>IFERROR(ピッキング!$T$13/ピッキング!$T$12,"")</f>
        <v>0.33557881551953839</v>
      </c>
      <c r="C16" s="67"/>
      <c r="D16" s="67"/>
      <c r="E16" s="67"/>
      <c r="F16" s="77">
        <f>IFERROR((ピッキング!$T$12+梱包!$T$12)/60,"")</f>
        <v>1327.8333333333333</v>
      </c>
      <c r="G16" s="67"/>
      <c r="H16" s="67"/>
      <c r="I16" s="67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81.09977827050999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82.37681159420289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71">
        <v>9.5000000000000001E-2</v>
      </c>
      <c r="C17" s="67"/>
      <c r="D17" s="67"/>
      <c r="E17" s="67"/>
      <c r="F17" s="72">
        <v>0.23799999999999999</v>
      </c>
      <c r="G17" s="67"/>
      <c r="H17" s="67"/>
      <c r="I17" s="67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0" t="s">
        <v>52</v>
      </c>
      <c r="C18" s="67"/>
      <c r="D18" s="67"/>
      <c r="E18" s="67"/>
      <c r="F18" s="70" t="s">
        <v>53</v>
      </c>
      <c r="G18" s="67"/>
      <c r="H18" s="67"/>
      <c r="I18" s="67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75.45263157894738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74.86033519553072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73.91763463569166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64.31532449881074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73.85927505330491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51.82519280205655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0.44619484631464695</v>
      </c>
      <c r="D23" s="11" t="s">
        <v>58</v>
      </c>
      <c r="E23" s="13">
        <f>散布図!$C$14</f>
        <v>1.5259395954694794E-2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71.95675675675676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71.07368421052632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67.99188640973631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66.76172607879926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56.75392670157068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52.27722772277228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0.14617090477012673</v>
      </c>
      <c r="D49" s="11" t="s">
        <v>58</v>
      </c>
      <c r="E49" s="16">
        <f>散布図!$C$23</f>
        <v>0.44928513783822099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81" t="s">
        <v>76</v>
      </c>
      <c r="H106" s="80"/>
      <c r="I106" s="80"/>
      <c r="J106" s="80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481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73" t="s">
        <v>86</v>
      </c>
      <c r="F152" s="74"/>
      <c r="G152" s="74"/>
      <c r="H152" s="74"/>
      <c r="I152" s="74"/>
      <c r="J152" s="75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64" t="s">
        <v>88</v>
      </c>
      <c r="F153" s="65"/>
      <c r="G153" s="65"/>
      <c r="H153" s="65"/>
      <c r="I153" s="65"/>
      <c r="J153" s="65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64" t="s">
        <v>90</v>
      </c>
      <c r="F154" s="65"/>
      <c r="G154" s="65"/>
      <c r="H154" s="65"/>
      <c r="I154" s="65"/>
      <c r="J154" s="65"/>
    </row>
    <row r="155" spans="2:10" x14ac:dyDescent="0.15">
      <c r="B155" s="25" t="s">
        <v>91</v>
      </c>
      <c r="C155" s="26">
        <f>ピッキング!$T$11</f>
        <v>9094</v>
      </c>
      <c r="D155" s="26">
        <f>梱包!$T$11</f>
        <v>7099</v>
      </c>
      <c r="E155" s="64" t="s">
        <v>92</v>
      </c>
      <c r="F155" s="65"/>
      <c r="G155" s="65"/>
      <c r="H155" s="65"/>
      <c r="I155" s="65"/>
      <c r="J155" s="65"/>
    </row>
    <row r="156" spans="2:10" x14ac:dyDescent="0.15">
      <c r="B156" s="25" t="s">
        <v>93</v>
      </c>
      <c r="C156" s="27">
        <f>ピッキング!$T$16</f>
        <v>2.3365955575104462</v>
      </c>
      <c r="D156" s="27">
        <f>梱包!$T$16</f>
        <v>3.4465417664459781</v>
      </c>
      <c r="E156" s="64" t="s">
        <v>94</v>
      </c>
      <c r="F156" s="65"/>
      <c r="G156" s="65"/>
      <c r="H156" s="65"/>
      <c r="I156" s="65"/>
      <c r="J156" s="65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648.11666666666667</v>
      </c>
      <c r="E157" s="64" t="s">
        <v>96</v>
      </c>
      <c r="F157" s="65"/>
      <c r="G157" s="65"/>
      <c r="H157" s="65"/>
      <c r="I157" s="65"/>
      <c r="J157" s="65"/>
    </row>
    <row r="158" spans="2:10" x14ac:dyDescent="0.15">
      <c r="B158" s="25" t="s">
        <v>97</v>
      </c>
      <c r="C158" s="28">
        <f>IFERROR(ピッキング!$T$13/60,"")</f>
        <v>228.0985138888889</v>
      </c>
      <c r="D158" s="28">
        <f>IFERROR(梱包!$T$13/60,"")</f>
        <v>181.61608333333331</v>
      </c>
      <c r="E158" s="64" t="s">
        <v>98</v>
      </c>
      <c r="F158" s="65"/>
      <c r="G158" s="65"/>
      <c r="H158" s="65"/>
      <c r="I158" s="65"/>
      <c r="J158" s="65"/>
    </row>
    <row r="159" spans="2:10" x14ac:dyDescent="0.15">
      <c r="B159" s="29" t="s">
        <v>50</v>
      </c>
      <c r="C159" s="30">
        <f>ピッキング!$T$15</f>
        <v>0.33826072522746486</v>
      </c>
      <c r="D159" s="30">
        <f>梱包!$T$15</f>
        <v>0.2777152484859029</v>
      </c>
      <c r="E159" s="64" t="s">
        <v>99</v>
      </c>
      <c r="F159" s="65"/>
      <c r="G159" s="65"/>
      <c r="H159" s="65"/>
      <c r="I159" s="65"/>
      <c r="J159" s="65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95.361916050190047</v>
      </c>
      <c r="E160" s="64" t="s">
        <v>101</v>
      </c>
      <c r="F160" s="65"/>
      <c r="G160" s="65"/>
      <c r="H160" s="65"/>
      <c r="I160" s="65"/>
      <c r="J160" s="65"/>
    </row>
    <row r="161" spans="2:10" x14ac:dyDescent="0.15">
      <c r="B161" s="29" t="s">
        <v>102</v>
      </c>
      <c r="C161" s="31">
        <f>ピッキング!$T$3</f>
        <v>102.59731598413305</v>
      </c>
      <c r="D161" s="31">
        <f>梱包!$T$3</f>
        <v>109.44372058095747</v>
      </c>
      <c r="E161" s="64" t="s">
        <v>103</v>
      </c>
      <c r="F161" s="65"/>
      <c r="G161" s="65"/>
      <c r="H161" s="65"/>
      <c r="I161" s="65"/>
      <c r="J161" s="65"/>
    </row>
    <row r="162" spans="2:10" x14ac:dyDescent="0.15">
      <c r="B162" s="25" t="s">
        <v>486</v>
      </c>
      <c r="C162" s="26">
        <f>ピッキング!$T$6</f>
        <v>7</v>
      </c>
      <c r="D162" s="26">
        <f>梱包!$T$6</f>
        <v>8</v>
      </c>
      <c r="E162" s="64" t="s">
        <v>487</v>
      </c>
      <c r="F162" s="65"/>
      <c r="G162" s="65"/>
      <c r="H162" s="65"/>
      <c r="I162" s="65"/>
      <c r="J162" s="65"/>
    </row>
    <row r="163" spans="2:10" x14ac:dyDescent="0.15">
      <c r="B163" s="25" t="s">
        <v>488</v>
      </c>
      <c r="C163" s="26">
        <f>ピッキング!$T$7</f>
        <v>3</v>
      </c>
      <c r="D163" s="26">
        <f>梱包!$T$7</f>
        <v>3</v>
      </c>
      <c r="E163" s="64" t="s">
        <v>489</v>
      </c>
      <c r="F163" s="65"/>
      <c r="G163" s="65"/>
      <c r="H163" s="65"/>
      <c r="I163" s="65"/>
      <c r="J163" s="65"/>
    </row>
    <row r="164" spans="2:10" x14ac:dyDescent="0.15">
      <c r="B164" s="25" t="s">
        <v>490</v>
      </c>
      <c r="C164" s="26">
        <f>ピッキング!$T$8</f>
        <v>4</v>
      </c>
      <c r="D164" s="26">
        <f>梱包!$T$8</f>
        <v>4</v>
      </c>
      <c r="E164" s="64" t="s">
        <v>491</v>
      </c>
      <c r="F164" s="65"/>
      <c r="G164" s="65"/>
      <c r="H164" s="65"/>
      <c r="I164" s="65"/>
      <c r="J164" s="65"/>
    </row>
    <row r="165" spans="2:10" x14ac:dyDescent="0.15">
      <c r="B165" s="25" t="s">
        <v>492</v>
      </c>
      <c r="C165" s="26">
        <f>ピッキング!$T$9</f>
        <v>15</v>
      </c>
      <c r="D165" s="26">
        <f>梱包!$T$9</f>
        <v>4</v>
      </c>
      <c r="E165" s="64" t="s">
        <v>493</v>
      </c>
      <c r="F165" s="65"/>
      <c r="G165" s="65"/>
      <c r="H165" s="65"/>
      <c r="I165" s="65"/>
      <c r="J165" s="65"/>
    </row>
    <row r="166" spans="2:10" x14ac:dyDescent="0.15">
      <c r="B166" s="3" t="s">
        <v>110</v>
      </c>
    </row>
    <row r="234" spans="2:2" x14ac:dyDescent="0.15">
      <c r="B234" s="3" t="s">
        <v>494</v>
      </c>
    </row>
    <row r="235" spans="2:2" x14ac:dyDescent="0.15">
      <c r="B235" s="3" t="s">
        <v>112</v>
      </c>
    </row>
  </sheetData>
  <mergeCells count="33">
    <mergeCell ref="B16:E16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63"/>
  <sheetViews>
    <sheetView showGridLines="0" topLeftCell="A12" zoomScaleNormal="100" workbookViewId="0">
      <selection activeCell="B63" sqref="B63:AA6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113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T1" s="86" t="s">
        <v>114</v>
      </c>
      <c r="U1" s="80"/>
      <c r="V1" s="80"/>
      <c r="W1" s="80"/>
      <c r="X1" s="80"/>
      <c r="Y1" s="80"/>
      <c r="Z1" s="80"/>
      <c r="AA1" s="80"/>
    </row>
    <row r="2" spans="2:27" ht="6" customHeight="1" x14ac:dyDescent="0.15"/>
    <row r="3" spans="2:27" ht="20.100000000000001" customHeight="1" x14ac:dyDescent="0.15">
      <c r="B3" s="85" t="str">
        <f>"① 個人別 総合達成率（全員 "&amp;COUNT(印刷用データ!$AS$3:$AS$62)&amp;"名）"</f>
        <v>① 個人別 総合達成率（全員 29名）</v>
      </c>
      <c r="C3" s="85"/>
      <c r="D3" s="85"/>
      <c r="E3" s="85"/>
      <c r="F3" s="85"/>
      <c r="G3" s="85"/>
      <c r="H3" s="85"/>
      <c r="I3" s="85"/>
      <c r="J3" s="85"/>
      <c r="K3" s="85"/>
      <c r="L3" s="63"/>
      <c r="M3" s="85" t="str">
        <f>"④ 改善優先順位（全員 "&amp;COUNT(印刷用データ!$AS$3:$AS$62)&amp;"名）"</f>
        <v>④ 改善優先順位（全員 29名）</v>
      </c>
      <c r="N3" s="85"/>
      <c r="O3" s="85"/>
      <c r="P3" s="85"/>
      <c r="Q3" s="85"/>
      <c r="R3" s="85"/>
      <c r="T3" s="85" t="str">
        <f>"② ピッキング・梱包 内訳比較（改善優先 上位 "&amp;MIN(20,COUNT(印刷用データ!$AS$3:$AS$62))&amp;"名）"</f>
        <v>② ピッキング・梱包 内訳比較（改善優先 上位 20名）</v>
      </c>
      <c r="U3" s="80"/>
      <c r="V3" s="80"/>
      <c r="W3" s="80"/>
      <c r="X3" s="80"/>
      <c r="Y3" s="80"/>
      <c r="Z3" s="80"/>
      <c r="AA3" s="80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115</v>
      </c>
      <c r="O4" s="32" t="s">
        <v>116</v>
      </c>
      <c r="P4" s="32" t="s">
        <v>117</v>
      </c>
      <c r="Q4" s="32" t="s">
        <v>118</v>
      </c>
      <c r="R4" s="32" t="s">
        <v>119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5" t="str">
        <f>"③ 改善優先度マトリクス（全員 "&amp;COUNT(印刷用データ!$AS$3:$AS$62)&amp;"名）"</f>
        <v>③ 改善優先度マトリクス（全員 29名）</v>
      </c>
      <c r="U17" s="80"/>
      <c r="V17" s="80"/>
      <c r="W17" s="80"/>
      <c r="X17" s="80"/>
      <c r="Y17" s="80"/>
      <c r="Z17" s="80"/>
      <c r="AA17" s="80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104.36744107744107</v>
      </c>
      <c r="Q24" s="36">
        <f t="shared" si="0"/>
        <v>4.3674410774410717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4" t="s">
        <v>120</v>
      </c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</row>
    <row r="62" spans="2:27" ht="15.95" customHeight="1" x14ac:dyDescent="0.35">
      <c r="B62" s="84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</row>
    <row r="63" spans="2:27" ht="15.95" customHeight="1" x14ac:dyDescent="0.35">
      <c r="B63" s="84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7" priority="1" stopIfTrue="1">
      <formula>$M5=""</formula>
    </cfRule>
    <cfRule type="expression" dxfId="6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H12" sqref="H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121</v>
      </c>
    </row>
    <row r="3" spans="1:12" x14ac:dyDescent="0.15">
      <c r="B3" s="3" t="s">
        <v>122</v>
      </c>
    </row>
    <row r="4" spans="1:12" x14ac:dyDescent="0.15">
      <c r="B4" s="3" t="s">
        <v>123</v>
      </c>
    </row>
    <row r="6" spans="1:12" x14ac:dyDescent="0.15">
      <c r="B6" s="7" t="s">
        <v>124</v>
      </c>
    </row>
    <row r="8" spans="1:12" x14ac:dyDescent="0.15">
      <c r="C8" s="88" t="s">
        <v>84</v>
      </c>
      <c r="D8" s="80"/>
      <c r="E8" s="80"/>
      <c r="F8" s="80"/>
      <c r="G8" s="89" t="s">
        <v>85</v>
      </c>
      <c r="H8" s="80"/>
      <c r="I8" s="80"/>
      <c r="J8" s="80"/>
    </row>
    <row r="9" spans="1:12" ht="32.1" customHeight="1" x14ac:dyDescent="0.15">
      <c r="A9" s="20" t="s">
        <v>125</v>
      </c>
      <c r="B9" s="20" t="s">
        <v>126</v>
      </c>
      <c r="C9" s="20" t="s">
        <v>127</v>
      </c>
      <c r="D9" s="20" t="s">
        <v>128</v>
      </c>
      <c r="E9" s="20" t="s">
        <v>129</v>
      </c>
      <c r="F9" s="20" t="s">
        <v>130</v>
      </c>
      <c r="G9" s="20" t="s">
        <v>127</v>
      </c>
      <c r="H9" s="20" t="s">
        <v>128</v>
      </c>
      <c r="I9" s="20" t="s">
        <v>129</v>
      </c>
      <c r="J9" s="20" t="s">
        <v>130</v>
      </c>
      <c r="L9" s="9" t="s">
        <v>131</v>
      </c>
    </row>
    <row r="10" spans="1:12" x14ac:dyDescent="0.15">
      <c r="A10" s="41">
        <f>IF(B10="","",COUNTA($B$10:B10))</f>
        <v>1</v>
      </c>
      <c r="B10" s="42" t="s">
        <v>132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133</v>
      </c>
    </row>
    <row r="11" spans="1:12" x14ac:dyDescent="0.15">
      <c r="A11" s="41">
        <f>IF(B11="","",COUNTA($B$10:B11))</f>
        <v>2</v>
      </c>
      <c r="B11" s="42" t="s">
        <v>134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135</v>
      </c>
    </row>
    <row r="12" spans="1:12" x14ac:dyDescent="0.15">
      <c r="A12" s="41">
        <f>IF(B12="","",COUNTA($B$10:B12))</f>
        <v>3</v>
      </c>
      <c r="B12" s="42" t="s">
        <v>136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137</v>
      </c>
    </row>
    <row r="13" spans="1:12" x14ac:dyDescent="0.15">
      <c r="A13" s="41">
        <f>IF(B13="","",COUNTA($B$10:B13))</f>
        <v>4</v>
      </c>
      <c r="B13" s="42" t="s">
        <v>138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139</v>
      </c>
    </row>
    <row r="14" spans="1:12" x14ac:dyDescent="0.15">
      <c r="A14" s="41">
        <f>IF(B14="","",COUNTA($B$10:B14))</f>
        <v>5</v>
      </c>
      <c r="B14" s="42" t="s">
        <v>140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141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142</v>
      </c>
    </row>
    <row r="16" spans="1:12" x14ac:dyDescent="0.15">
      <c r="A16" s="41">
        <f>IF(B16="","",COUNTA($B$10:B16))</f>
        <v>7</v>
      </c>
      <c r="B16" s="42" t="s">
        <v>143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144</v>
      </c>
    </row>
    <row r="17" spans="1:12" x14ac:dyDescent="0.15">
      <c r="A17" s="41">
        <f>IF(B17="","",COUNTA($B$10:B17))</f>
        <v>8</v>
      </c>
      <c r="B17" s="42" t="s">
        <v>145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146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147</v>
      </c>
    </row>
    <row r="19" spans="1:12" x14ac:dyDescent="0.15">
      <c r="A19" s="41">
        <f>IF(B19="","",COUNTA($B$10:B19))</f>
        <v>10</v>
      </c>
      <c r="B19" s="42" t="s">
        <v>148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149</v>
      </c>
    </row>
    <row r="20" spans="1:12" x14ac:dyDescent="0.15">
      <c r="A20" s="41">
        <f>IF(B20="","",COUNTA($B$10:B20))</f>
        <v>11</v>
      </c>
      <c r="B20" s="42" t="s">
        <v>150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151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152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153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154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155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156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157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158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159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160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161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162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163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164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165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166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167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168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 activeCell="B5" sqref="B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169</v>
      </c>
      <c r="S2" s="9" t="s">
        <v>170</v>
      </c>
    </row>
    <row r="3" spans="1:21" ht="14.25" x14ac:dyDescent="0.15">
      <c r="B3" s="3" t="s">
        <v>171</v>
      </c>
      <c r="S3" s="45" t="s">
        <v>102</v>
      </c>
      <c r="T3" s="46">
        <f>IFERROR(SUM(U7:U66)/SUMIF(I7:I66,"&gt;0",C7:C66),"")</f>
        <v>102.59731598413305</v>
      </c>
    </row>
    <row r="4" spans="1:21" x14ac:dyDescent="0.15">
      <c r="B4" s="3" t="s">
        <v>172</v>
      </c>
      <c r="S4" s="47" t="s">
        <v>173</v>
      </c>
      <c r="T4" s="21"/>
    </row>
    <row r="5" spans="1:21" x14ac:dyDescent="0.15">
      <c r="B5" s="7" t="s">
        <v>124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47" t="inlineStr">
        <is>
          <t>◎ 達成</t>
        </is>
      </c>
      <c r="T6" s="26">
        <f>COUNTIF(O7:O66,"◎達成")</f>
        <v>7</v>
      </c>
    </row>
    <row r="7" spans="1:21" x14ac:dyDescent="0.15">
      <c r="A7" s="48">
        <f t="shared" ref="A7:A38" si="0">IF(R7="","",RANK(R7,$R$7:$R$66,0))</f>
        <v>2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127.03460719829701</v>
      </c>
      <c r="M7" s="22">
        <f>IF(AND(K7&lt;&gt;"",ISNUMBER(入力!$F$10),入力!$F$10&gt;0),L7-設定!$C$21*SQRT((設定!$D$14/(設定!$D$14+設定!$D$15/入力!$F$10))*設定!$D$15/入力!$F$10),"")</f>
        <v>111.79720427430523</v>
      </c>
      <c r="N7" s="22">
        <f>IF(AND(K7&lt;&gt;"",ISNUMBER(入力!$F$10),入力!$F$10&gt;0),L7+設定!$C$21*SQRT((設定!$D$14/(設定!$D$14+設定!$D$15/入力!$F$10))*設定!$D$15/入力!$F$10),"")</f>
        <v>142.27201012228878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R7" s="22">
        <f>IF(C7="","",設定!$C$26*C7/D7*100)</f>
        <v>114.71400394477318</v>
      </c>
      <c r="S7" s="47" t="inlineStr">
        <is>
          <t>○ あと一歩</t>
        </is>
      </c>
      <c r="T7" s="26">
        <f>COUNTIF(O7:O66,"○あと一歩")</f>
        <v>3</v>
      </c>
      <c r="U7">
        <f t="shared" ref="U7:U38" si="8">IF(K7="",0,K7*C7)</f>
        <v>198593.24211045363</v>
      </c>
    </row>
    <row r="8" spans="1:21" x14ac:dyDescent="0.15">
      <c r="A8" s="48">
        <f t="shared" si="0"/>
        <v>6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455</v>
      </c>
      <c r="F8" s="27">
        <f t="shared" si="1"/>
        <v>1.7362637362637363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425.04583333333335</v>
      </c>
      <c r="I8" s="26">
        <f>IF(AND(入力!$B$11&lt;&gt;"",ISNUMBER(入力!$C$11),ISNUMBER(入力!$D$11),入力!$C$11&gt;0,入力!$D$11&gt;0),H8+設定!$E$7*C8/60,"")</f>
        <v>1420.4458333333332</v>
      </c>
      <c r="J8" s="49">
        <f t="shared" si="3"/>
        <v>0.29923410196915878</v>
      </c>
      <c r="K8" s="22">
        <f t="shared" si="4"/>
        <v>114.09203480589021</v>
      </c>
      <c r="L8" s="22">
        <f>IF(K8="","",IF(AND(K8&lt;&gt;"",ISNUMBER(入力!$F$11),入力!$F$11&gt;0),$T$3+(設定!$D$14/(設定!$D$14+設定!$D$15/入力!$F$11))*(K8-$T$3),K8))</f>
        <v>109.608647015599</v>
      </c>
      <c r="M8" s="22">
        <f>IF(AND(K8&lt;&gt;"",ISNUMBER(入力!$F$11),入力!$F$11&gt;0),L8-設定!$C$21*SQRT((設定!$D$14/(設定!$D$14+設定!$D$15/入力!$F$11))*設定!$D$15/入力!$F$11),"")</f>
        <v>91.655927207484282</v>
      </c>
      <c r="N8" s="22">
        <f>IF(AND(K8&lt;&gt;"",ISNUMBER(入力!$F$11),入力!$F$11&gt;0),L8+設定!$C$21*SQRT((設定!$D$14/(設定!$D$14+設定!$D$15/入力!$F$11))*設定!$D$15/入力!$F$11),"")</f>
        <v>127.56136682371373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6"/>
        <v>62.274999999999999</v>
      </c>
      <c r="Q8" s="27">
        <f t="shared" si="7"/>
        <v>1.7980327004219407</v>
      </c>
      <c r="R8" s="22">
        <f>IF(C8="","",設定!$C$26*C8/D8*100)</f>
        <v>101.5261044176707</v>
      </c>
      <c r="S8" s="47" t="inlineStr">
        <is>
          <t>△ 要改善</t>
        </is>
      </c>
      <c r="T8" s="26">
        <f>COUNTIF(O7:O66,"△要改善")</f>
        <v>4</v>
      </c>
      <c r="U8">
        <f t="shared" si="8"/>
        <v>90132.707496653267</v>
      </c>
    </row>
    <row r="9" spans="1:21" x14ac:dyDescent="0.15">
      <c r="A9" s="48">
        <f t="shared" si="0"/>
        <v>5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120.67691021365592</v>
      </c>
      <c r="M9" s="22">
        <f>IF(AND(K9&lt;&gt;"",ISNUMBER(入力!$F$12),入力!$F$12&gt;0),L9-設定!$C$21*SQRT((設定!$D$14/(設定!$D$14+設定!$D$15/入力!$F$12))*設定!$D$15/入力!$F$12),"")</f>
        <v>104.79175577784504</v>
      </c>
      <c r="N9" s="22">
        <f>IF(AND(K9&lt;&gt;"",ISNUMBER(入力!$F$12),入力!$F$12&gt;0),L9+設定!$C$21*SQRT((設定!$D$14/(設定!$D$14+設定!$D$15/入力!$F$12))*設定!$D$15/入力!$F$12),"")</f>
        <v>136.56206464946681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48.725688073394494</v>
      </c>
      <c r="Q9" s="27">
        <f t="shared" si="7"/>
        <v>2.0126350662589196</v>
      </c>
      <c r="R9" s="22">
        <f>IF(C9="","",設定!$C$26*C9/D9*100)</f>
        <v>102.25407166123779</v>
      </c>
      <c r="S9" s="47" t="inlineStr">
        <is>
          <t>✕ 要支援</t>
        </is>
      </c>
      <c r="T9" s="26">
        <f>COUNTIF(O7:O66,"✕要支援")</f>
        <v>15</v>
      </c>
      <c r="U9">
        <f t="shared" si="8"/>
        <v>126181.20488599347</v>
      </c>
    </row>
    <row r="10" spans="1:21" x14ac:dyDescent="0.15">
      <c r="A10" s="48">
        <f t="shared" si="0"/>
        <v>1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119.7425901187512</v>
      </c>
      <c r="M10" s="22">
        <f>IF(AND(K10&lt;&gt;"",ISNUMBER(入力!$F$13),入力!$F$13&gt;0),L10-設定!$C$21*SQRT((設定!$D$14/(設定!$D$14+設定!$D$15/入力!$F$13))*設定!$D$15/入力!$F$13),"")</f>
        <v>101.2704162350074</v>
      </c>
      <c r="N10" s="22">
        <f>IF(AND(K10&lt;&gt;"",ISNUMBER(入力!$F$13),入力!$F$13&gt;0),L10+設定!$C$21*SQRT((設定!$D$14/(設定!$D$14+設定!$D$15/入力!$F$13))*設定!$D$15/入力!$F$13),"")</f>
        <v>138.214764002495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52.427586206896557</v>
      </c>
      <c r="Q10" s="27">
        <f t="shared" si="7"/>
        <v>1.6005997001499248</v>
      </c>
      <c r="R10" s="22">
        <f>IF(C10="","",設定!$C$26*C10/D10*100)</f>
        <v>131.7530864197531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9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111.28404540730916</v>
      </c>
      <c r="M11" s="22">
        <f>IF(AND(K11&lt;&gt;"",ISNUMBER(入力!$F$14),入力!$F$14&gt;0),L11-設定!$C$21*SQRT((設定!$D$14/(設定!$D$14+設定!$D$15/入力!$F$14))*設定!$D$15/入力!$F$14),"")</f>
        <v>88.332587826000776</v>
      </c>
      <c r="N11" s="22">
        <f>IF(AND(K11&lt;&gt;"",ISNUMBER(入力!$F$14),入力!$F$14&gt;0),L11+設定!$C$21*SQRT((設定!$D$14/(設定!$D$14+設定!$D$15/入力!$F$14))*設定!$D$15/入力!$F$14),"")</f>
        <v>134.23550298861755</v>
      </c>
      <c r="O11" s="50" t="str">
        <f>IF(R11="","",IF(R11&gt;=設定!$D$31,"◎達成",IF(R11&gt;=設定!$D$32,"○あと一歩",IF(R11&gt;=設定!$D$33,"△要改善","✕要支援"))))</f>
        <v>○あと一歩</v>
      </c>
      <c r="P11" s="22">
        <f t="shared" si="6"/>
        <v>48.16967213114755</v>
      </c>
      <c r="Q11" s="27">
        <f t="shared" si="7"/>
        <v>2.1784836065573767</v>
      </c>
      <c r="R11" s="22">
        <f>IF(C11="","",設定!$C$26*C11/D11*100)</f>
        <v>92.95238095238096</v>
      </c>
      <c r="S11" s="47" t="s">
        <v>91</v>
      </c>
      <c r="T11" s="26">
        <f>SUMIF(I7:I66,"&gt;0",E7:E66)</f>
        <v>9094</v>
      </c>
      <c r="U11">
        <f t="shared" si="8"/>
        <v>15440.261904761903</v>
      </c>
    </row>
    <row r="12" spans="1:21" x14ac:dyDescent="0.15">
      <c r="A12" s="48">
        <f t="shared" si="0"/>
        <v>11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109.25811506173572</v>
      </c>
      <c r="M12" s="22">
        <f>IF(AND(K12&lt;&gt;"",ISNUMBER(入力!$F$15),入力!$F$15&gt;0),L12-設定!$C$21*SQRT((設定!$D$14/(設定!$D$14+設定!$D$15/入力!$F$15))*設定!$D$15/入力!$F$15),"")</f>
        <v>94.595181018662871</v>
      </c>
      <c r="N12" s="22">
        <f>IF(AND(K12&lt;&gt;"",ISNUMBER(入力!$F$15),入力!$F$15&gt;0),L12+設定!$C$21*SQRT((設定!$D$14/(設定!$D$14+設定!$D$15/入力!$F$15))*設定!$D$15/入力!$F$15),"")</f>
        <v>123.92104910480857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63.16696562032886</v>
      </c>
      <c r="Q12" s="27">
        <f t="shared" si="7"/>
        <v>1.9934653712007968</v>
      </c>
      <c r="R12" s="22">
        <f>IF(C12="","",設定!$C$26*C12/D12*100)</f>
        <v>89.57322175732219</v>
      </c>
      <c r="S12" s="47" t="s">
        <v>186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3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108.19661844228943</v>
      </c>
      <c r="M13" s="22">
        <f>IF(AND(K13&lt;&gt;"",ISNUMBER(入力!$F$16),入力!$F$16&gt;0),L13-設定!$C$21*SQRT((設定!$D$14/(設定!$D$14+設定!$D$15/入力!$F$16))*設定!$D$15/入力!$F$16),"")</f>
        <v>84.128627731744331</v>
      </c>
      <c r="N13" s="22">
        <f>IF(AND(K13&lt;&gt;"",ISNUMBER(入力!$F$16),入力!$F$16&gt;0),L13+設定!$C$21*SQRT((設定!$D$14/(設定!$D$14+設定!$D$15/入力!$F$16))*設定!$D$15/入力!$F$16),"")</f>
        <v>132.26460915283454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6"/>
        <v>56.164556962025316</v>
      </c>
      <c r="Q13" s="27">
        <f t="shared" si="7"/>
        <v>1.8429113924050631</v>
      </c>
      <c r="R13" s="22">
        <f>IF(C13="","",設定!$C$26*C13/D13*100)</f>
        <v>105.33333333333334</v>
      </c>
      <c r="S13" s="47" t="s">
        <v>187</v>
      </c>
      <c r="T13" s="26">
        <f>SUMIF(I7:I66,"&gt;0",H7:H66)</f>
        <v>13685.910833333333</v>
      </c>
      <c r="U13">
        <f t="shared" si="8"/>
        <v>9584.6749999999975</v>
      </c>
    </row>
    <row r="14" spans="1:21" x14ac:dyDescent="0.15">
      <c r="A14" s="48">
        <f t="shared" si="0"/>
        <v>4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106.48628255257557</v>
      </c>
      <c r="M14" s="22">
        <f>IF(AND(K14&lt;&gt;"",ISNUMBER(入力!$F$17),入力!$F$17&gt;0),L14-設定!$C$21*SQRT((設定!$D$14/(設定!$D$14+設定!$D$15/入力!$F$17))*設定!$D$15/入力!$F$17),"")</f>
        <v>89.863059064953177</v>
      </c>
      <c r="N14" s="22">
        <f>IF(AND(K14&lt;&gt;"",ISNUMBER(入力!$F$17),入力!$F$17&gt;0),L14+設定!$C$21*SQRT((設定!$D$14/(設定!$D$14+設定!$D$15/入力!$F$17))*設定!$D$15/入力!$F$17),"")</f>
        <v>123.10950604019797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67.827708095781063</v>
      </c>
      <c r="Q14" s="27">
        <f t="shared" si="7"/>
        <v>1.664315849486887</v>
      </c>
      <c r="R14" s="22">
        <f>IF(C14="","",設定!$C$26*C14/D14*100)</f>
        <v>104.24962852897475</v>
      </c>
      <c r="S14" s="47" t="s">
        <v>188</v>
      </c>
      <c r="T14" s="26">
        <f>SUM(I7:I66)</f>
        <v>40459.650833333326</v>
      </c>
      <c r="U14">
        <f t="shared" si="8"/>
        <v>95102.049405646365</v>
      </c>
    </row>
    <row r="15" spans="1:21" x14ac:dyDescent="0.15">
      <c r="A15" s="48">
        <f t="shared" si="0"/>
        <v>12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105.5199126114411</v>
      </c>
      <c r="M15" s="22">
        <f>IF(AND(K15&lt;&gt;"",ISNUMBER(入力!$F$18),入力!$F$18&gt;0),L15-設定!$C$21*SQRT((設定!$D$14/(設定!$D$14+設定!$D$15/入力!$F$18))*設定!$D$15/入力!$F$18),"")</f>
        <v>89.634758175630225</v>
      </c>
      <c r="N15" s="22">
        <f>IF(AND(K15&lt;&gt;"",ISNUMBER(入力!$F$18),入力!$F$18&gt;0),L15+設定!$C$21*SQRT((設定!$D$14/(設定!$D$14+設定!$D$15/入力!$F$18))*設定!$D$15/入力!$F$18),"")</f>
        <v>121.40506704725198</v>
      </c>
      <c r="O15" s="50" t="str">
        <f>IF(R15="","",IF(R15&gt;=設定!$D$31,"◎達成",IF(R15&gt;=設定!$D$32,"○あと一歩",IF(R15&gt;=設定!$D$33,"△要改善","✕要支援"))))</f>
        <v>△要改善</v>
      </c>
      <c r="P15" s="22">
        <f t="shared" si="6"/>
        <v>68.289054197662068</v>
      </c>
      <c r="Q15" s="27">
        <f t="shared" si="7"/>
        <v>1.9124973432518595</v>
      </c>
      <c r="R15" s="22">
        <f>IF(C15="","",設定!$C$26*C15/D15*100)</f>
        <v>89.35311572700297</v>
      </c>
      <c r="S15" s="47" t="s">
        <v>50</v>
      </c>
      <c r="T15" s="23">
        <f>IFERROR(T13/T14,"")</f>
        <v>0.33826072522746486</v>
      </c>
      <c r="U15">
        <f t="shared" si="8"/>
        <v>100503.26765578635</v>
      </c>
    </row>
    <row r="16" spans="1:21" x14ac:dyDescent="0.15">
      <c r="A16" s="48">
        <f t="shared" si="0"/>
        <v>8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105.27874024037102</v>
      </c>
      <c r="M16" s="22">
        <f>IF(AND(K16&lt;&gt;"",ISNUMBER(入力!$F$19),入力!$F$19&gt;0),L16-設定!$C$21*SQRT((設定!$D$14/(設定!$D$14+設定!$D$15/入力!$F$19))*設定!$D$15/入力!$F$19),"")</f>
        <v>90.61580619729817</v>
      </c>
      <c r="N16" s="22">
        <f>IF(AND(K16&lt;&gt;"",ISNUMBER(入力!$F$19),入力!$F$19&gt;0),L16+設定!$C$21*SQRT((設定!$D$14/(設定!$D$14+設定!$D$15/入力!$F$19))*設定!$D$15/入力!$F$19),"")</f>
        <v>119.94167428344387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6"/>
        <v>69.306904650070464</v>
      </c>
      <c r="Q16" s="27">
        <f t="shared" si="7"/>
        <v>1.7906528886801314</v>
      </c>
      <c r="R16" s="22">
        <f>IF(C16="","",設定!$C$26*C16/D16*100)</f>
        <v>94.91223181944831</v>
      </c>
      <c r="S16" s="47" t="s">
        <v>93</v>
      </c>
      <c r="T16" s="27">
        <f>IFERROR(T10/T11,"")</f>
        <v>2.3365955575104462</v>
      </c>
      <c r="U16">
        <f t="shared" si="8"/>
        <v>226146.18835330172</v>
      </c>
    </row>
    <row r="17" spans="1:21" x14ac:dyDescent="0.15">
      <c r="A17" s="48">
        <f t="shared" si="0"/>
        <v>7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104.82956951103425</v>
      </c>
      <c r="M17" s="22">
        <f>IF(AND(K17&lt;&gt;"",ISNUMBER(入力!$F$20),入力!$F$20&gt;0),L17-設定!$C$21*SQRT((設定!$D$14/(設定!$D$14+設定!$D$15/入力!$F$20))*設定!$D$15/入力!$F$20),"")</f>
        <v>86.357395627290458</v>
      </c>
      <c r="N17" s="22">
        <f>IF(AND(K17&lt;&gt;"",ISNUMBER(入力!$F$20),入力!$F$20&gt;0),L17+設定!$C$21*SQRT((設定!$D$14/(設定!$D$14+設定!$D$15/入力!$F$20))*設定!$D$15/入力!$F$20),"")</f>
        <v>123.30174339477804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69.499118942731286</v>
      </c>
      <c r="Q17" s="27">
        <f t="shared" si="7"/>
        <v>1.6905212922173274</v>
      </c>
      <c r="R17" s="22">
        <f>IF(C17="","",設定!$C$26*C17/D17*100)</f>
        <v>100.70240295748616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18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102.19941536738331</v>
      </c>
      <c r="M18" s="22">
        <f>IF(AND(K18&lt;&gt;"",ISNUMBER(入力!$F$21),入力!$F$21&gt;0),L18-設定!$C$21*SQRT((設定!$D$14/(設定!$D$14+設定!$D$15/入力!$F$21))*設定!$D$15/入力!$F$21),"")</f>
        <v>85.576191879760898</v>
      </c>
      <c r="N18" s="22">
        <f>IF(AND(K18&lt;&gt;"",ISNUMBER(入力!$F$21),入力!$F$21&gt;0),L18+設定!$C$21*SQRT((設定!$D$14/(設定!$D$14+設定!$D$15/入力!$F$21))*設定!$D$15/入力!$F$21),"")</f>
        <v>118.82263885500572</v>
      </c>
      <c r="O18" s="50" t="str">
        <f>IF(R18="","",IF(R18&gt;=設定!$D$31,"◎達成",IF(R18&gt;=設定!$D$32,"○あと一歩",IF(R18&gt;=設定!$D$33,"△要改善","✕要支援"))))</f>
        <v>✕要支援</v>
      </c>
      <c r="P18" s="22">
        <f t="shared" si="6"/>
        <v>73.033974358974348</v>
      </c>
      <c r="Q18" s="27">
        <f t="shared" si="7"/>
        <v>2.1816559829059825</v>
      </c>
      <c r="R18" s="22">
        <f>IF(C18="","",設定!$C$26*C18/D18*100)</f>
        <v>74.8051948051948</v>
      </c>
      <c r="U18">
        <f t="shared" si="8"/>
        <v>47735.766233766226</v>
      </c>
    </row>
    <row r="19" spans="1:21" x14ac:dyDescent="0.15">
      <c r="A19" s="48">
        <f t="shared" si="0"/>
        <v>14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102.10123607448666</v>
      </c>
      <c r="M19" s="22">
        <f>IF(AND(K19&lt;&gt;"",ISNUMBER(入力!$F$22),入力!$F$22&gt;0),L19-設定!$C$21*SQRT((設定!$D$14/(設定!$D$14+設定!$D$15/入力!$F$22))*設定!$D$15/入力!$F$22),"")</f>
        <v>83.061740444877231</v>
      </c>
      <c r="N19" s="22">
        <f>IF(AND(K19&lt;&gt;"",ISNUMBER(入力!$F$22),入力!$F$22&gt;0),L19+設定!$C$21*SQRT((設定!$D$14/(設定!$D$14+設定!$D$15/入力!$F$22))*設定!$D$15/入力!$F$22),"")</f>
        <v>121.1407317040961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6"/>
        <v>73.571653543307079</v>
      </c>
      <c r="Q19" s="27">
        <f t="shared" si="7"/>
        <v>2.0066841644794398</v>
      </c>
      <c r="R19" s="22">
        <f>IF(C19="","",設定!$C$26*C19/D19*100)</f>
        <v>81.09977827050999</v>
      </c>
      <c r="U19">
        <f t="shared" si="8"/>
        <v>116258.5596452328</v>
      </c>
    </row>
    <row r="20" spans="1:21" x14ac:dyDescent="0.15">
      <c r="A20" s="48">
        <f t="shared" si="0"/>
        <v>10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101.53055698910751</v>
      </c>
      <c r="M20" s="22">
        <f>IF(AND(K20&lt;&gt;"",ISNUMBER(入力!$F$23),入力!$F$23&gt;0),L20-設定!$C$21*SQRT((設定!$D$14/(設定!$D$14+設定!$D$15/入力!$F$23))*設定!$D$15/入力!$F$23),"")</f>
        <v>81.868037675878895</v>
      </c>
      <c r="N20" s="22">
        <f>IF(AND(K20&lt;&gt;"",ISNUMBER(入力!$F$23),入力!$F$23&gt;0),L20+設定!$C$21*SQRT((設定!$D$14/(設定!$D$14+設定!$D$15/入力!$F$23))*設定!$D$15/入力!$F$23),"")</f>
        <v>121.19307630233612</v>
      </c>
      <c r="O20" s="50" t="str">
        <f>IF(R20="","",IF(R20&gt;=設定!$D$31,"◎達成",IF(R20&gt;=設定!$D$32,"○あと一歩",IF(R20&gt;=設定!$D$33,"△要改善","✕要支援"))))</f>
        <v>○あと一歩</v>
      </c>
      <c r="P20" s="22">
        <f t="shared" si="6"/>
        <v>74.973758865248229</v>
      </c>
      <c r="Q20" s="27">
        <f t="shared" si="7"/>
        <v>1.7716666666666665</v>
      </c>
      <c r="R20" s="22">
        <f>IF(C20="","",設定!$C$26*C20/D20*100)</f>
        <v>90.84563758389262</v>
      </c>
      <c r="U20">
        <f t="shared" si="8"/>
        <v>85101.35436241611</v>
      </c>
    </row>
    <row r="21" spans="1:21" x14ac:dyDescent="0.15">
      <c r="A21" s="48">
        <f t="shared" si="0"/>
        <v>16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100.77903963067155</v>
      </c>
      <c r="M21" s="22">
        <f>IF(AND(K21&lt;&gt;"",ISNUMBER(入力!$F$24),入力!$F$24&gt;0),L21-設定!$C$21*SQRT((設定!$D$14/(設定!$D$14+設定!$D$15/入力!$F$24))*設定!$D$15/入力!$F$24),"")</f>
        <v>78.801875282570009</v>
      </c>
      <c r="N21" s="22">
        <f>IF(AND(K21&lt;&gt;"",ISNUMBER(入力!$F$24),入力!$F$24&gt;0),L21+設定!$C$21*SQRT((設定!$D$14/(設定!$D$14+設定!$D$15/入力!$F$24))*設定!$D$15/入力!$F$24),"")</f>
        <v>122.75620397877309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77.803211009174305</v>
      </c>
      <c r="Q21" s="27">
        <f t="shared" si="7"/>
        <v>2.0274999999999999</v>
      </c>
      <c r="R21" s="22">
        <f>IF(C21="","",設定!$C$26*C21/D21*100)</f>
        <v>77.5111111111111</v>
      </c>
      <c r="U21">
        <f t="shared" si="8"/>
        <v>21412.202222222222</v>
      </c>
    </row>
    <row r="22" spans="1:21" x14ac:dyDescent="0.15">
      <c r="A22" s="48">
        <f t="shared" si="0"/>
        <v>13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100.53479201324765</v>
      </c>
      <c r="M22" s="22">
        <f>IF(AND(K22&lt;&gt;"",ISNUMBER(入力!$F$25),入力!$F$25&gt;0),L22-設定!$C$21*SQRT((設定!$D$14/(設定!$D$14+設定!$D$15/入力!$F$25))*設定!$D$15/入力!$F$25),"")</f>
        <v>79.417524825203998</v>
      </c>
      <c r="N22" s="22">
        <f>IF(AND(K22&lt;&gt;"",ISNUMBER(入力!$F$25),入力!$F$25&gt;0),L22+設定!$C$21*SQRT((設定!$D$14/(設定!$D$14+設定!$D$15/入力!$F$25))*設定!$D$15/入力!$F$25),"")</f>
        <v>121.65205920129131</v>
      </c>
      <c r="O22" s="50" t="str">
        <f>IF(R22="","",IF(R22&gt;=設定!$D$31,"◎達成",IF(R22&gt;=設定!$D$32,"○あと一歩",IF(R22&gt;=設定!$D$33,"△要改善","✕要支援"))))</f>
        <v>△要改善</v>
      </c>
      <c r="P22" s="22">
        <f t="shared" si="6"/>
        <v>77.827500000000015</v>
      </c>
      <c r="Q22" s="27">
        <f t="shared" si="7"/>
        <v>1.9343035714285715</v>
      </c>
      <c r="R22" s="22">
        <f>IF(C22="","",設定!$C$26*C22/D22*100)</f>
        <v>81.15942028985508</v>
      </c>
      <c r="U22">
        <f t="shared" si="8"/>
        <v>27472.717391304352</v>
      </c>
    </row>
    <row r="23" spans="1:21" x14ac:dyDescent="0.15">
      <c r="A23" s="48">
        <f t="shared" si="0"/>
        <v>15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100.54560159272768</v>
      </c>
      <c r="M23" s="22">
        <f>IF(AND(K23&lt;&gt;"",ISNUMBER(入力!$F$26),入力!$F$26&gt;0),L23-設定!$C$21*SQRT((設定!$D$14/(設定!$D$14+設定!$D$15/入力!$F$26))*設定!$D$15/入力!$F$26),"")</f>
        <v>84.660447156916803</v>
      </c>
      <c r="N23" s="22">
        <f>IF(AND(K23&lt;&gt;"",ISNUMBER(入力!$F$26),入力!$F$26&gt;0),L23+設定!$C$21*SQRT((設定!$D$14/(設定!$D$14+設定!$D$15/入力!$F$26))*設定!$D$15/入力!$F$26),"")</f>
        <v>116.43075602853855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76.031982633863961</v>
      </c>
      <c r="Q23" s="27">
        <f t="shared" si="7"/>
        <v>2.0130607814761219</v>
      </c>
      <c r="R23" s="22">
        <f>IF(C23="","",設定!$C$26*C23/D23*100)</f>
        <v>79.1977077363897</v>
      </c>
      <c r="U23">
        <f t="shared" si="8"/>
        <v>68853.744627507156</v>
      </c>
    </row>
    <row r="24" spans="1:21" x14ac:dyDescent="0.15">
      <c r="A24" s="48">
        <f t="shared" si="0"/>
        <v>21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99.234129665461822</v>
      </c>
      <c r="M24" s="22">
        <f>IF(AND(K24&lt;&gt;"",ISNUMBER(入力!$F$27),入力!$F$27&gt;0),L24-設定!$C$21*SQRT((設定!$D$14/(設定!$D$14+設定!$D$15/入力!$F$27))*設定!$D$15/入力!$F$27),"")</f>
        <v>75.166138954916704</v>
      </c>
      <c r="N24" s="22">
        <f>IF(AND(K24&lt;&gt;"",ISNUMBER(入力!$F$27),入力!$F$27&gt;0),L24+設定!$C$21*SQRT((設定!$D$14/(設定!$D$14+設定!$D$15/入力!$F$27))*設定!$D$15/入力!$F$27),"")</f>
        <v>123.30212037600694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6"/>
        <v>87.142067307692315</v>
      </c>
      <c r="Q24" s="27">
        <f t="shared" si="7"/>
        <v>2.0311899038461538</v>
      </c>
      <c r="R24" s="22">
        <f>IF(C24="","",設定!$C$26*C24/D24*100)</f>
        <v>71.95675675675676</v>
      </c>
      <c r="U24">
        <f t="shared" si="8"/>
        <v>38001.03783783783</v>
      </c>
    </row>
    <row r="25" spans="1:21" x14ac:dyDescent="0.15">
      <c r="A25" s="48">
        <f t="shared" si="0"/>
        <v>20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99.042799211712904</v>
      </c>
      <c r="M25" s="22">
        <f>IF(AND(K25&lt;&gt;"",ISNUMBER(入力!$F$28),入力!$F$28&gt;0),L25-設定!$C$21*SQRT((設定!$D$14/(設定!$D$14+設定!$D$15/入力!$F$28))*設定!$D$15/入力!$F$28),"")</f>
        <v>80.570625327969111</v>
      </c>
      <c r="N25" s="22">
        <f>IF(AND(K25&lt;&gt;"",ISNUMBER(入力!$F$28),入力!$F$28&gt;0),L25+設定!$C$21*SQRT((設定!$D$14/(設定!$D$14+設定!$D$15/入力!$F$28))*設定!$D$15/入力!$F$28),"")</f>
        <v>117.5149730954567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6"/>
        <v>80.135064935064918</v>
      </c>
      <c r="Q25" s="27">
        <f t="shared" si="7"/>
        <v>2.1105627705627703</v>
      </c>
      <c r="R25" s="22">
        <f>IF(C25="","",設定!$C$26*C25/D25*100)</f>
        <v>73.1881188118812</v>
      </c>
      <c r="U25">
        <f t="shared" si="8"/>
        <v>22301.334653465346</v>
      </c>
    </row>
    <row r="26" spans="1:21" x14ac:dyDescent="0.15">
      <c r="A26" s="48">
        <f t="shared" si="0"/>
        <v>19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94.651101621000734</v>
      </c>
      <c r="M26" s="22">
        <f>IF(AND(K26&lt;&gt;"",ISNUMBER(入力!$F$29),入力!$F$29&gt;0),L26-設定!$C$21*SQRT((設定!$D$14/(設定!$D$14+設定!$D$15/入力!$F$29))*設定!$D$15/入力!$F$29),"")</f>
        <v>77.176341871760002</v>
      </c>
      <c r="N26" s="22">
        <f>IF(AND(K26&lt;&gt;"",ISNUMBER(入力!$F$29),入力!$F$29&gt;0),L26+設定!$C$21*SQRT((設定!$D$14/(設定!$D$14+設定!$D$15/入力!$F$29))*設定!$D$15/入力!$F$29),"")</f>
        <v>112.12586137024147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6"/>
        <v>88.606351039260971</v>
      </c>
      <c r="Q26" s="27">
        <f t="shared" si="7"/>
        <v>1.9495092378752887</v>
      </c>
      <c r="R26" s="22">
        <f>IF(C26="","",設定!$C$26*C26/D26*100)</f>
        <v>73.85927505330491</v>
      </c>
      <c r="U26">
        <f t="shared" si="8"/>
        <v>77934.229744136479</v>
      </c>
    </row>
    <row r="27" spans="1:21" x14ac:dyDescent="0.15">
      <c r="A27" s="48">
        <f t="shared" si="0"/>
        <v>28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93.275656460937611</v>
      </c>
      <c r="M27" s="22">
        <f>IF(AND(K27&lt;&gt;"",ISNUMBER(入力!$F$30),入力!$F$30&gt;0),L27-設定!$C$21*SQRT((設定!$D$14/(設定!$D$14+設定!$D$15/入力!$F$30))*設定!$D$15/入力!$F$30),"")</f>
        <v>70.324198879629222</v>
      </c>
      <c r="N27" s="22">
        <f>IF(AND(K27&lt;&gt;"",ISNUMBER(入力!$F$30),入力!$F$30&gt;0),L27+設定!$C$21*SQRT((設定!$D$14/(設定!$D$14+設定!$D$15/入力!$F$30))*設定!$D$15/入力!$F$30),"")</f>
        <v>116.227114042246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6"/>
        <v>118.05000000000001</v>
      </c>
      <c r="Q27" s="27">
        <f t="shared" si="7"/>
        <v>2.3531060606060605</v>
      </c>
      <c r="R27" s="22">
        <f>IF(C27="","",設定!$C$26*C27/D27*100)</f>
        <v>52.27722772277228</v>
      </c>
      <c r="U27">
        <f t="shared" si="8"/>
        <v>5074.3217821782182</v>
      </c>
    </row>
    <row r="28" spans="1:21" x14ac:dyDescent="0.15">
      <c r="A28" s="48">
        <f t="shared" si="0"/>
        <v>24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93.411181096143565</v>
      </c>
      <c r="M28" s="22">
        <f>IF(AND(K28&lt;&gt;"",ISNUMBER(入力!$F$31),入力!$F$31&gt;0),L28-設定!$C$21*SQRT((設定!$D$14/(設定!$D$14+設定!$D$15/入力!$F$31))*設定!$D$15/入力!$F$31),"")</f>
        <v>75.936421346902847</v>
      </c>
      <c r="N28" s="22">
        <f>IF(AND(K28&lt;&gt;"",ISNUMBER(入力!$F$31),入力!$F$31&gt;0),L28+設定!$C$21*SQRT((設定!$D$14/(設定!$D$14+設定!$D$15/入力!$F$31))*設定!$D$15/入力!$F$31),"")</f>
        <v>110.88594084538428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6"/>
        <v>92.505608591885462</v>
      </c>
      <c r="Q28" s="27">
        <f t="shared" si="7"/>
        <v>2.0714618138424816</v>
      </c>
      <c r="R28" s="22">
        <f>IF(C28="","",設定!$C$26*C28/D28*100)</f>
        <v>67.99188640973631</v>
      </c>
      <c r="U28">
        <f t="shared" si="8"/>
        <v>73766.309837728186</v>
      </c>
    </row>
    <row r="29" spans="1:21" x14ac:dyDescent="0.15">
      <c r="A29" s="48">
        <f t="shared" si="0"/>
        <v>17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90.975092590504204</v>
      </c>
      <c r="M29" s="22">
        <f>IF(AND(K29&lt;&gt;"",ISNUMBER(入力!$F$32),入力!$F$32&gt;0),L29-設定!$C$21*SQRT((設定!$D$14/(設定!$D$14+設定!$D$15/入力!$F$32))*設定!$D$15/入力!$F$32),"")</f>
        <v>71.93559696089477</v>
      </c>
      <c r="N29" s="22">
        <f>IF(AND(K29&lt;&gt;"",ISNUMBER(入力!$F$32),入力!$F$32&gt;0),L29+設定!$C$21*SQRT((設定!$D$14/(設定!$D$14+設定!$D$15/入力!$F$32))*設定!$D$15/入力!$F$32),"")</f>
        <v>110.01458822011364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6"/>
        <v>98.821791044776134</v>
      </c>
      <c r="Q29" s="27">
        <f t="shared" si="7"/>
        <v>1.7502835820895519</v>
      </c>
      <c r="R29" s="22">
        <f>IF(C29="","",設定!$C$26*C29/D29*100)</f>
        <v>74.86033519553072</v>
      </c>
      <c r="U29">
        <f t="shared" si="8"/>
        <v>27433.739525139663</v>
      </c>
    </row>
    <row r="30" spans="1:21" x14ac:dyDescent="0.15">
      <c r="A30" s="48">
        <f t="shared" si="0"/>
        <v>22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90.760319550211833</v>
      </c>
      <c r="M30" s="22">
        <f>IF(AND(K30&lt;&gt;"",ISNUMBER(入力!$F$33),入力!$F$33&gt;0),L30-設定!$C$21*SQRT((設定!$D$14/(設定!$D$14+設定!$D$15/入力!$F$33))*設定!$D$15/入力!$F$33),"")</f>
        <v>75.209149519866017</v>
      </c>
      <c r="N30" s="22">
        <f>IF(AND(K30&lt;&gt;"",ISNUMBER(入力!$F$33),入力!$F$33&gt;0),L30+設定!$C$21*SQRT((設定!$D$14/(設定!$D$14+設定!$D$15/入力!$F$33))*設定!$D$15/入力!$F$33),"")</f>
        <v>106.31148958055765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94.695497630331758</v>
      </c>
      <c r="Q30" s="27">
        <f t="shared" si="7"/>
        <v>1.9329265402843601</v>
      </c>
      <c r="R30" s="22">
        <f>IF(C30="","",設定!$C$26*C30/D30*100)</f>
        <v>71.07368421052632</v>
      </c>
      <c r="U30">
        <f t="shared" si="8"/>
        <v>36234.030526315786</v>
      </c>
    </row>
    <row r="31" spans="1:21" x14ac:dyDescent="0.15">
      <c r="A31" s="48">
        <f t="shared" si="0"/>
        <v>23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88.912906889449019</v>
      </c>
      <c r="M31" s="22">
        <f>IF(AND(K31&lt;&gt;"",ISNUMBER(入力!$F$34),入力!$F$34&gt;0),L31-設定!$C$21*SQRT((設定!$D$14/(設定!$D$14+設定!$D$15/入力!$F$34))*設定!$D$15/入力!$F$34),"")</f>
        <v>71.438147140208287</v>
      </c>
      <c r="N31" s="22">
        <f>IF(AND(K31&lt;&gt;"",ISNUMBER(入力!$F$34),入力!$F$34&gt;0),L31+設定!$C$21*SQRT((設定!$D$14/(設定!$D$14+設定!$D$15/入力!$F$34))*設定!$D$15/入力!$F$34),"")</f>
        <v>106.38766663868975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6"/>
        <v>102.00110091743119</v>
      </c>
      <c r="Q31" s="27">
        <f t="shared" si="7"/>
        <v>1.8627339449541285</v>
      </c>
      <c r="R31" s="22">
        <f>IF(C31="","",設定!$C$26*C31/D31*100)</f>
        <v>69.4820717131474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88.533376547012466</v>
      </c>
      <c r="M32" s="22">
        <f>IF(AND(K32&lt;&gt;"",ISNUMBER(入力!$F$35),入力!$F$35&gt;0),L32-設定!$C$21*SQRT((設定!$D$14/(設定!$D$14+設定!$D$15/入力!$F$35))*設定!$D$15/入力!$F$35),"")</f>
        <v>71.058616797771748</v>
      </c>
      <c r="N32" s="22">
        <f>IF(AND(K32&lt;&gt;"",ISNUMBER(入力!$F$35),入力!$F$35&gt;0),L32+設定!$C$21*SQRT((設定!$D$14/(設定!$D$14+設定!$D$15/入力!$F$35))*設定!$D$15/入力!$F$35),"")</f>
        <v>106.00813629625318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6"/>
        <v>104.46258741258742</v>
      </c>
      <c r="Q32" s="27">
        <f t="shared" si="7"/>
        <v>1.9595163170163168</v>
      </c>
      <c r="R32" s="22">
        <f>IF(C32="","",設定!$C$26*C32/D32*100)</f>
        <v>65.55873925501433</v>
      </c>
      <c r="U32">
        <f t="shared" si="8"/>
        <v>68888.508595988547</v>
      </c>
    </row>
    <row r="33" spans="1:21" x14ac:dyDescent="0.15">
      <c r="A33" s="48">
        <f t="shared" si="0"/>
        <v>25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87.517454266205448</v>
      </c>
      <c r="M33" s="22">
        <f>IF(AND(K33&lt;&gt;"",ISNUMBER(入力!$F$36),入力!$F$36&gt;0),L33-設定!$C$21*SQRT((設定!$D$14/(設定!$D$14+設定!$D$15/入力!$F$36))*設定!$D$15/入力!$F$36),"")</f>
        <v>70.484406046773003</v>
      </c>
      <c r="N33" s="22">
        <f>IF(AND(K33&lt;&gt;"",ISNUMBER(入力!$F$36),入力!$F$36&gt;0),L33+設定!$C$21*SQRT((設定!$D$14/(設定!$D$14+設定!$D$15/入力!$F$36))*設定!$D$15/入力!$F$36),"")</f>
        <v>104.55050248563789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6"/>
        <v>105.28192446043165</v>
      </c>
      <c r="Q33" s="27">
        <f t="shared" si="7"/>
        <v>1.9018839928057554</v>
      </c>
      <c r="R33" s="22">
        <f>IF(C33="","",設定!$C$26*C33/D33*100)</f>
        <v>66.76172607879926</v>
      </c>
      <c r="U33">
        <f t="shared" si="8"/>
        <v>88246.275422138846</v>
      </c>
    </row>
    <row r="34" spans="1:21" x14ac:dyDescent="0.15">
      <c r="A34" s="48">
        <f t="shared" si="0"/>
        <v>29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85.923353074085327</v>
      </c>
      <c r="M34" s="22">
        <f>IF(AND(K34&lt;&gt;"",ISNUMBER(入力!$F$37),入力!$F$37&gt;0),L34-設定!$C$21*SQRT((設定!$D$14/(設定!$D$14+設定!$D$15/入力!$F$37))*設定!$D$15/入力!$F$37),"")</f>
        <v>62.971895492776937</v>
      </c>
      <c r="N34" s="22">
        <f>IF(AND(K34&lt;&gt;"",ISNUMBER(入力!$F$37),入力!$F$37&gt;0),L34+設定!$C$21*SQRT((設定!$D$14/(設定!$D$14+設定!$D$15/入力!$F$37))*設定!$D$15/入力!$F$37),"")</f>
        <v>108.87481065539372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6"/>
        <v>161.80864864864867</v>
      </c>
      <c r="Q34" s="27">
        <f t="shared" si="7"/>
        <v>1.8739999999999997</v>
      </c>
      <c r="R34" s="22">
        <f>IF(C34="","",設定!$C$26*C34/D34*100)</f>
        <v>48.3265306122449</v>
      </c>
      <c r="U34">
        <f t="shared" si="8"/>
        <v>20942.906122448978</v>
      </c>
    </row>
    <row r="35" spans="1:21" x14ac:dyDescent="0.15">
      <c r="A35" s="48">
        <f t="shared" si="0"/>
        <v>27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85.538485613185657</v>
      </c>
      <c r="M35" s="22">
        <f>IF(AND(K35&lt;&gt;"",ISNUMBER(入力!$F$38),入力!$F$38&gt;0),L35-設定!$C$21*SQRT((設定!$D$14/(設定!$D$14+設定!$D$15/入力!$F$38))*設定!$D$15/入力!$F$38),"")</f>
        <v>67.585765805070935</v>
      </c>
      <c r="N35" s="22">
        <f>IF(AND(K35&lt;&gt;"",ISNUMBER(入力!$F$38),入力!$F$38&gt;0),L35+設定!$C$21*SQRT((設定!$D$14/(設定!$D$14+設定!$D$15/入力!$F$38))*設定!$D$15/入力!$F$38),"")</f>
        <v>103.49120542130038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6"/>
        <v>118.51328413284132</v>
      </c>
      <c r="Q35" s="27">
        <f t="shared" si="7"/>
        <v>2.1039667896678966</v>
      </c>
      <c r="R35" s="22">
        <f>IF(C35="","",設定!$C$26*C35/D35*100)</f>
        <v>56.75392670157068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IF(C36="","",設定!$C$26*C36/D36*100)</f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IF(C37="","",設定!$C$26*C37/D37*100)</f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IF(C38="","",設定!$C$26*C38/D38*100)</f>
        <v/>
      </c>
      <c r="U38">
        <f t="shared" si="8"/>
        <v>0</v>
      </c>
    </row>
    <row r="39" spans="1:21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IF(C39="","",設定!$C$26*C39/D39*100)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IF(C40="","",設定!$C$26*C40/D40*100)</f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IF(C41="","",設定!$C$26*C41/D41*100)</f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IF(C42="","",設定!$C$26*C42/D42*100)</f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IF(C43="","",設定!$C$26*C43/D43*100)</f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IF(C44="","",設定!$C$26*C44/D44*100)</f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IF(C45="","",設定!$C$26*C45/D45*100)</f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IF(C46="","",設定!$C$26*C46/D46*100)</f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IF(C47="","",設定!$C$26*C47/D47*100)</f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IF(C48="","",設定!$C$26*C48/D48*100)</f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IF(C49="","",設定!$C$26*C49/D49*100)</f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IF(C50="","",設定!$C$26*C50/D50*100)</f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IF(C51="","",設定!$C$26*C51/D51*100)</f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IF(C52="","",設定!$C$26*C52/D52*100)</f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IF(C53="","",設定!$C$26*C53/D53*100)</f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IF(C54="","",設定!$C$26*C54/D54*100)</f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IF(C55="","",設定!$C$26*C55/D55*100)</f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IF(C56="","",設定!$C$26*C56/D56*100)</f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IF(C57="","",設定!$C$26*C57/D57*100)</f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IF(C58="","",設定!$C$26*C58/D58*100)</f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IF(C59="","",設定!$C$26*C59/D59*100)</f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IF(C60="","",設定!$C$26*C60/D60*100)</f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IF(C61="","",設定!$C$26*C61/D61*100)</f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IF(C62="","",設定!$C$26*C62/D62*100)</f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IF(C63="","",設定!$C$26*C63/D63*100)</f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IF(C64="","",設定!$C$26*C64/D64*100)</f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IF(C65="","",設定!$C$26*C65/D65*100)</f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IF(C66="","",設定!$C$26*C66/D66*100)</f>
        <v/>
      </c>
      <c r="U66">
        <f t="shared" si="17"/>
        <v>0</v>
      </c>
    </row>
  </sheetData>
  <phoneticPr fontId="34"/>
  <conditionalFormatting sqref="A7:R66">
    <cfRule type="expression" dxfId="5" priority="1">
      <formula>$O7="◎達成"</formula>
    </cfRule>
    <cfRule type="expression" dxfId="4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A16" sqref="A16:XFD16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189</v>
      </c>
      <c r="S2" s="9" t="s">
        <v>170</v>
      </c>
    </row>
    <row r="3" spans="1:21" ht="14.25" x14ac:dyDescent="0.15">
      <c r="B3" s="3" t="s">
        <v>171</v>
      </c>
      <c r="S3" s="45" t="s">
        <v>102</v>
      </c>
      <c r="T3" s="46">
        <f>IFERROR(SUM(U7:U66)/SUMIF(I7:I66,"&gt;0",C7:C66),"")</f>
        <v>109.44372058095747</v>
      </c>
    </row>
    <row r="4" spans="1:21" x14ac:dyDescent="0.15">
      <c r="B4" s="3" t="s">
        <v>172</v>
      </c>
      <c r="S4" s="47" t="s">
        <v>173</v>
      </c>
      <c r="T4" s="21"/>
    </row>
    <row r="5" spans="1:21" x14ac:dyDescent="0.15">
      <c r="B5" s="7" t="s">
        <v>124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47" t="inlineStr">
        <is>
          <t>◎ 達成</t>
        </is>
      </c>
      <c r="T6" s="26">
        <f>COUNTIF(O7:O66,"◎達成")</f>
        <v>8</v>
      </c>
    </row>
    <row r="7" spans="1:21" x14ac:dyDescent="0.15">
      <c r="A7" s="48">
        <f t="shared" ref="A7:A38" si="0">IF(R7="","",RANK(R7,$R$7:$R$66,0))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146.66177155707118</v>
      </c>
      <c r="M7" s="22">
        <f>IF(AND(K7&lt;&gt;"",ISNUMBER(入力!$J$10),入力!$J$10&gt;0),L7-設定!$C$21*SQRT((設定!$D$17/(設定!$D$17+設定!$D$18/入力!$J$10))*設定!$D$18/入力!$J$10),"")</f>
        <v>131.39498377289303</v>
      </c>
      <c r="N7" s="22">
        <f>IF(AND(K7&lt;&gt;"",ISNUMBER(入力!$J$10),入力!$J$10&gt;0),L7+設定!$C$21*SQRT((設定!$D$17/(設定!$D$17+設定!$D$18/入力!$J$10))*設定!$D$18/入力!$J$10),"")</f>
        <v>161.92855934124933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R7" s="22">
        <f>IF(C7="","",設定!$C$27*C7/D7*100)</f>
        <v>153.47441323585994</v>
      </c>
      <c r="S7" s="47" t="inlineStr">
        <is>
          <t>○ あと一歩</t>
        </is>
      </c>
      <c r="T7" s="26">
        <f>COUNTIF(O7:O66,"○あと一歩")</f>
        <v>3</v>
      </c>
      <c r="U7">
        <f t="shared" ref="U7:U38" si="8">IF(K7="",0,K7*C7)</f>
        <v>373142.34090034623</v>
      </c>
    </row>
    <row r="8" spans="1:21" x14ac:dyDescent="0.15">
      <c r="A8" s="48">
        <f t="shared" si="0"/>
        <v>13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1230</v>
      </c>
      <c r="E8" s="26">
        <f>IF(AND(AND(入力!$B$11&lt;&gt;"",ISNUMBER(入力!$G$11),ISNUMBER(入力!$H$11),入力!$G$11&gt;0,入力!$H$11&gt;0),ISNUMBER(入力!$I$11),入力!$I$11&gt;0),入力!$I$11,"")</f>
        <v>279</v>
      </c>
      <c r="F8" s="27">
        <f t="shared" si="1"/>
        <v>2.2724014336917562</v>
      </c>
      <c r="G8" s="22">
        <f t="shared" si="2"/>
        <v>116.40378548895899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428.26499999999999</v>
      </c>
      <c r="I8" s="26">
        <f>IF(AND(入力!$B$11&lt;&gt;"",ISNUMBER(入力!$G$11),ISNUMBER(入力!$H$11),入力!$G$11&gt;0,入力!$H$11&gt;0),H8+設定!$E$9*C8/60,"")</f>
        <v>1162.6483333333333</v>
      </c>
      <c r="J8" s="49">
        <f t="shared" si="3"/>
        <v>0.36835299868547239</v>
      </c>
      <c r="K8" s="22">
        <f t="shared" si="4"/>
        <v>94.524254742547413</v>
      </c>
      <c r="L8" s="22">
        <f>IF(K8="","",IF(AND(K8&lt;&gt;"",ISNUMBER(入力!$J$11),入力!$J$11&gt;0),$T$3+(設定!$D$17/(設定!$D$17+設定!$D$18/入力!$J$11))*(K8-$T$3),K8))</f>
        <v>96.604008968531502</v>
      </c>
      <c r="M8" s="22">
        <f>IF(AND(K8&lt;&gt;"",ISNUMBER(入力!$J$11),入力!$J$11&gt;0),L8-設定!$C$21*SQRT((設定!$D$17/(設定!$D$17+設定!$D$18/入力!$J$11))*設定!$D$18/入力!$J$11),"")</f>
        <v>75.779521177007453</v>
      </c>
      <c r="N8" s="22">
        <f>IF(AND(K8&lt;&gt;"",ISNUMBER(入力!$J$11),入力!$J$11&gt;0),L8+設定!$C$21*SQRT((設定!$D$17/(設定!$D$17+設定!$D$18/入力!$J$11))*設定!$D$18/入力!$J$11),"")</f>
        <v>117.42849676005555</v>
      </c>
      <c r="O8" s="50" t="str">
        <f>IF(R8="","",IF(R8&gt;=設定!$D$31,"◎達成",IF(R8&gt;=設定!$D$32,"○あと一歩",IF(R8&gt;=設定!$D$33,"△要改善","✕要支援"))))</f>
        <v>△要改善</v>
      </c>
      <c r="P8" s="22">
        <f t="shared" si="6"/>
        <v>75.873974763406935</v>
      </c>
      <c r="Q8" s="27">
        <f t="shared" si="7"/>
        <v>1.8338301787592008</v>
      </c>
      <c r="R8" s="22">
        <f>IF(C8="","",設定!$C$27*C8/D8*100)</f>
        <v>82.47154471544717</v>
      </c>
      <c r="S8" s="47" t="inlineStr">
        <is>
          <t>△ 要改善</t>
        </is>
      </c>
      <c r="T8" s="26">
        <f>COUNTIF(O7:O66,"△要改善")</f>
        <v>4</v>
      </c>
      <c r="U8">
        <f t="shared" si="8"/>
        <v>59928.377506775061</v>
      </c>
    </row>
    <row r="9" spans="1:21" x14ac:dyDescent="0.15">
      <c r="A9" s="48">
        <f t="shared" si="0"/>
        <v>5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131.04490021102978</v>
      </c>
      <c r="M9" s="22">
        <f>IF(AND(K9&lt;&gt;"",ISNUMBER(入力!$J$12),入力!$J$12&gt;0),L9-設定!$C$21*SQRT((設定!$D$17/(設定!$D$17+設定!$D$18/入力!$J$12))*設定!$D$18/入力!$J$12),"")</f>
        <v>115.41229756777179</v>
      </c>
      <c r="N9" s="22">
        <f>IF(AND(K9&lt;&gt;"",ISNUMBER(入力!$J$12),入力!$J$12&gt;0),L9+設定!$C$21*SQRT((設定!$D$17/(設定!$D$17+設定!$D$18/入力!$J$12))*設定!$D$18/入力!$J$12),"")</f>
        <v>146.67750285428778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46.419151376146793</v>
      </c>
      <c r="Q9" s="27">
        <f t="shared" si="7"/>
        <v>1.5544055810397552</v>
      </c>
      <c r="R9" s="22">
        <f>IF(C9="","",設定!$C$27*C9/D9*100)</f>
        <v>136.7843137254902</v>
      </c>
      <c r="S9" s="47" t="inlineStr">
        <is>
          <t>✕ 要支援</t>
        </is>
      </c>
      <c r="T9" s="26">
        <f>COUNTIF(O7:O66,"✕要支援")</f>
        <v>4</v>
      </c>
      <c r="U9">
        <f t="shared" si="8"/>
        <v>347630.92156862747</v>
      </c>
    </row>
    <row r="10" spans="1:21" x14ac:dyDescent="0.15">
      <c r="A10" s="48">
        <f t="shared" si="0"/>
        <v>3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128.1824773344137</v>
      </c>
      <c r="M10" s="22">
        <f>IF(AND(K10&lt;&gt;"",ISNUMBER(入力!$J$13),入力!$J$13&gt;0),L10-設定!$C$21*SQRT((設定!$D$17/(設定!$D$17+設定!$D$18/入力!$J$13))*設定!$D$18/入力!$J$13),"")</f>
        <v>104.00421013498169</v>
      </c>
      <c r="N10" s="22">
        <f>IF(AND(K10&lt;&gt;"",ISNUMBER(入力!$J$13),入力!$J$13&gt;0),L10+設定!$C$21*SQRT((設定!$D$17/(設定!$D$17+設定!$D$18/入力!$J$13))*設定!$D$18/入力!$J$13),"")</f>
        <v>152.36074453384572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48.546126760563389</v>
      </c>
      <c r="Q10" s="27">
        <f t="shared" si="7"/>
        <v>1.4231748826291077</v>
      </c>
      <c r="R10" s="22">
        <f>IF(C10="","",設定!$C$27*C10/D10*100)</f>
        <v>148.98360655737704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>IF(R11="","",IF(R11&gt;=設定!$D$31,"◎達成",IF(R11&gt;=設定!$D$32,"○あと一歩",IF(R11&gt;=設定!$D$33,"△要改善","✕要支援"))))</f>
        <v/>
      </c>
      <c r="P11" s="22" t="str">
        <f t="shared" si="6"/>
        <v/>
      </c>
      <c r="Q11" s="27" t="str">
        <f t="shared" si="7"/>
        <v/>
      </c>
      <c r="R11" s="22" t="str">
        <f>IF(C11="","",設定!$C$27*C11/D11*100)</f>
        <v/>
      </c>
      <c r="S11" s="47" t="s">
        <v>91</v>
      </c>
      <c r="T11" s="26">
        <f>SUMIF(I7:I66,"&gt;0",E7:E66)</f>
        <v>7099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82.508009548320643</v>
      </c>
      <c r="M12" s="22">
        <f>IF(AND(K12&lt;&gt;"",ISNUMBER(入力!$J$15),入力!$J$15&gt;0),L12-設定!$C$21*SQRT((設定!$D$17/(設定!$D$17+設定!$D$18/入力!$J$15))*設定!$D$18/入力!$J$15),"")</f>
        <v>67.241221764142495</v>
      </c>
      <c r="N12" s="22">
        <f>IF(AND(K12&lt;&gt;"",ISNUMBER(入力!$J$15),入力!$J$15&gt;0),L12+設定!$C$21*SQRT((設定!$D$17/(設定!$D$17+設定!$D$18/入力!$J$15))*設定!$D$18/入力!$J$15),"")</f>
        <v>97.774797332498792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92.42702322308233</v>
      </c>
      <c r="Q12" s="27">
        <f t="shared" si="7"/>
        <v>1.5601771053248883</v>
      </c>
      <c r="R12" s="22">
        <f>IF(C12="","",設定!$C$27*C12/D12*100)</f>
        <v>82.37681159420289</v>
      </c>
      <c r="S12" s="47" t="s">
        <v>186</v>
      </c>
      <c r="T12" s="26">
        <f>SUMIF(I7:I66,"&gt;0",D7:D66)</f>
        <v>38887</v>
      </c>
      <c r="U12">
        <f t="shared" si="8"/>
        <v>114143.97022946857</v>
      </c>
    </row>
    <row r="13" spans="1:21" x14ac:dyDescent="0.15">
      <c r="A13" s="48">
        <f t="shared" si="0"/>
        <v>15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89.76235104145006</v>
      </c>
      <c r="M13" s="22">
        <f>IF(AND(K13&lt;&gt;"",ISNUMBER(入力!$J$16),入力!$J$16&gt;0),L13-設定!$C$21*SQRT((設定!$D$17/(設定!$D$17+設定!$D$18/入力!$J$16))*設定!$D$18/入力!$J$16),"")</f>
        <v>59.818092037946698</v>
      </c>
      <c r="N13" s="22">
        <f>IF(AND(K13&lt;&gt;"",ISNUMBER(入力!$J$16),入力!$J$16&gt;0),L13+設定!$C$21*SQRT((設定!$D$17/(設定!$D$17+設定!$D$18/入力!$J$16))*設定!$D$18/入力!$J$16),"")</f>
        <v>119.70661004495342</v>
      </c>
      <c r="O13" s="50" t="str">
        <f>IF(R13="","",IF(R13&gt;=設定!$D$31,"◎達成",IF(R13&gt;=設定!$D$32,"○あと一歩",IF(R13&gt;=設定!$D$33,"△要改善","✕要支援"))))</f>
        <v>△要改善</v>
      </c>
      <c r="P13" s="22">
        <f t="shared" si="6"/>
        <v>90.76639999999999</v>
      </c>
      <c r="Q13" s="27">
        <f t="shared" si="7"/>
        <v>1.5922266666666667</v>
      </c>
      <c r="R13" s="22">
        <f>IF(C13="","",設定!$C$27*C13/D13*100)</f>
        <v>82.1917808219178</v>
      </c>
      <c r="S13" s="47" t="s">
        <v>187</v>
      </c>
      <c r="T13" s="26">
        <f>SUMIF(I7:I66,"&gt;0",H7:H66)</f>
        <v>10896.964999999998</v>
      </c>
      <c r="U13">
        <f t="shared" si="8"/>
        <v>30672.174657534248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120.21334891697963</v>
      </c>
      <c r="M14" s="22">
        <f>IF(AND(K14&lt;&gt;"",ISNUMBER(入力!$J$17),入力!$J$17&gt;0),L14-設定!$C$21*SQRT((設定!$D$17/(設定!$D$17+設定!$D$18/入力!$J$17))*設定!$D$18/入力!$J$17),"")</f>
        <v>104.58074627372164</v>
      </c>
      <c r="N14" s="22">
        <f>IF(AND(K14&lt;&gt;"",ISNUMBER(入力!$J$17),入力!$J$17&gt;0),L14+設定!$C$21*SQRT((設定!$D$17/(設定!$D$17+設定!$D$18/入力!$J$17))*設定!$D$18/入力!$J$17),"")</f>
        <v>135.84595156023761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51.865741062131207</v>
      </c>
      <c r="Q14" s="27">
        <f t="shared" si="7"/>
        <v>1.6847408307300704</v>
      </c>
      <c r="R14" s="22">
        <f>IF(C14="","",設定!$C$27*C14/D14*100)</f>
        <v>115.03868230596457</v>
      </c>
      <c r="S14" s="47" t="s">
        <v>188</v>
      </c>
      <c r="T14" s="26">
        <f>SUM(I7:I66)</f>
        <v>39237.906666666662</v>
      </c>
      <c r="U14">
        <f t="shared" si="8"/>
        <v>348979.78882788448</v>
      </c>
    </row>
    <row r="15" spans="1:21" x14ac:dyDescent="0.15">
      <c r="A15" s="48">
        <f t="shared" si="0"/>
        <v>10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95.030981294859927</v>
      </c>
      <c r="M15" s="22">
        <f>IF(AND(K15&lt;&gt;"",ISNUMBER(入力!$J$18),入力!$J$18&gt;0),L15-設定!$C$21*SQRT((設定!$D$17/(設定!$D$17+設定!$D$18/入力!$J$18))*設定!$D$18/入力!$J$18),"")</f>
        <v>79.764193510681778</v>
      </c>
      <c r="N15" s="22">
        <f>IF(AND(K15&lt;&gt;"",ISNUMBER(入力!$J$18),入力!$J$18&gt;0),L15+設定!$C$21*SQRT((設定!$D$17/(設定!$D$17+設定!$D$18/入力!$J$18))*設定!$D$18/入力!$J$18),"")</f>
        <v>110.29776907903808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6"/>
        <v>75.781213872832367</v>
      </c>
      <c r="Q15" s="27">
        <f t="shared" si="7"/>
        <v>1.6013411780897329</v>
      </c>
      <c r="R15" s="22">
        <f>IF(C15="","",設定!$C$27*C15/D15*100)</f>
        <v>93.78509196515006</v>
      </c>
      <c r="S15" s="47" t="s">
        <v>50</v>
      </c>
      <c r="T15" s="23">
        <f>IFERROR(T13/T14,"")</f>
        <v>0.2777152484859029</v>
      </c>
      <c r="U15">
        <f t="shared" si="8"/>
        <v>227337.89601484346</v>
      </c>
    </row>
    <row r="16" spans="1:21" x14ac:dyDescent="0.15">
      <c r="A16" s="48">
        <f t="shared" si="0"/>
        <v>12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86.587819371053342</v>
      </c>
      <c r="M16" s="22">
        <f>IF(AND(K16&lt;&gt;"",ISNUMBER(入力!$J$19),入力!$J$19&gt;0),L16-設定!$C$21*SQRT((設定!$D$17/(設定!$D$17+設定!$D$18/入力!$J$19))*設定!$D$18/入力!$J$19),"")</f>
        <v>71.321031586875193</v>
      </c>
      <c r="N16" s="22">
        <f>IF(AND(K16&lt;&gt;"",ISNUMBER(入力!$J$19),入力!$J$19&gt;0),L16+設定!$C$21*SQRT((設定!$D$17/(設定!$D$17+設定!$D$18/入力!$J$19))*設定!$D$18/入力!$J$19),"")</f>
        <v>101.85460715523149</v>
      </c>
      <c r="O16" s="50" t="str">
        <f>IF(R16="","",IF(R16&gt;=設定!$D$31,"◎達成",IF(R16&gt;=設定!$D$32,"○あと一歩",IF(R16&gt;=設定!$D$33,"△要改善","✕要支援"))))</f>
        <v>△要改善</v>
      </c>
      <c r="P16" s="22">
        <f t="shared" si="6"/>
        <v>86.230426356589135</v>
      </c>
      <c r="Q16" s="27">
        <f t="shared" si="7"/>
        <v>1.5480329457364339</v>
      </c>
      <c r="R16" s="22">
        <f>IF(C16="","",設定!$C$27*C16/D16*100)</f>
        <v>87.58132956152758</v>
      </c>
      <c r="S16" s="47" t="s">
        <v>93</v>
      </c>
      <c r="T16" s="27">
        <f>IFERROR(T10/T11,"")</f>
        <v>3.4465417664459781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160.21330038970882</v>
      </c>
      <c r="M17" s="22">
        <f>IF(AND(K17&lt;&gt;"",ISNUMBER(入力!$J$20),入力!$J$20&gt;0),L17-設定!$C$21*SQRT((設定!$D$17/(設定!$D$17+設定!$D$18/入力!$J$20))*設定!$D$18/入力!$J$20),"")</f>
        <v>136.03503319027681</v>
      </c>
      <c r="N17" s="22">
        <f>IF(AND(K17&lt;&gt;"",ISNUMBER(入力!$J$20),入力!$J$20&gt;0),L17+設定!$C$21*SQRT((設定!$D$17/(設定!$D$17+設定!$D$18/入力!$J$20))*設定!$D$18/入力!$J$20),"")</f>
        <v>184.39156758914083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32.144831460674162</v>
      </c>
      <c r="Q17" s="27">
        <f t="shared" si="7"/>
        <v>1.4877546816479401</v>
      </c>
      <c r="R17" s="22">
        <f>IF(C17="","",設定!$C$27*C17/D17*100)</f>
        <v>184.93506493506493</v>
      </c>
      <c r="S17" s="47" t="s">
        <v>100</v>
      </c>
      <c r="T17" s="22">
        <f>IFERROR(T12*60/T10,"")</f>
        <v>95.361916050190047</v>
      </c>
      <c r="U17">
        <f t="shared" si="8"/>
        <v>153045.51731601733</v>
      </c>
    </row>
    <row r="18" spans="1:21" x14ac:dyDescent="0.15">
      <c r="A18" s="48">
        <f t="shared" si="0"/>
        <v>6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133.25785675591538</v>
      </c>
      <c r="M18" s="22">
        <f>IF(AND(K18&lt;&gt;"",ISNUMBER(入力!$J$21),入力!$J$21&gt;0),L18-設定!$C$21*SQRT((設定!$D$17/(設定!$D$17+設定!$D$18/入力!$J$21))*設定!$D$18/入力!$J$21),"")</f>
        <v>114.69251824223366</v>
      </c>
      <c r="N18" s="22">
        <f>IF(AND(K18&lt;&gt;"",ISNUMBER(入力!$J$21),入力!$J$21&gt;0),L18+設定!$C$21*SQRT((設定!$D$17/(設定!$D$17+設定!$D$18/入力!$J$21))*設定!$D$18/入力!$J$21),"")</f>
        <v>151.82319526959711</v>
      </c>
      <c r="O18" s="50" t="str">
        <f>IF(R18="","",IF(R18&gt;=設定!$D$31,"◎達成",IF(R18&gt;=設定!$D$32,"○あと一歩",IF(R18&gt;=設定!$D$33,"△要改善","✕要支援"))))</f>
        <v>◎達成</v>
      </c>
      <c r="P18" s="22">
        <f t="shared" si="6"/>
        <v>43.001941747572815</v>
      </c>
      <c r="Q18" s="27">
        <f t="shared" si="7"/>
        <v>1.6607743874248728</v>
      </c>
      <c r="R18" s="22">
        <f>IF(C18="","",設定!$C$27*C18/D18*100)</f>
        <v>131.24004550625713</v>
      </c>
      <c r="U18">
        <f t="shared" si="8"/>
        <v>196436.54569586649</v>
      </c>
    </row>
    <row r="19" spans="1:21" x14ac:dyDescent="0.15">
      <c r="A19" s="48">
        <f t="shared" si="0"/>
        <v>16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81.8195904305488</v>
      </c>
      <c r="M19" s="22">
        <f>IF(AND(K19&lt;&gt;"",ISNUMBER(入力!$J$22),入力!$J$22&gt;0),L19-設定!$C$21*SQRT((設定!$D$17/(設定!$D$17+設定!$D$18/入力!$J$22))*設定!$D$18/入力!$J$22),"")</f>
        <v>48.793089917546197</v>
      </c>
      <c r="N19" s="22">
        <f>IF(AND(K19&lt;&gt;"",ISNUMBER(入力!$J$22),入力!$J$22&gt;0),L19+設定!$C$21*SQRT((設定!$D$17/(設定!$D$17+設定!$D$18/入力!$J$22))*設定!$D$18/入力!$J$22),"")</f>
        <v>114.8460909435514</v>
      </c>
      <c r="O19" s="50" t="str">
        <f>IF(R19="","",IF(R19&gt;=設定!$D$31,"◎達成",IF(R19&gt;=設定!$D$32,"○あと一歩",IF(R19&gt;=設定!$D$33,"△要改善","✕要支援"))))</f>
        <v>✕要支援</v>
      </c>
      <c r="P19" s="22">
        <f t="shared" si="6"/>
        <v>111.60803571428572</v>
      </c>
      <c r="Q19" s="27">
        <f t="shared" si="7"/>
        <v>1.418735119047619</v>
      </c>
      <c r="R19" s="22">
        <f>IF(C19="","",設定!$C$27*C19/D19*100)</f>
        <v>75.45263157894738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>IF(R20="","",IF(R20&gt;=設定!$D$31,"◎達成",IF(R20&gt;=設定!$D$32,"○あと一歩",IF(R20&gt;=設定!$D$33,"△要改善","✕要支援"))))</f>
        <v/>
      </c>
      <c r="P20" s="22" t="str">
        <f t="shared" si="6"/>
        <v/>
      </c>
      <c r="Q20" s="27" t="str">
        <f t="shared" si="7"/>
        <v/>
      </c>
      <c r="R20" s="22" t="str">
        <f>IF(C20="","",設定!$C$27*C20/D20*100)</f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60.246292066240983</v>
      </c>
      <c r="M21" s="22">
        <f>IF(AND(K21&lt;&gt;"",ISNUMBER(入力!$J$24),入力!$J$24&gt;0),L21-設定!$C$21*SQRT((設定!$D$17/(設定!$D$17+設定!$D$18/入力!$J$24))*設定!$D$18/入力!$J$24),"")</f>
        <v>39.421804274716933</v>
      </c>
      <c r="N21" s="22">
        <f>IF(AND(K21&lt;&gt;"",ISNUMBER(入力!$J$24),入力!$J$24&gt;0),L21+設定!$C$21*SQRT((設定!$D$17/(設定!$D$17+設定!$D$18/入力!$J$24))*設定!$D$18/入力!$J$24),"")</f>
        <v>81.070779857765032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157.90047619047618</v>
      </c>
      <c r="Q21" s="27">
        <f t="shared" si="7"/>
        <v>1.6139603174603177</v>
      </c>
      <c r="R21" s="22">
        <f>IF(C21="","",設定!$C$27*C21/D21*100)</f>
        <v>51.82519280205655</v>
      </c>
      <c r="U21">
        <f t="shared" si="8"/>
        <v>32934.748071979433</v>
      </c>
    </row>
    <row r="22" spans="1:21" x14ac:dyDescent="0.15">
      <c r="A22" s="48">
        <f t="shared" si="0"/>
        <v>4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115.10131008792217</v>
      </c>
      <c r="M22" s="22">
        <f>IF(AND(K22&lt;&gt;"",ISNUMBER(入力!$J$25),入力!$J$25&gt;0),L22-設定!$C$21*SQRT((設定!$D$17/(設定!$D$17+設定!$D$18/入力!$J$25))*設定!$D$18/入力!$J$25),"")</f>
        <v>90.923042888490158</v>
      </c>
      <c r="N22" s="22">
        <f>IF(AND(K22&lt;&gt;"",ISNUMBER(入力!$J$25),入力!$J$25&gt;0),L22+設定!$C$21*SQRT((設定!$D$17/(設定!$D$17+設定!$D$18/入力!$J$25))*設定!$D$18/入力!$J$25),"")</f>
        <v>139.27957728735419</v>
      </c>
      <c r="O22" s="50" t="str">
        <f>IF(R22="","",IF(R22&gt;=設定!$D$31,"◎達成",IF(R22&gt;=設定!$D$32,"○あと一歩",IF(R22&gt;=設定!$D$33,"△要改善","✕要支援"))))</f>
        <v>◎達成</v>
      </c>
      <c r="P22" s="22">
        <f t="shared" si="6"/>
        <v>58.126138279932555</v>
      </c>
      <c r="Q22" s="27">
        <f t="shared" si="7"/>
        <v>1.344707700955593</v>
      </c>
      <c r="R22" s="22">
        <f>IF(C22="","",設定!$C$27*C22/D22*100)</f>
        <v>138.5109489051095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74.647652818461978</v>
      </c>
      <c r="M23" s="22">
        <f>IF(AND(K23&lt;&gt;"",ISNUMBER(入力!$J$26),入力!$J$26&gt;0),L23-設定!$C$21*SQRT((設定!$D$17/(設定!$D$17+設定!$D$18/入力!$J$26))*設定!$D$18/入力!$J$26),"")</f>
        <v>59.380865034283829</v>
      </c>
      <c r="N23" s="22">
        <f>IF(AND(K23&lt;&gt;"",ISNUMBER(入力!$J$26),入力!$J$26&gt;0),L23+設定!$C$21*SQRT((設定!$D$17/(設定!$D$17+設定!$D$18/入力!$J$26))*設定!$D$18/入力!$J$26),"")</f>
        <v>89.914440602640127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106.08617142857143</v>
      </c>
      <c r="Q23" s="27">
        <f t="shared" si="7"/>
        <v>1.5548019047619046</v>
      </c>
      <c r="R23" s="22">
        <f>IF(C23="","",設定!$C$27*C23/D23*100)</f>
        <v>73.91763463569166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>IF(R24="","",IF(R24&gt;=設定!$D$31,"◎達成",IF(R24&gt;=設定!$D$32,"○あと一歩",IF(R24&gt;=設定!$D$33,"△要改善","✕要支援"))))</f>
        <v/>
      </c>
      <c r="P24" s="22" t="str">
        <f t="shared" si="6"/>
        <v/>
      </c>
      <c r="Q24" s="27" t="str">
        <f t="shared" si="7"/>
        <v/>
      </c>
      <c r="R24" s="22" t="str">
        <f>IF(C24="","",設定!$C$27*C24/D24*100)</f>
        <v/>
      </c>
      <c r="U24">
        <f t="shared" si="8"/>
        <v>0</v>
      </c>
    </row>
    <row r="25" spans="1:21" x14ac:dyDescent="0.15">
      <c r="A25" s="48">
        <f t="shared" si="0"/>
        <v>11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98.813177530341235</v>
      </c>
      <c r="M25" s="22">
        <f>IF(AND(K25&lt;&gt;"",ISNUMBER(入力!$J$28),入力!$J$28&gt;0),L25-設定!$C$21*SQRT((設定!$D$17/(設定!$D$17+設定!$D$18/入力!$J$28))*設定!$D$18/入力!$J$28),"")</f>
        <v>79.57835241855382</v>
      </c>
      <c r="N25" s="22">
        <f>IF(AND(K25&lt;&gt;"",ISNUMBER(入力!$J$28),入力!$J$28&gt;0),L25+設定!$C$21*SQRT((設定!$D$17/(設定!$D$17+設定!$D$18/入力!$J$28))*設定!$D$18/入力!$J$28),"")</f>
        <v>118.04800264212865</v>
      </c>
      <c r="O25" s="50" t="str">
        <f>IF(R25="","",IF(R25&gt;=設定!$D$31,"◎達成",IF(R25&gt;=設定!$D$32,"○あと一歩",IF(R25&gt;=設定!$D$33,"△要改善","✕要支援"))))</f>
        <v>○あと一歩</v>
      </c>
      <c r="P25" s="22">
        <f t="shared" si="6"/>
        <v>72.268571428571434</v>
      </c>
      <c r="Q25" s="27">
        <f t="shared" si="7"/>
        <v>1.7138571428571427</v>
      </c>
      <c r="R25" s="22">
        <f>IF(C25="","",設定!$C$27*C25/D25*100)</f>
        <v>90.9090909090909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6"/>
        <v/>
      </c>
      <c r="Q26" s="27" t="str">
        <f t="shared" si="7"/>
        <v/>
      </c>
      <c r="R26" s="22" t="str">
        <f>IF(C26="","",設定!$C$27*C26/D26*100)</f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6"/>
        <v/>
      </c>
      <c r="Q27" s="27" t="str">
        <f t="shared" si="7"/>
        <v/>
      </c>
      <c r="R27" s="22" t="str">
        <f>IF(C27="","",設定!$C$27*C27/D27*100)</f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6"/>
        <v/>
      </c>
      <c r="Q28" s="27" t="str">
        <f t="shared" si="7"/>
        <v/>
      </c>
      <c r="R28" s="22" t="str">
        <f>IF(C28="","",設定!$C$27*C28/D28*100)</f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102.27473325768686</v>
      </c>
      <c r="M29" s="22">
        <f>IF(AND(K29&lt;&gt;"",ISNUMBER(入力!$J$32),入力!$J$32&gt;0),L29-設定!$C$21*SQRT((設定!$D$17/(設定!$D$17+設定!$D$18/入力!$J$32))*設定!$D$18/入力!$J$32),"")</f>
        <v>80.491842362965258</v>
      </c>
      <c r="N29" s="22">
        <f>IF(AND(K29&lt;&gt;"",ISNUMBER(入力!$J$32),入力!$J$32&gt;0),L29+設定!$C$21*SQRT((設定!$D$17/(設定!$D$17+設定!$D$18/入力!$J$32))*設定!$D$18/入力!$J$32),"")</f>
        <v>124.05762415240847</v>
      </c>
      <c r="O29" s="50" t="str">
        <f>IF(R29="","",IF(R29&gt;=設定!$D$31,"◎達成",IF(R29&gt;=設定!$D$32,"○あと一歩",IF(R29&gt;=設定!$D$33,"△要改善","✕要支援"))))</f>
        <v>○あと一歩</v>
      </c>
      <c r="P29" s="22">
        <f t="shared" si="6"/>
        <v>68.551237113402053</v>
      </c>
      <c r="Q29" s="27">
        <f t="shared" si="7"/>
        <v>1.6219982817869414</v>
      </c>
      <c r="R29" s="22">
        <f>IF(C29="","",設定!$C$27*C29/D29*100)</f>
        <v>99.61489088575097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69.508553165647555</v>
      </c>
      <c r="M30" s="22">
        <f>IF(AND(K30&lt;&gt;"",ISNUMBER(入力!$J$33),入力!$J$33&gt;0),L30-設定!$C$21*SQRT((設定!$D$17/(設定!$D$17+設定!$D$18/入力!$J$33))*設定!$D$18/入力!$J$33),"")</f>
        <v>53.057790876621539</v>
      </c>
      <c r="N30" s="22">
        <f>IF(AND(K30&lt;&gt;"",ISNUMBER(入力!$J$33),入力!$J$33&gt;0),L30+設定!$C$21*SQRT((設定!$D$17/(設定!$D$17+設定!$D$18/入力!$J$33))*設定!$D$18/入力!$J$33),"")</f>
        <v>85.959315454673572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120.69256128486899</v>
      </c>
      <c r="Q30" s="27">
        <f t="shared" si="7"/>
        <v>1.6345336714567482</v>
      </c>
      <c r="R30" s="22">
        <f>IF(C30="","",設定!$C$27*C30/D30*100)</f>
        <v>64.31532449881074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6"/>
        <v/>
      </c>
      <c r="Q31" s="27" t="str">
        <f t="shared" si="7"/>
        <v/>
      </c>
      <c r="R31" s="22" t="str">
        <f>IF(C31="","",設定!$C$27*C31/D31*100)</f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6"/>
        <v/>
      </c>
      <c r="Q32" s="27" t="str">
        <f t="shared" si="7"/>
        <v/>
      </c>
      <c r="R32" s="22" t="str">
        <f>IF(C32="","",設定!$C$27*C32/D32*100)</f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6"/>
        <v/>
      </c>
      <c r="Q33" s="27" t="str">
        <f t="shared" si="7"/>
        <v/>
      </c>
      <c r="R33" s="22" t="str">
        <f>IF(C33="","",設定!$C$27*C33/D33*100)</f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6"/>
        <v/>
      </c>
      <c r="Q34" s="27" t="str">
        <f t="shared" si="7"/>
        <v/>
      </c>
      <c r="R34" s="22" t="str">
        <f>IF(C34="","",設定!$C$27*C34/D34*100)</f>
        <v/>
      </c>
      <c r="U34">
        <f t="shared" si="8"/>
        <v>0</v>
      </c>
    </row>
    <row r="35" spans="1:21" x14ac:dyDescent="0.15">
      <c r="A35" s="48">
        <f t="shared" si="0"/>
        <v>7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126.82484924085423</v>
      </c>
      <c r="M35" s="22">
        <f>IF(AND(K35&lt;&gt;"",ISNUMBER(入力!$J$38),入力!$J$38&gt;0),L35-設定!$C$21*SQRT((設定!$D$17/(設定!$D$17+設定!$D$18/入力!$J$38))*設定!$D$18/入力!$J$38),"")</f>
        <v>107.59002412906682</v>
      </c>
      <c r="N35" s="22">
        <f>IF(AND(K35&lt;&gt;"",ISNUMBER(入力!$J$38),入力!$J$38&gt;0),L35+設定!$C$21*SQRT((設定!$D$17/(設定!$D$17+設定!$D$18/入力!$J$38))*設定!$D$18/入力!$J$38),"")</f>
        <v>146.05967435264165</v>
      </c>
      <c r="O35" s="50" t="str">
        <f>IF(R35="","",IF(R35&gt;=設定!$D$31,"◎達成",IF(R35&gt;=設定!$D$32,"○あと一歩",IF(R35&gt;=設定!$D$33,"△要改善","✕要支援"))))</f>
        <v>◎達成</v>
      </c>
      <c r="P35" s="22">
        <f t="shared" si="6"/>
        <v>45.316399622997174</v>
      </c>
      <c r="Q35" s="27">
        <f t="shared" si="7"/>
        <v>1.7847753691486019</v>
      </c>
      <c r="R35" s="22">
        <f>IF(C35="","",設定!$C$27*C35/D35*100)</f>
        <v>115.79809004092772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IF(C36="","",設定!$C$27*C36/D36*100)</f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IF(C37="","",設定!$C$27*C37/D37*100)</f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IF(C38="","",設定!$C$27*C38/D38*100)</f>
        <v/>
      </c>
      <c r="U38">
        <f t="shared" si="8"/>
        <v>0</v>
      </c>
    </row>
    <row r="39" spans="1:21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IF(C39="","",設定!$C$27*C39/D39*100)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IF(C40="","",設定!$C$27*C40/D40*100)</f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IF(C41="","",設定!$C$27*C41/D41*100)</f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IF(C42="","",設定!$C$27*C42/D42*100)</f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IF(C43="","",設定!$C$27*C43/D43*100)</f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IF(C44="","",設定!$C$27*C44/D44*100)</f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IF(C45="","",設定!$C$27*C45/D45*100)</f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IF(C46="","",設定!$C$27*C46/D46*100)</f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IF(C47="","",設定!$C$27*C47/D47*100)</f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IF(C48="","",設定!$C$27*C48/D48*100)</f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IF(C49="","",設定!$C$27*C49/D49*100)</f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IF(C50="","",設定!$C$27*C50/D50*100)</f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IF(C51="","",設定!$C$27*C51/D51*100)</f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IF(C52="","",設定!$C$27*C52/D52*100)</f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IF(C53="","",設定!$C$27*C53/D53*100)</f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IF(C54="","",設定!$C$27*C54/D54*100)</f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IF(C55="","",設定!$C$27*C55/D55*100)</f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IF(C56="","",設定!$C$27*C56/D56*100)</f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IF(C57="","",設定!$C$27*C57/D57*100)</f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IF(C58="","",設定!$C$27*C58/D58*100)</f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IF(C59="","",設定!$C$27*C59/D59*100)</f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IF(C60="","",設定!$C$27*C60/D60*100)</f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IF(C61="","",設定!$C$27*C61/D61*100)</f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IF(C62="","",設定!$C$27*C62/D62*100)</f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IF(C63="","",設定!$C$27*C63/D63*100)</f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IF(C64="","",設定!$C$27*C64/D64*100)</f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IF(C65="","",設定!$C$27*C65/D65*100)</f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IF(C66="","",設定!$C$27*C66/D66*100)</f>
        <v/>
      </c>
      <c r="U66">
        <f t="shared" si="17"/>
        <v>0</v>
      </c>
    </row>
  </sheetData>
  <phoneticPr fontId="34"/>
  <conditionalFormatting sqref="A7:R66">
    <cfRule type="expression" dxfId="3" priority="1">
      <formula>$O7="◎達成"</formula>
    </cfRule>
    <cfRule type="expression" dxfId="2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190</v>
      </c>
    </row>
    <row r="3" spans="2:16" x14ac:dyDescent="0.15">
      <c r="B3" s="3" t="s">
        <v>191</v>
      </c>
    </row>
    <row r="4" spans="2:16" x14ac:dyDescent="0.15">
      <c r="B4" s="17" t="s">
        <v>192</v>
      </c>
    </row>
    <row r="6" spans="2:16" x14ac:dyDescent="0.15">
      <c r="B6" s="7" t="s">
        <v>124</v>
      </c>
    </row>
    <row r="7" spans="2:16" ht="32.1" customHeight="1" x14ac:dyDescent="0.15">
      <c r="B7" s="20" t="s">
        <v>193</v>
      </c>
      <c r="C7" s="20" t="s">
        <v>194</v>
      </c>
      <c r="D7" s="20" t="s">
        <v>195</v>
      </c>
      <c r="E7" s="20" t="s">
        <v>196</v>
      </c>
      <c r="F7" s="20" t="s">
        <v>197</v>
      </c>
      <c r="G7" s="20" t="s">
        <v>198</v>
      </c>
      <c r="H7" s="20" t="s">
        <v>199</v>
      </c>
      <c r="I7" s="20" t="s">
        <v>200</v>
      </c>
      <c r="J7" s="20" t="s">
        <v>201</v>
      </c>
      <c r="K7" s="20" t="s">
        <v>202</v>
      </c>
      <c r="L7" s="20" t="s">
        <v>176</v>
      </c>
      <c r="M7" s="20" t="s">
        <v>203</v>
      </c>
      <c r="N7" s="20" t="s">
        <v>204</v>
      </c>
      <c r="O7" s="20" t="s">
        <v>205</v>
      </c>
      <c r="P7" s="20" t="s">
        <v>206</v>
      </c>
    </row>
    <row r="8" spans="2:16" x14ac:dyDescent="0.15">
      <c r="B8" s="21" t="s">
        <v>207</v>
      </c>
      <c r="C8" s="50" t="s">
        <v>208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209</v>
      </c>
      <c r="C9" s="50" t="s">
        <v>210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211</v>
      </c>
      <c r="C10" s="50" t="s">
        <v>212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213</v>
      </c>
      <c r="C11" s="50" t="s">
        <v>214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215</v>
      </c>
      <c r="C12" s="50" t="s">
        <v>216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217</v>
      </c>
      <c r="C13" s="50" t="s">
        <v>218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219</v>
      </c>
      <c r="C14" s="50" t="s">
        <v>220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221</v>
      </c>
      <c r="C15" s="50" t="s">
        <v>222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223</v>
      </c>
      <c r="C16" s="50" t="s">
        <v>224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225</v>
      </c>
      <c r="C17" s="50" t="s">
        <v>226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227</v>
      </c>
      <c r="C18" s="50" t="s">
        <v>228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229</v>
      </c>
      <c r="C19" s="50" t="s">
        <v>230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231</v>
      </c>
      <c r="C20" s="50" t="s">
        <v>232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233</v>
      </c>
      <c r="C21" s="50" t="s">
        <v>234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235</v>
      </c>
      <c r="C22" s="50" t="s">
        <v>236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237</v>
      </c>
      <c r="C23" s="50" t="s">
        <v>238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239</v>
      </c>
      <c r="C24" s="50" t="s">
        <v>240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241</v>
      </c>
      <c r="C25" s="50" t="s">
        <v>242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243</v>
      </c>
      <c r="C26" s="50" t="s">
        <v>244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245</v>
      </c>
      <c r="C27" s="50" t="s">
        <v>246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247</v>
      </c>
      <c r="C28" s="50" t="s">
        <v>248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249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250</v>
      </c>
    </row>
    <row r="3" spans="2:68" x14ac:dyDescent="0.15">
      <c r="B3" s="3" t="s">
        <v>251</v>
      </c>
    </row>
    <row r="5" spans="2:68" x14ac:dyDescent="0.15">
      <c r="B5" s="7" t="s">
        <v>124</v>
      </c>
    </row>
    <row r="6" spans="2:68" x14ac:dyDescent="0.15">
      <c r="T6" s="1" t="s">
        <v>0</v>
      </c>
    </row>
    <row r="7" spans="2:68" x14ac:dyDescent="0.15">
      <c r="B7" s="9" t="s">
        <v>252</v>
      </c>
      <c r="T7" s="3" t="s">
        <v>115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253</v>
      </c>
      <c r="AA7" s="3" t="s">
        <v>254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255</v>
      </c>
      <c r="AN7" s="3" t="s">
        <v>256</v>
      </c>
      <c r="AO7" s="3" t="s">
        <v>11</v>
      </c>
      <c r="AP7" s="3" t="s">
        <v>12</v>
      </c>
      <c r="AQ7" s="3" t="s">
        <v>257</v>
      </c>
      <c r="AR7" s="3" t="s">
        <v>258</v>
      </c>
      <c r="AT7" s="3" t="s">
        <v>259</v>
      </c>
      <c r="AU7" s="3" t="s">
        <v>260</v>
      </c>
      <c r="AW7" s="3" t="s">
        <v>261</v>
      </c>
      <c r="AX7" s="3" t="s">
        <v>262</v>
      </c>
      <c r="AY7" s="3" t="s">
        <v>263</v>
      </c>
      <c r="AZ7" s="3" t="s">
        <v>264</v>
      </c>
      <c r="BA7" s="3" t="s">
        <v>265</v>
      </c>
      <c r="BC7" s="3" t="s">
        <v>11</v>
      </c>
      <c r="BD7" s="3" t="s">
        <v>12</v>
      </c>
      <c r="BE7" s="3" t="s">
        <v>266</v>
      </c>
      <c r="BF7" s="3" t="s">
        <v>267</v>
      </c>
      <c r="BH7" s="3" t="s">
        <v>11</v>
      </c>
      <c r="BI7" s="3" t="s">
        <v>12</v>
      </c>
      <c r="BJ7" s="3" t="s">
        <v>268</v>
      </c>
      <c r="BK7" s="3" t="s">
        <v>269</v>
      </c>
      <c r="BL7" s="3" t="s">
        <v>270</v>
      </c>
      <c r="BM7" s="3" t="s">
        <v>271</v>
      </c>
      <c r="BO7" s="3" t="s">
        <v>272</v>
      </c>
      <c r="BP7" s="3" t="s">
        <v>273</v>
      </c>
    </row>
    <row r="8" spans="2:68" ht="27.95" customHeight="1" x14ac:dyDescent="0.15">
      <c r="B8" s="90" t="s">
        <v>274</v>
      </c>
      <c r="C8" s="80"/>
      <c r="D8" s="80"/>
      <c r="E8" s="80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127.03460719829701</v>
      </c>
      <c r="Y8">
        <f>IF(梱包!$L$7="","",梱包!$L$7)</f>
        <v>146.66177155707118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127.03460719829701</v>
      </c>
      <c r="AR8">
        <f t="shared" ref="AR8:AR39" si="11">IFERROR(INDEX($Y$8:$Y$67,MATCH(AB8,$AP$8:$AP$67,0)),"")</f>
        <v>146.66177155707118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127.03460719829701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127.03460719829701</v>
      </c>
      <c r="BM8">
        <f t="shared" ref="BM8:BM39" si="19">IF(OR(BK8="",BL8=""),"",ABS(BK8-BL8))</f>
        <v>9.5494657800067273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275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0.57594936708860756</v>
      </c>
      <c r="V9">
        <f>IF(ピッキング!$G$8="","",ピッキング!$G$8)</f>
        <v>94.556962025316452</v>
      </c>
      <c r="W9">
        <f>IF(ピッキング!$P$8="","",ピッキング!$P$8)</f>
        <v>62.274999999999999</v>
      </c>
      <c r="X9">
        <f>IF(ピッキング!$L$8="","",ピッキング!$L$8)</f>
        <v>109.608647015599</v>
      </c>
      <c r="Y9">
        <f>IF(梱包!$L$8="","",梱包!$L$8)</f>
        <v>96.604008968531502</v>
      </c>
      <c r="Z9">
        <f>IF(OR(梱包!$E$8="",梱包!$C$8=""),"",梱包!$E$8/梱包!$C$8)</f>
        <v>0.44006309148264983</v>
      </c>
      <c r="AA9">
        <f>IF(梱包!$G$8="","",梱包!$G$8)</f>
        <v>116.40378548895899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0.57594936708860756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0.57594936708860756</v>
      </c>
      <c r="AJ9">
        <f t="shared" si="5"/>
        <v>62.274999999999999</v>
      </c>
      <c r="AK9">
        <f t="shared" si="6"/>
        <v>1</v>
      </c>
      <c r="AL9">
        <f>IF(AK9=1,SUM($AK$8:AK9),"")</f>
        <v>2</v>
      </c>
      <c r="AM9">
        <f t="shared" si="7"/>
        <v>0.44006309148264983</v>
      </c>
      <c r="AN9">
        <f t="shared" si="8"/>
        <v>116.40378548895899</v>
      </c>
      <c r="AO9">
        <f t="shared" si="9"/>
        <v>1</v>
      </c>
      <c r="AP9">
        <f>IF(AO9=1,SUM($AO$8:AO9),"")</f>
        <v>2</v>
      </c>
      <c r="AQ9">
        <f t="shared" si="10"/>
        <v>109.608647015599</v>
      </c>
      <c r="AR9">
        <f t="shared" si="11"/>
        <v>96.604008968531502</v>
      </c>
      <c r="AT9">
        <f>MAX(AE8:AE67)</f>
        <v>0.71212121212121215</v>
      </c>
      <c r="AU9">
        <f>設定!$E$6*AT9+設定!$E$7</f>
        <v>115.51439393939393</v>
      </c>
      <c r="AW9">
        <f>IF(ピッキング!$I$8="","",ピッキング!$I$8)</f>
        <v>1420.4458333333332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114.09203480589021</v>
      </c>
      <c r="BA9">
        <f>IF(ピッキング!$L$8="","",ピッキング!$L$8)</f>
        <v>109.608647015599</v>
      </c>
      <c r="BC9">
        <f t="shared" si="12"/>
        <v>1</v>
      </c>
      <c r="BD9">
        <f>IF(BC9=1,SUM($BC$8:BC9),"")</f>
        <v>2</v>
      </c>
      <c r="BE9">
        <f t="shared" si="13"/>
        <v>1420.4458333333332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114.09203480589021</v>
      </c>
      <c r="BL9">
        <f t="shared" si="18"/>
        <v>109.608647015599</v>
      </c>
      <c r="BM9">
        <f t="shared" si="19"/>
        <v>4.4833877902912036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0.44619484631464695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120.67691021365592</v>
      </c>
      <c r="Y10">
        <f>IF(梱包!$L$9="","",梱包!$L$9)</f>
        <v>131.04490021102978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120.67691021365592</v>
      </c>
      <c r="AR10">
        <f t="shared" si="11"/>
        <v>131.04490021102978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120.67691021365592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120.67691021365592</v>
      </c>
      <c r="BM10">
        <f t="shared" si="19"/>
        <v>7.9481712195688345</v>
      </c>
    </row>
    <row r="11" spans="2:68" x14ac:dyDescent="0.15">
      <c r="B11" s="25" t="s">
        <v>276</v>
      </c>
      <c r="C11" s="52">
        <f>IFERROR(RSQ($AF$8:$AF$67,$AE$8:$AE$67),"")</f>
        <v>0.19908984087775142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119.7425901187512</v>
      </c>
      <c r="Y11">
        <f>IF(梱包!$L$10="","",梱包!$L$10)</f>
        <v>128.1824773344137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119.7425901187512</v>
      </c>
      <c r="AR11">
        <f t="shared" si="11"/>
        <v>128.1824773344137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119.7425901187512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119.7425901187512</v>
      </c>
      <c r="BM11">
        <f t="shared" si="19"/>
        <v>12.059879017051259</v>
      </c>
    </row>
    <row r="12" spans="2:68" x14ac:dyDescent="0.15">
      <c r="B12" s="25" t="s">
        <v>277</v>
      </c>
      <c r="C12" s="22">
        <f>IFERROR(SLOPE($AF$8:$AF$67,$AE$8:$AE$67),"")</f>
        <v>118.057027717534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111.28404540730916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109.25811506173572</v>
      </c>
      <c r="AR12">
        <f t="shared" si="11"/>
        <v>82.508009548320643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111.28404540730916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111.28404540730916</v>
      </c>
      <c r="BM12">
        <f t="shared" si="19"/>
        <v>15.275478402214631</v>
      </c>
    </row>
    <row r="13" spans="2:68" x14ac:dyDescent="0.15">
      <c r="B13" s="25" t="s">
        <v>278</v>
      </c>
      <c r="C13" s="22">
        <f>IFERROR(INTERCEPT($AF$8:$AF$67,$AE$8:$AE$67),"")</f>
        <v>68.848594454644854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109.25811506173572</v>
      </c>
      <c r="Y13">
        <f>IF(梱包!$L$12="","",梱包!$L$12)</f>
        <v>82.508009548320643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108.19661844228943</v>
      </c>
      <c r="AR13">
        <f t="shared" si="11"/>
        <v>89.76235104145006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109.25811506173572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109.25811506173572</v>
      </c>
      <c r="BM13">
        <f t="shared" si="19"/>
        <v>2.3425822883340004</v>
      </c>
    </row>
    <row r="14" spans="2:68" x14ac:dyDescent="0.15">
      <c r="B14" s="25" t="s">
        <v>279</v>
      </c>
      <c r="C14" s="53">
        <f>IFERROR(TDIST(ABS(C10)*SQRT((C9-2)/(1-C10^2)),C9-2,2),"")</f>
        <v>1.5259395954694794E-2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108.19661844228943</v>
      </c>
      <c r="Y14">
        <f>IF(梱包!$L$13="","",梱包!$L$13)</f>
        <v>89.76235104145006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106.48628255257557</v>
      </c>
      <c r="AR14">
        <f t="shared" si="11"/>
        <v>120.21334891697963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108.19661844228943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108.19661844228943</v>
      </c>
      <c r="BM14">
        <f t="shared" si="19"/>
        <v>13.12838155771054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106.48628255257557</v>
      </c>
      <c r="Y15">
        <f>IF(梱包!$L$14="","",梱包!$L$14)</f>
        <v>120.21334891697963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105.5199126114411</v>
      </c>
      <c r="AR15">
        <f t="shared" si="11"/>
        <v>95.030981294859927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106.48628255257557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106.48628255257557</v>
      </c>
      <c r="BM15">
        <f t="shared" si="19"/>
        <v>1.9539106123575607</v>
      </c>
    </row>
    <row r="16" spans="2:68" x14ac:dyDescent="0.15">
      <c r="B16" s="9" t="s">
        <v>280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105.5199126114411</v>
      </c>
      <c r="Y16">
        <f>IF(梱包!$L$15="","",梱包!$L$15)</f>
        <v>95.030981294859927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105.27874024037102</v>
      </c>
      <c r="AR16">
        <f t="shared" si="11"/>
        <v>86.587819371053342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105.5199126114411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105.5199126114411</v>
      </c>
      <c r="BM16">
        <f t="shared" si="19"/>
        <v>1.2848351630396024</v>
      </c>
    </row>
    <row r="17" spans="2:65" ht="27.95" customHeight="1" x14ac:dyDescent="0.15">
      <c r="B17" s="90" t="s">
        <v>281</v>
      </c>
      <c r="C17" s="80"/>
      <c r="D17" s="80"/>
      <c r="E17" s="80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105.27874024037102</v>
      </c>
      <c r="Y17">
        <f>IF(梱包!$L$16="","",梱包!$L$16)</f>
        <v>86.587819371053342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104.82956951103425</v>
      </c>
      <c r="AR17">
        <f t="shared" si="11"/>
        <v>160.21330038970882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105.27874024037102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105.27874024037102</v>
      </c>
      <c r="BM17">
        <f t="shared" si="19"/>
        <v>0.94304855873734539</v>
      </c>
    </row>
    <row r="18" spans="2:65" x14ac:dyDescent="0.15">
      <c r="B18" s="25" t="s">
        <v>275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104.82956951103425</v>
      </c>
      <c r="Y18">
        <f>IF(梱包!$L$17="","",梱包!$L$17)</f>
        <v>160.21330038970882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102.19941536738331</v>
      </c>
      <c r="AR18">
        <f t="shared" si="11"/>
        <v>133.25785675591538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104.82956951103425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104.82956951103425</v>
      </c>
      <c r="BM18">
        <f t="shared" si="19"/>
        <v>1.5701532246404071</v>
      </c>
    </row>
    <row r="19" spans="2:65" x14ac:dyDescent="0.15">
      <c r="B19" s="25" t="s">
        <v>57</v>
      </c>
      <c r="C19" s="52">
        <f>IFERROR(CORREL($AI$8:$AI$67,$AJ$8:$AJ$67),"")</f>
        <v>0.14617090477012673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102.19941536738331</v>
      </c>
      <c r="Y19">
        <f>IF(梱包!$L$18="","",梱包!$L$18)</f>
        <v>133.25785675591538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102.10123607448666</v>
      </c>
      <c r="AR19">
        <f t="shared" si="11"/>
        <v>81.8195904305488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102.19941536738331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102.19941536738331</v>
      </c>
      <c r="BM19">
        <f t="shared" si="19"/>
        <v>0.19991486788282486</v>
      </c>
    </row>
    <row r="20" spans="2:65" x14ac:dyDescent="0.15">
      <c r="B20" s="25" t="s">
        <v>276</v>
      </c>
      <c r="C20" s="52">
        <f>IFERROR(RSQ($AJ$8:$AJ$67,$AI$8:$AI$67),"")</f>
        <v>2.1365933401317459E-2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102.10123607448666</v>
      </c>
      <c r="Y20">
        <f>IF(梱包!$L$19="","",梱包!$L$19)</f>
        <v>81.8195904305488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100.77903963067155</v>
      </c>
      <c r="AR20">
        <f t="shared" si="11"/>
        <v>60.246292066240983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102.10123607448666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102.10123607448666</v>
      </c>
      <c r="BM20">
        <f t="shared" si="19"/>
        <v>0.38771057559532096</v>
      </c>
    </row>
    <row r="21" spans="2:65" x14ac:dyDescent="0.15">
      <c r="B21" s="25" t="s">
        <v>277</v>
      </c>
      <c r="C21" s="22">
        <f>IFERROR(SLOPE($AJ$8:$AJ$67,$AI$8:$AI$67),"")</f>
        <v>33.706485522398637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101.53055698910751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100.53479201324765</v>
      </c>
      <c r="AR21">
        <f t="shared" si="11"/>
        <v>115.10131008792217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101.53055698910751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101.53055698910751</v>
      </c>
      <c r="BM21">
        <f t="shared" si="19"/>
        <v>0.93793953944307873</v>
      </c>
    </row>
    <row r="22" spans="2:65" x14ac:dyDescent="0.15">
      <c r="B22" s="25" t="s">
        <v>278</v>
      </c>
      <c r="C22" s="22">
        <f>IFERROR(INTERCEPT($AJ$8:$AJ$67,$AI$8:$AI$67),"")</f>
        <v>66.077396268939836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100.77903963067155</v>
      </c>
      <c r="Y22">
        <f>IF(梱包!$L$21="","",梱包!$L$21)</f>
        <v>60.246292066240983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100.54560159272768</v>
      </c>
      <c r="AR22">
        <f t="shared" si="11"/>
        <v>74.647652818461978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100.77903963067155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100.77903963067155</v>
      </c>
      <c r="BM22">
        <f t="shared" si="19"/>
        <v>2.5579285195604342</v>
      </c>
    </row>
    <row r="23" spans="2:65" x14ac:dyDescent="0.15">
      <c r="B23" s="25" t="s">
        <v>279</v>
      </c>
      <c r="C23" s="27">
        <f>IFERROR(TDIST(ABS(C19)*SQRT((C18-2)/(1-C19^2)),C18-2,2),"")</f>
        <v>0.44928513783822099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100.53479201324765</v>
      </c>
      <c r="Y23">
        <f>IF(梱包!$L$22="","",梱包!$L$22)</f>
        <v>115.10131008792217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99.042799211712904</v>
      </c>
      <c r="AR23">
        <f t="shared" si="11"/>
        <v>98.813177530341235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100.53479201324765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100.53479201324765</v>
      </c>
      <c r="BM23">
        <f t="shared" si="19"/>
        <v>2.4179441871606855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100.54560159272768</v>
      </c>
      <c r="Y24">
        <f>IF(梱包!$L$23="","",梱包!$L$23)</f>
        <v>74.647652818461978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90.975092590504204</v>
      </c>
      <c r="AR24">
        <f t="shared" si="11"/>
        <v>102.27473325768686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100.54560159272768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100.54560159272768</v>
      </c>
      <c r="BM24">
        <f t="shared" si="19"/>
        <v>0.90197695089386798</v>
      </c>
    </row>
    <row r="25" spans="2:65" x14ac:dyDescent="0.15">
      <c r="B25" s="9" t="s">
        <v>282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99.234129665461822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90.760319550211833</v>
      </c>
      <c r="AR25">
        <f t="shared" si="11"/>
        <v>69.508553165647555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99.234129665461822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99.234129665461822</v>
      </c>
      <c r="BM25">
        <f t="shared" si="19"/>
        <v>7.8854810168131877</v>
      </c>
    </row>
    <row r="26" spans="2:65" ht="27.95" customHeight="1" x14ac:dyDescent="0.15">
      <c r="B26" s="90" t="s">
        <v>283</v>
      </c>
      <c r="C26" s="80"/>
      <c r="D26" s="80"/>
      <c r="E26" s="80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99.042799211712904</v>
      </c>
      <c r="Y26">
        <f>IF(梱包!$L$25="","",梱包!$L$25)</f>
        <v>98.813177530341235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85.538485613185657</v>
      </c>
      <c r="AR26">
        <f t="shared" si="11"/>
        <v>126.82484924085423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99.042799211712904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99.042799211712904</v>
      </c>
      <c r="BM26">
        <f t="shared" si="19"/>
        <v>2.5002249542871624</v>
      </c>
    </row>
    <row r="27" spans="2:65" x14ac:dyDescent="0.15">
      <c r="B27" s="25" t="s">
        <v>275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94.651101621000734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94.651101621000734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94.651101621000734</v>
      </c>
      <c r="BM27">
        <f t="shared" si="19"/>
        <v>4.6577647340071167</v>
      </c>
    </row>
    <row r="28" spans="2:65" x14ac:dyDescent="0.15">
      <c r="B28" s="25" t="s">
        <v>57</v>
      </c>
      <c r="C28" s="52">
        <f>IFERROR(CORREL($AM$8:$AM$67,$AN$8:$AN$67),"")</f>
        <v>0.21837394940917218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93.275656460937611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93.275656460937611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93.275656460937611</v>
      </c>
      <c r="BM28">
        <f t="shared" si="19"/>
        <v>16.391993094600977</v>
      </c>
    </row>
    <row r="29" spans="2:65" x14ac:dyDescent="0.15">
      <c r="B29" s="25" t="s">
        <v>276</v>
      </c>
      <c r="C29" s="52">
        <f>IFERROR(RSQ($AN$8:$AN$67,$AM$8:$AM$67),"")</f>
        <v>4.7687181780559681E-2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93.411181096143565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93.411181096143565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93.411181096143565</v>
      </c>
      <c r="BM29">
        <f t="shared" si="19"/>
        <v>5.3845583780908441</v>
      </c>
    </row>
    <row r="30" spans="2:65" x14ac:dyDescent="0.15">
      <c r="B30" s="25" t="s">
        <v>277</v>
      </c>
      <c r="C30" s="22">
        <f>IFERROR(SLOPE($AN$8:$AN$67,$AM$8:$AM$67),"")</f>
        <v>93.099131701720253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90.975092590504204</v>
      </c>
      <c r="Y30">
        <f>IF(梱包!$L$29="","",梱包!$L$29)</f>
        <v>102.27473325768686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90.975092590504204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90.975092590504204</v>
      </c>
      <c r="BM30">
        <f t="shared" si="19"/>
        <v>9.0833328139678997</v>
      </c>
    </row>
    <row r="31" spans="2:65" x14ac:dyDescent="0.15">
      <c r="B31" s="25" t="s">
        <v>278</v>
      </c>
      <c r="C31" s="22">
        <f>IFERROR(INTERCEPT($AN$8:$AN$67,$AM$8:$AM$67),"")</f>
        <v>74.563436678342583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90.760319550211833</v>
      </c>
      <c r="Y31">
        <f>IF(梱包!$L$30="","",梱包!$L$30)</f>
        <v>69.508553165647555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90.760319550211833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90.760319550211833</v>
      </c>
      <c r="BM31">
        <f t="shared" si="19"/>
        <v>4.8976879712644745</v>
      </c>
    </row>
    <row r="32" spans="2:65" x14ac:dyDescent="0.15">
      <c r="B32" s="25" t="s">
        <v>279</v>
      </c>
      <c r="C32" s="53">
        <f>IFERROR(TDIST(ABS(C28)*SQRT((C27-2)/(1-C28^2)),C27-2,2),"")</f>
        <v>0.3691015917384205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88.912906889449019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88.912906889449019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88.912906889449019</v>
      </c>
      <c r="BM32">
        <f t="shared" si="19"/>
        <v>8.0212734233135592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88.533376547012466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88.533376547012466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88.533376547012466</v>
      </c>
      <c r="BM33">
        <f t="shared" si="19"/>
        <v>8.2437394887507622</v>
      </c>
    </row>
    <row r="34" spans="2:65" x14ac:dyDescent="0.15">
      <c r="B34" s="9" t="s">
        <v>284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87.517454266205448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87.517454266205448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87.517454266205448</v>
      </c>
      <c r="BM34">
        <f t="shared" si="19"/>
        <v>8.1592929153611635</v>
      </c>
    </row>
    <row r="35" spans="2:65" ht="27.95" customHeight="1" x14ac:dyDescent="0.15">
      <c r="B35" s="90" t="s">
        <v>285</v>
      </c>
      <c r="C35" s="80"/>
      <c r="D35" s="80"/>
      <c r="E35" s="80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85.923353074085327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85.923353074085327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85.923353074085327</v>
      </c>
      <c r="BM35">
        <f t="shared" si="19"/>
        <v>29.3209040944935</v>
      </c>
    </row>
    <row r="36" spans="2:65" x14ac:dyDescent="0.15">
      <c r="B36" s="25" t="s">
        <v>275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85.538485613185657</v>
      </c>
      <c r="Y36">
        <f>IF(梱包!$L$35="","",梱包!$L$35)</f>
        <v>126.82484924085423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85.538485613185657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85.538485613185657</v>
      </c>
      <c r="BM36">
        <f t="shared" si="19"/>
        <v>10.908250011091425</v>
      </c>
    </row>
    <row r="37" spans="2:65" x14ac:dyDescent="0.15">
      <c r="B37" s="25" t="s">
        <v>57</v>
      </c>
      <c r="C37" s="52">
        <f>IFERROR(CORREL($AQ$8:$AQ$67,$AR$8:$AR$67),"")</f>
        <v>0.377160149411157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276</v>
      </c>
      <c r="C38" s="52">
        <f>IFERROR(RSQ($AR$8:$AR$67,$AQ$8:$AQ$67),"")</f>
        <v>0.14224977830384622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277</v>
      </c>
      <c r="C39" s="22">
        <f>IFERROR(SLOPE($AR$8:$AR$67,$AQ$8:$AQ$67),"")</f>
        <v>1.0134449947953084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278</v>
      </c>
      <c r="C40" s="22">
        <f>IFERROR(INTERCEPT($AR$8:$AR$67,$AQ$8:$AQ$67),"")</f>
        <v>-0.87101830235664579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279</v>
      </c>
      <c r="C41" s="53">
        <f>IFERROR(TDIST(ABS(C37)*SQRT((C36-2)/(1-C37^2)),C36-2,2),"")</f>
        <v>0.11142187370190609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286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0" t="s">
        <v>287</v>
      </c>
      <c r="C44" s="80"/>
      <c r="D44" s="80"/>
      <c r="E44" s="80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275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0.95693104143366259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276</v>
      </c>
      <c r="C47" s="52">
        <f>IFERROR(RSQ($BF$8:$BF$67,$BE$8:$BE$67),"")</f>
        <v>0.91571701805931405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277</v>
      </c>
      <c r="C48" s="22">
        <f>IFERROR(SLOPE($BF$8:$BF$67,$BE$8:$BE$67),"")</f>
        <v>0.89932297626121382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278</v>
      </c>
      <c r="C49" s="22">
        <f>IFERROR(INTERCEPT($BF$8:$BF$67,$BE$8:$BE$67),"")</f>
        <v>151.61056531300596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279</v>
      </c>
      <c r="C50" s="53">
        <f>IFERROR(TDIST(ABS(C46)*SQRT((C45-2)/(1-C46^2)),C45-2,2),"")</f>
        <v>4.9828446542822818E-16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288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0" t="s">
        <v>289</v>
      </c>
      <c r="C53" s="80"/>
      <c r="D53" s="80"/>
      <c r="E53" s="80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275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-0.48611313289325303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276</v>
      </c>
      <c r="C56" s="52">
        <f>IFERROR(RSQ($BM$8:$BM$67,$BJ$8:$BJ$67),"")</f>
        <v>0.23630597797129355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277</v>
      </c>
      <c r="C57" s="22">
        <f>IFERROR(SLOPE($BM$8:$BM$67,$BJ$8:$BJ$67),"")</f>
        <v>-0.61759602770960342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278</v>
      </c>
      <c r="C58" s="22">
        <f>IFERROR(INTERCEPT($BM$8:$BM$67,$BJ$8:$BJ$67),"")</f>
        <v>13.462425654823926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279</v>
      </c>
      <c r="C59" s="53">
        <f>IFERROR(TDIST(ABS(C55)*SQRT((C54-2)/(1-C55^2)),C54-2,2),"")</f>
        <v>7.5031852472193126E-3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290</v>
      </c>
    </row>
    <row r="130" spans="2:2" x14ac:dyDescent="0.15">
      <c r="B130" s="54" t="s">
        <v>291</v>
      </c>
    </row>
    <row r="131" spans="2:2" x14ac:dyDescent="0.15">
      <c r="B131" s="54" t="s">
        <v>292</v>
      </c>
    </row>
    <row r="132" spans="2:2" x14ac:dyDescent="0.15">
      <c r="B132" s="54"/>
    </row>
    <row r="133" spans="2:2" x14ac:dyDescent="0.15">
      <c r="B133" s="54" t="s">
        <v>293</v>
      </c>
    </row>
    <row r="134" spans="2:2" x14ac:dyDescent="0.15">
      <c r="B134" s="54" t="s">
        <v>294</v>
      </c>
    </row>
    <row r="135" spans="2:2" x14ac:dyDescent="0.15">
      <c r="B135" s="54"/>
    </row>
    <row r="136" spans="2:2" x14ac:dyDescent="0.15">
      <c r="B136" s="54" t="s">
        <v>295</v>
      </c>
    </row>
    <row r="137" spans="2:2" x14ac:dyDescent="0.15">
      <c r="B137" s="54" t="s">
        <v>296</v>
      </c>
    </row>
    <row r="138" spans="2:2" x14ac:dyDescent="0.15">
      <c r="B138" s="54"/>
    </row>
    <row r="139" spans="2:2" x14ac:dyDescent="0.15">
      <c r="B139" s="54" t="s">
        <v>297</v>
      </c>
    </row>
    <row r="140" spans="2:2" x14ac:dyDescent="0.15">
      <c r="B140" s="54"/>
    </row>
    <row r="141" spans="2:2" x14ac:dyDescent="0.15">
      <c r="B141" s="54" t="s">
        <v>298</v>
      </c>
    </row>
    <row r="142" spans="2:2" x14ac:dyDescent="0.15">
      <c r="B142" s="54" t="s">
        <v>299</v>
      </c>
    </row>
    <row r="143" spans="2:2" x14ac:dyDescent="0.15">
      <c r="B143" s="54" t="s">
        <v>300</v>
      </c>
    </row>
    <row r="144" spans="2:2" x14ac:dyDescent="0.15">
      <c r="B144" s="54" t="s">
        <v>301</v>
      </c>
    </row>
    <row r="145" spans="2:2" x14ac:dyDescent="0.15">
      <c r="B145" s="54" t="s">
        <v>302</v>
      </c>
    </row>
    <row r="146" spans="2:2" x14ac:dyDescent="0.15">
      <c r="B146" s="54"/>
    </row>
    <row r="147" spans="2:2" x14ac:dyDescent="0.15">
      <c r="B147" s="54" t="s">
        <v>303</v>
      </c>
    </row>
    <row r="148" spans="2:2" x14ac:dyDescent="0.15">
      <c r="B148" s="54" t="s">
        <v>304</v>
      </c>
    </row>
    <row r="149" spans="2:2" x14ac:dyDescent="0.15">
      <c r="B149" s="54" t="s">
        <v>305</v>
      </c>
    </row>
    <row r="150" spans="2:2" x14ac:dyDescent="0.15">
      <c r="B150" s="54" t="s">
        <v>306</v>
      </c>
    </row>
    <row r="151" spans="2:2" x14ac:dyDescent="0.15">
      <c r="B151" s="54"/>
    </row>
    <row r="152" spans="2:2" x14ac:dyDescent="0.15">
      <c r="B152" s="54" t="s">
        <v>307</v>
      </c>
    </row>
    <row r="153" spans="2:2" x14ac:dyDescent="0.15">
      <c r="B153" s="54" t="s">
        <v>308</v>
      </c>
    </row>
    <row r="154" spans="2:2" x14ac:dyDescent="0.15">
      <c r="B154" s="54" t="s">
        <v>309</v>
      </c>
    </row>
    <row r="155" spans="2:2" x14ac:dyDescent="0.15">
      <c r="B155" s="54" t="s">
        <v>310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311</v>
      </c>
    </row>
    <row r="3" spans="2:8" x14ac:dyDescent="0.15">
      <c r="B3" s="3" t="s">
        <v>312</v>
      </c>
    </row>
    <row r="5" spans="2:8" x14ac:dyDescent="0.15">
      <c r="B5" s="7" t="s">
        <v>124</v>
      </c>
    </row>
    <row r="7" spans="2:8" ht="20.100000000000001" customHeight="1" x14ac:dyDescent="0.15">
      <c r="B7" s="20" t="s">
        <v>126</v>
      </c>
      <c r="C7" s="20" t="s">
        <v>313</v>
      </c>
      <c r="D7" s="20" t="s">
        <v>314</v>
      </c>
      <c r="E7" s="20" t="s">
        <v>315</v>
      </c>
      <c r="F7" s="20" t="s">
        <v>316</v>
      </c>
      <c r="G7" s="20" t="s">
        <v>317</v>
      </c>
      <c r="H7" s="20" t="s">
        <v>318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127.03460719829701</v>
      </c>
      <c r="D8" s="22">
        <f>IF(梱包!$L$7="","",梱包!$L$7)</f>
        <v>146.66177155707118</v>
      </c>
      <c r="E8" s="22">
        <f>IF(C8="","",C8-ピッキング!$T$3)</f>
        <v>24.437291214163963</v>
      </c>
      <c r="F8" s="22">
        <f>IF(D8="","",D8-梱包!$T$3)</f>
        <v>37.218050976113702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109.608647015599</v>
      </c>
      <c r="D9" s="22">
        <f>IF(梱包!$L$8="","",梱包!$L$8)</f>
        <v>96.604008968531502</v>
      </c>
      <c r="E9" s="22">
        <f>IF(C9="","",C9-ピッキング!$T$3)</f>
        <v>7.0113310314659572</v>
      </c>
      <c r="F9" s="22">
        <f>IF(D9="","",D9-梱包!$T$3)</f>
        <v>-12.839711612425972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120.67691021365592</v>
      </c>
      <c r="D10" s="22">
        <f>IF(梱包!$L$9="","",梱包!$L$9)</f>
        <v>131.04490021102978</v>
      </c>
      <c r="E10" s="22">
        <f>IF(C10="","",C10-ピッキング!$T$3)</f>
        <v>18.079594229522868</v>
      </c>
      <c r="F10" s="22">
        <f>IF(D10="","",D10-梱包!$T$3)</f>
        <v>21.601179630072309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119.7425901187512</v>
      </c>
      <c r="D11" s="22">
        <f>IF(梱包!$L$10="","",梱包!$L$10)</f>
        <v>128.1824773344137</v>
      </c>
      <c r="E11" s="22">
        <f>IF(C11="","",C11-ピッキング!$T$3)</f>
        <v>17.145274134618148</v>
      </c>
      <c r="F11" s="22">
        <f>IF(D11="","",D11-梱包!$T$3)</f>
        <v>18.738756753456229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111.28404540730916</v>
      </c>
      <c r="D12" s="22" t="str">
        <f>IF(梱包!$L$11="","",梱包!$L$11)</f>
        <v/>
      </c>
      <c r="E12" s="22">
        <f>IF(C12="","",C12-ピッキング!$T$3)</f>
        <v>8.6867294231761178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109.25811506173572</v>
      </c>
      <c r="D13" s="22">
        <f>IF(梱包!$L$12="","",梱包!$L$12)</f>
        <v>82.508009548320643</v>
      </c>
      <c r="E13" s="22">
        <f>IF(C13="","",C13-ピッキング!$T$3)</f>
        <v>6.6607990776026753</v>
      </c>
      <c r="F13" s="22">
        <f>IF(D13="","",D13-梱包!$T$3)</f>
        <v>-26.935711032636831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108.19661844228943</v>
      </c>
      <c r="D14" s="22">
        <f>IF(梱包!$L$13="","",梱包!$L$13)</f>
        <v>89.76235104145006</v>
      </c>
      <c r="E14" s="22">
        <f>IF(C14="","",C14-ピッキング!$T$3)</f>
        <v>5.5993024581563873</v>
      </c>
      <c r="F14" s="22">
        <f>IF(D14="","",D14-梱包!$T$3)</f>
        <v>-19.681369539507415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106.48628255257557</v>
      </c>
      <c r="D15" s="22">
        <f>IF(梱包!$L$14="","",梱包!$L$14)</f>
        <v>120.21334891697963</v>
      </c>
      <c r="E15" s="22">
        <f>IF(C15="","",C15-ピッキング!$T$3)</f>
        <v>3.8889665684425268</v>
      </c>
      <c r="F15" s="22">
        <f>IF(D15="","",D15-梱包!$T$3)</f>
        <v>10.769628336022151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105.5199126114411</v>
      </c>
      <c r="D16" s="22">
        <f>IF(梱包!$L$15="","",梱包!$L$15)</f>
        <v>95.030981294859927</v>
      </c>
      <c r="E16" s="22">
        <f>IF(C16="","",C16-ピッキング!$T$3)</f>
        <v>2.922596627308053</v>
      </c>
      <c r="F16" s="22">
        <f>IF(D16="","",D16-梱包!$T$3)</f>
        <v>-14.412739286097548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105.27874024037102</v>
      </c>
      <c r="D17" s="22">
        <f>IF(梱包!$L$16="","",梱包!$L$16)</f>
        <v>86.587819371053342</v>
      </c>
      <c r="E17" s="22">
        <f>IF(C17="","",C17-ピッキング!$T$3)</f>
        <v>2.6814242562379746</v>
      </c>
      <c r="F17" s="22">
        <f>IF(D17="","",D17-梱包!$T$3)</f>
        <v>-22.855901209904133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104.82956951103425</v>
      </c>
      <c r="D18" s="22">
        <f>IF(梱包!$L$17="","",梱包!$L$17)</f>
        <v>160.21330038970882</v>
      </c>
      <c r="E18" s="22">
        <f>IF(C18="","",C18-ピッキング!$T$3)</f>
        <v>2.2322535269012036</v>
      </c>
      <c r="F18" s="22">
        <f>IF(D18="","",D18-梱包!$T$3)</f>
        <v>50.769579808751345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102.19941536738331</v>
      </c>
      <c r="D19" s="22">
        <f>IF(梱包!$L$18="","",梱包!$L$18)</f>
        <v>133.25785675591538</v>
      </c>
      <c r="E19" s="22">
        <f>IF(C19="","",C19-ピッキング!$T$3)</f>
        <v>-0.39790061674973742</v>
      </c>
      <c r="F19" s="22">
        <f>IF(D19="","",D19-梱包!$T$3)</f>
        <v>23.814136174957909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102.10123607448666</v>
      </c>
      <c r="D20" s="22">
        <f>IF(梱包!$L$19="","",梱包!$L$19)</f>
        <v>81.8195904305488</v>
      </c>
      <c r="E20" s="22">
        <f>IF(C20="","",C20-ピッキング!$T$3)</f>
        <v>-0.49607990964638304</v>
      </c>
      <c r="F20" s="22">
        <f>IF(D20="","",D20-梱包!$T$3)</f>
        <v>-27.624130150408675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101.53055698910751</v>
      </c>
      <c r="D21" s="22" t="str">
        <f>IF(梱包!$L$20="","",梱包!$L$20)</f>
        <v/>
      </c>
      <c r="E21" s="22">
        <f>IF(C21="","",C21-ピッキング!$T$3)</f>
        <v>-1.0667589950255376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100.77903963067155</v>
      </c>
      <c r="D22" s="22">
        <f>IF(梱包!$L$21="","",梱包!$L$21)</f>
        <v>60.246292066240983</v>
      </c>
      <c r="E22" s="22">
        <f>IF(C22="","",C22-ピッキング!$T$3)</f>
        <v>-1.8182763534614992</v>
      </c>
      <c r="F22" s="22">
        <f>IF(D22="","",D22-梱包!$T$3)</f>
        <v>-49.197428514716492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100.53479201324765</v>
      </c>
      <c r="D23" s="22">
        <f>IF(梱包!$L$22="","",梱包!$L$22)</f>
        <v>115.10131008792217</v>
      </c>
      <c r="E23" s="22">
        <f>IF(C23="","",C23-ピッキング!$T$3)</f>
        <v>-2.062523970885394</v>
      </c>
      <c r="F23" s="22">
        <f>IF(D23="","",D23-梱包!$T$3)</f>
        <v>5.6575895069646975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100.54560159272768</v>
      </c>
      <c r="D24" s="22">
        <f>IF(梱包!$L$23="","",梱包!$L$23)</f>
        <v>74.647652818461978</v>
      </c>
      <c r="E24" s="22">
        <f>IF(C24="","",C24-ピッキング!$T$3)</f>
        <v>-2.051714391405369</v>
      </c>
      <c r="F24" s="22">
        <f>IF(D24="","",D24-梱包!$T$3)</f>
        <v>-34.796067762495497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99.234129665461822</v>
      </c>
      <c r="D25" s="22" t="str">
        <f>IF(梱包!$L$24="","",梱包!$L$24)</f>
        <v/>
      </c>
      <c r="E25" s="22">
        <f>IF(C25="","",C25-ピッキング!$T$3)</f>
        <v>-3.3631863186712252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99.042799211712904</v>
      </c>
      <c r="D26" s="22">
        <f>IF(梱包!$L$25="","",梱包!$L$25)</f>
        <v>98.813177530341235</v>
      </c>
      <c r="E26" s="22">
        <f>IF(C26="","",C26-ピッキング!$T$3)</f>
        <v>-3.5545167724201434</v>
      </c>
      <c r="F26" s="22">
        <f>IF(D26="","",D26-梱包!$T$3)</f>
        <v>-10.630543050616239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94.651101621000734</v>
      </c>
      <c r="D27" s="22" t="str">
        <f>IF(梱包!$L$26="","",梱包!$L$26)</f>
        <v/>
      </c>
      <c r="E27" s="22">
        <f>IF(C27="","",C27-ピッキング!$T$3)</f>
        <v>-7.946214363132313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93.275656460937611</v>
      </c>
      <c r="D28" s="22" t="str">
        <f>IF(梱包!$L$27="","",梱包!$L$27)</f>
        <v/>
      </c>
      <c r="E28" s="22">
        <f>IF(C28="","",C28-ピッキング!$T$3)</f>
        <v>-9.3216595231954358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93.411181096143565</v>
      </c>
      <c r="D29" s="22" t="str">
        <f>IF(梱包!$L$28="","",梱包!$L$28)</f>
        <v/>
      </c>
      <c r="E29" s="22">
        <f>IF(C29="","",C29-ピッキング!$T$3)</f>
        <v>-9.186134887989482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90.975092590504204</v>
      </c>
      <c r="D30" s="22">
        <f>IF(梱包!$L$29="","",梱包!$L$29)</f>
        <v>102.27473325768686</v>
      </c>
      <c r="E30" s="22">
        <f>IF(C30="","",C30-ピッキング!$T$3)</f>
        <v>-11.622223393628843</v>
      </c>
      <c r="F30" s="22">
        <f>IF(D30="","",D30-梱包!$T$3)</f>
        <v>-7.1689873232706134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90.760319550211833</v>
      </c>
      <c r="D31" s="22">
        <f>IF(梱包!$L$30="","",梱包!$L$30)</f>
        <v>69.508553165647555</v>
      </c>
      <c r="E31" s="22">
        <f>IF(C31="","",C31-ピッキング!$T$3)</f>
        <v>-11.836996433921215</v>
      </c>
      <c r="F31" s="22">
        <f>IF(D31="","",D31-梱包!$T$3)</f>
        <v>-39.93516741530992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88.912906889449019</v>
      </c>
      <c r="D32" s="22" t="str">
        <f>IF(梱包!$L$31="","",梱包!$L$31)</f>
        <v/>
      </c>
      <c r="E32" s="22">
        <f>IF(C32="","",C32-ピッキング!$T$3)</f>
        <v>-13.684409094684028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88.533376547012466</v>
      </c>
      <c r="D33" s="22" t="str">
        <f>IF(梱包!$L$32="","",梱包!$L$32)</f>
        <v/>
      </c>
      <c r="E33" s="22">
        <f>IF(C33="","",C33-ピッキング!$T$3)</f>
        <v>-14.063939437120581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87.517454266205448</v>
      </c>
      <c r="D34" s="22" t="str">
        <f>IF(梱包!$L$33="","",梱包!$L$33)</f>
        <v/>
      </c>
      <c r="E34" s="22">
        <f>IF(C34="","",C34-ピッキング!$T$3)</f>
        <v>-15.079861717927599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85.923353074085327</v>
      </c>
      <c r="D35" s="22" t="str">
        <f>IF(梱包!$L$34="","",梱包!$L$34)</f>
        <v/>
      </c>
      <c r="E35" s="22">
        <f>IF(C35="","",C35-ピッキング!$T$3)</f>
        <v>-16.67396291004772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85.538485613185657</v>
      </c>
      <c r="D36" s="22">
        <f>IF(梱包!$L$35="","",梱包!$L$35)</f>
        <v>126.82484924085423</v>
      </c>
      <c r="E36" s="22">
        <f>IF(C36="","",C36-ピッキング!$T$3)</f>
        <v>-17.058830370947391</v>
      </c>
      <c r="F36" s="22">
        <f>IF(D36="","",D36-梱包!$T$3)</f>
        <v>17.38112865989676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319</v>
      </c>
    </row>
    <row r="3" spans="2:5" x14ac:dyDescent="0.15">
      <c r="B3" s="3" t="s">
        <v>320</v>
      </c>
    </row>
    <row r="5" spans="2:5" x14ac:dyDescent="0.15">
      <c r="B5" s="7" t="s">
        <v>124</v>
      </c>
    </row>
    <row r="7" spans="2:5" ht="20.100000000000001" customHeight="1" x14ac:dyDescent="0.15">
      <c r="B7" s="20" t="s">
        <v>321</v>
      </c>
      <c r="C7" s="20" t="s">
        <v>84</v>
      </c>
      <c r="D7" s="20" t="s">
        <v>85</v>
      </c>
      <c r="E7" s="20" t="s">
        <v>322</v>
      </c>
    </row>
    <row r="8" spans="2:5" x14ac:dyDescent="0.15">
      <c r="B8" s="47" t="s">
        <v>323</v>
      </c>
      <c r="C8" s="43">
        <v>15942</v>
      </c>
      <c r="D8" s="43">
        <v>200</v>
      </c>
      <c r="E8" s="24" t="s">
        <v>324</v>
      </c>
    </row>
    <row r="9" spans="2:5" x14ac:dyDescent="0.15">
      <c r="B9" s="47" t="s">
        <v>325</v>
      </c>
      <c r="C9" s="55">
        <v>2.35</v>
      </c>
      <c r="D9" s="55">
        <v>3.5</v>
      </c>
      <c r="E9" s="24" t="s">
        <v>326</v>
      </c>
    </row>
    <row r="10" spans="2:5" x14ac:dyDescent="0.15">
      <c r="B10" s="47" t="s">
        <v>327</v>
      </c>
      <c r="C10" s="56">
        <v>103.4</v>
      </c>
      <c r="D10" s="56">
        <v>109.2</v>
      </c>
      <c r="E10" s="24" t="s">
        <v>328</v>
      </c>
    </row>
    <row r="11" spans="2:5" x14ac:dyDescent="0.15">
      <c r="B11" s="47" t="s">
        <v>329</v>
      </c>
      <c r="C11" s="43">
        <v>140</v>
      </c>
      <c r="D11" s="43">
        <v>120</v>
      </c>
      <c r="E11" s="24" t="s">
        <v>330</v>
      </c>
    </row>
    <row r="13" spans="2:5" x14ac:dyDescent="0.15">
      <c r="B13" s="9" t="s">
        <v>331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332</v>
      </c>
      <c r="C15" s="26">
        <f>IFERROR(C8/C9,"")</f>
        <v>6783.8297872340427</v>
      </c>
      <c r="D15" s="26">
        <f>IFERROR(D8/D9,"")</f>
        <v>57.142857142857146</v>
      </c>
      <c r="E15" s="24" t="s">
        <v>333</v>
      </c>
    </row>
    <row r="16" spans="2:5" x14ac:dyDescent="0.15">
      <c r="B16" s="25" t="s">
        <v>334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335</v>
      </c>
    </row>
    <row r="17" spans="2:8" x14ac:dyDescent="0.15">
      <c r="B17" s="25" t="s">
        <v>336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337</v>
      </c>
    </row>
    <row r="18" spans="2:8" x14ac:dyDescent="0.15">
      <c r="B18" s="25" t="s">
        <v>338</v>
      </c>
      <c r="C18" s="28">
        <f>IFERROR(C16+C17,"")</f>
        <v>508.33497872340422</v>
      </c>
      <c r="D18" s="28">
        <f>IFERROR(D16+D17,"")</f>
        <v>5.3230158730158728</v>
      </c>
      <c r="E18" s="24" t="s">
        <v>339</v>
      </c>
    </row>
    <row r="19" spans="2:8" ht="14.25" x14ac:dyDescent="0.15">
      <c r="B19" s="29" t="s">
        <v>340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341</v>
      </c>
    </row>
    <row r="20" spans="2:8" ht="14.25" x14ac:dyDescent="0.15">
      <c r="B20" s="29" t="s">
        <v>342</v>
      </c>
      <c r="C20" s="46">
        <f>IFERROR(C19/C11,"")</f>
        <v>3.51157072895416</v>
      </c>
      <c r="D20" s="46">
        <f>IFERROR(D19/D11,"")</f>
        <v>4.0621305502257878E-2</v>
      </c>
      <c r="E20" s="24" t="s">
        <v>343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344</v>
      </c>
    </row>
    <row r="23" spans="2:8" x14ac:dyDescent="0.15">
      <c r="B23" s="9" t="s">
        <v>345</v>
      </c>
    </row>
    <row r="24" spans="2:8" x14ac:dyDescent="0.15">
      <c r="B24" s="3" t="s">
        <v>346</v>
      </c>
    </row>
    <row r="26" spans="2:8" ht="20.100000000000001" customHeight="1" x14ac:dyDescent="0.15">
      <c r="B26" s="20" t="s">
        <v>174</v>
      </c>
      <c r="C26" s="20" t="s">
        <v>129</v>
      </c>
      <c r="D26" s="20" t="s">
        <v>347</v>
      </c>
      <c r="E26" s="20" t="s">
        <v>348</v>
      </c>
      <c r="F26" s="20" t="s">
        <v>349</v>
      </c>
      <c r="G26" s="20" t="s">
        <v>350</v>
      </c>
      <c r="H26" s="20" t="s">
        <v>351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352</v>
      </c>
    </row>
    <row r="3" spans="2:7" x14ac:dyDescent="0.15">
      <c r="B3" s="3" t="s">
        <v>353</v>
      </c>
    </row>
    <row r="5" spans="2:7" x14ac:dyDescent="0.15">
      <c r="B5" s="20" t="s">
        <v>116</v>
      </c>
      <c r="C5" s="20" t="s">
        <v>354</v>
      </c>
      <c r="D5" s="20" t="s">
        <v>355</v>
      </c>
      <c r="E5" s="20" t="s">
        <v>356</v>
      </c>
      <c r="F5" s="20" t="s">
        <v>357</v>
      </c>
      <c r="G5" s="20" t="s">
        <v>72</v>
      </c>
    </row>
    <row r="6" spans="2:7" x14ac:dyDescent="0.15">
      <c r="B6" s="21" t="s">
        <v>84</v>
      </c>
      <c r="C6" s="50" t="s">
        <v>358</v>
      </c>
      <c r="D6" s="21" t="s">
        <v>359</v>
      </c>
      <c r="E6" s="56">
        <v>56.05</v>
      </c>
      <c r="F6" s="21" t="s">
        <v>360</v>
      </c>
      <c r="G6" s="24" t="s">
        <v>449</v>
      </c>
    </row>
    <row r="7" spans="2:7" x14ac:dyDescent="0.15">
      <c r="B7" s="21" t="s">
        <v>84</v>
      </c>
      <c r="C7" s="50" t="s">
        <v>361</v>
      </c>
      <c r="D7" s="21" t="s">
        <v>362</v>
      </c>
      <c r="E7" s="56">
        <v>75.599999999999994</v>
      </c>
      <c r="F7" s="21" t="s">
        <v>363</v>
      </c>
      <c r="G7" s="24" t="s">
        <v>364</v>
      </c>
    </row>
    <row r="8" spans="2:7" x14ac:dyDescent="0.15">
      <c r="B8" s="21" t="s">
        <v>85</v>
      </c>
      <c r="C8" s="50" t="s">
        <v>358</v>
      </c>
      <c r="D8" s="21" t="s">
        <v>359</v>
      </c>
      <c r="E8" s="56">
        <v>92.1</v>
      </c>
      <c r="F8" s="21" t="s">
        <v>360</v>
      </c>
      <c r="G8" s="24" t="s">
        <v>365</v>
      </c>
    </row>
    <row r="9" spans="2:7" x14ac:dyDescent="0.15">
      <c r="B9" s="21" t="s">
        <v>85</v>
      </c>
      <c r="C9" s="50" t="s">
        <v>361</v>
      </c>
      <c r="D9" s="21" t="s">
        <v>362</v>
      </c>
      <c r="E9" s="56">
        <v>69.5</v>
      </c>
      <c r="F9" s="21" t="s">
        <v>363</v>
      </c>
      <c r="G9" s="24" t="s">
        <v>366</v>
      </c>
    </row>
    <row r="11" spans="2:7" x14ac:dyDescent="0.15">
      <c r="B11" s="9" t="s">
        <v>367</v>
      </c>
    </row>
    <row r="12" spans="2:7" x14ac:dyDescent="0.15">
      <c r="B12" s="3" t="s">
        <v>482</v>
      </c>
    </row>
    <row r="13" spans="2:7" x14ac:dyDescent="0.15">
      <c r="B13" s="20" t="s">
        <v>116</v>
      </c>
      <c r="C13" s="20" t="s">
        <v>83</v>
      </c>
      <c r="D13" s="20" t="s">
        <v>356</v>
      </c>
      <c r="E13" s="20" t="s">
        <v>322</v>
      </c>
    </row>
    <row r="14" spans="2:7" x14ac:dyDescent="0.15">
      <c r="B14" s="21" t="s">
        <v>84</v>
      </c>
      <c r="C14" s="21" t="s">
        <v>369</v>
      </c>
      <c r="D14" s="58">
        <v>124.8</v>
      </c>
      <c r="E14" s="24" t="s">
        <v>370</v>
      </c>
    </row>
    <row r="15" spans="2:7" x14ac:dyDescent="0.15">
      <c r="B15" s="21" t="s">
        <v>84</v>
      </c>
      <c r="C15" s="21" t="s">
        <v>371</v>
      </c>
      <c r="D15" s="58">
        <v>1513</v>
      </c>
      <c r="E15" s="24" t="s">
        <v>372</v>
      </c>
    </row>
    <row r="16" spans="2:7" x14ac:dyDescent="0.15">
      <c r="B16" s="21" t="s">
        <v>84</v>
      </c>
      <c r="C16" s="21" t="s">
        <v>373</v>
      </c>
      <c r="D16" s="58">
        <v>0.4</v>
      </c>
      <c r="E16" s="24" t="inlineStr">
        <is>
          <t>順位の再現性。1に近いほど安定。2026年4月実績・a=56.05秒 で再推定</t>
        </is>
      </c>
    </row>
    <row r="17" spans="2:5" x14ac:dyDescent="0.15">
      <c r="B17" s="21" t="s">
        <v>85</v>
      </c>
      <c r="C17" s="21" t="s">
        <v>369</v>
      </c>
      <c r="D17" s="58">
        <v>901.8</v>
      </c>
      <c r="E17" s="24"/>
    </row>
    <row r="18" spans="2:5" x14ac:dyDescent="0.15">
      <c r="B18" s="21" t="s">
        <v>85</v>
      </c>
      <c r="C18" s="21" t="s">
        <v>371</v>
      </c>
      <c r="D18" s="58">
        <v>1311.7</v>
      </c>
      <c r="E18" s="24"/>
    </row>
    <row r="19" spans="2:5" x14ac:dyDescent="0.15">
      <c r="B19" s="21" t="s">
        <v>85</v>
      </c>
      <c r="C19" s="21" t="s">
        <v>373</v>
      </c>
      <c r="D19" s="58">
        <v>0.87</v>
      </c>
      <c r="E19" s="24"/>
    </row>
    <row r="21" spans="2:5" x14ac:dyDescent="0.15">
      <c r="B21" s="21" t="s">
        <v>375</v>
      </c>
      <c r="C21" s="55">
        <v>1.96</v>
      </c>
      <c r="D21" s="24" t="s">
        <v>376</v>
      </c>
    </row>
    <row r="23" spans="2:5" x14ac:dyDescent="0.15">
      <c r="B23" s="20" t="s">
        <v>450</v>
      </c>
    </row>
    <row r="24" spans="2:5" x14ac:dyDescent="0.15">
      <c r="B24" s="24" t="s">
        <v>451</v>
      </c>
    </row>
    <row r="25" spans="2:5" x14ac:dyDescent="0.15">
      <c r="B25" s="20" t="s">
        <v>116</v>
      </c>
      <c r="C25" s="20" t="s">
        <v>439</v>
      </c>
      <c r="D25" s="20" t="s">
        <v>357</v>
      </c>
      <c r="E25" s="20" t="s">
        <v>452</v>
      </c>
    </row>
    <row r="26" spans="2:5" x14ac:dyDescent="0.15">
      <c r="B26" s="21" t="s">
        <v>84</v>
      </c>
      <c r="C26" s="56">
        <v>1.6</v>
      </c>
      <c r="D26" s="21" t="s">
        <v>453</v>
      </c>
      <c r="E26" s="56">
        <f>C26*60</f>
        <v>96</v>
      </c>
    </row>
    <row r="27" spans="2:5" x14ac:dyDescent="0.15">
      <c r="B27" s="21" t="s">
        <v>85</v>
      </c>
      <c r="C27" s="56">
        <v>1.6</v>
      </c>
      <c r="D27" s="21" t="s">
        <v>453</v>
      </c>
      <c r="E27" s="56">
        <f>C27*60</f>
        <v>96</v>
      </c>
    </row>
    <row r="29" spans="2:7" x14ac:dyDescent="0.15">
      <c r="B29" s="20" t="inlineStr">
        <is>
          <t>判定のしきい値（ピッキング・梱包シートの「判定」列）</t>
        </is>
      </c>
    </row>
    <row r="30" spans="2:7" x14ac:dyDescent="0.15">
      <c r="B30" s="24" t="inlineStr">
        <is>
          <t>判定は会社目標（1.6分/件）に対する達成率で行います。◎の下限100は会社目標そのもの。○△の下限（黄色）は変更できます。</t>
        </is>
      </c>
    </row>
    <row r="31" spans="2:7" x14ac:dyDescent="0.15">
      <c r="B31" s="21" t="inlineStr">
        <is>
          <t>◎ 達成</t>
        </is>
      </c>
      <c r="C31" s="21" t="inlineStr">
        <is>
          <t>の下限</t>
        </is>
      </c>
      <c r="D31" s="21">
        <v>100</v>
      </c>
      <c r="E31" s="24" t="inlineStr">
        <is>
          <t>達成率% ＝ 会社目標そのもの</t>
        </is>
      </c>
    </row>
    <row r="32" spans="2:7" x14ac:dyDescent="0.15">
      <c r="B32" s="21" t="inlineStr">
        <is>
          <t>○ あと一歩</t>
        </is>
      </c>
      <c r="C32" s="21" t="inlineStr">
        <is>
          <t>の下限</t>
        </is>
      </c>
      <c r="D32" s="56">
        <v>90</v>
      </c>
      <c r="E32" s="24" t="inlineStr">
        <is>
          <t>達成率% ＝ ここ以上100未満が ○</t>
        </is>
      </c>
    </row>
    <row r="33" spans="2:7" x14ac:dyDescent="0.15">
      <c r="B33" s="21" t="inlineStr">
        <is>
          <t>△ 要改善</t>
        </is>
      </c>
      <c r="C33" s="21" t="inlineStr">
        <is>
          <t>の下限</t>
        </is>
      </c>
      <c r="D33" s="56">
        <v>80</v>
      </c>
      <c r="E33" s="24" t="inlineStr">
        <is>
          <t>達成率% ＝ ここ以上90未満が △。これ未満は ✕要支援</t>
        </is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377</v>
      </c>
    </row>
    <row r="4" spans="2:7" x14ac:dyDescent="0.15">
      <c r="B4" s="7" t="s">
        <v>124</v>
      </c>
    </row>
    <row r="6" spans="2:7" ht="14.25" x14ac:dyDescent="0.15">
      <c r="B6" s="59" t="s">
        <v>378</v>
      </c>
      <c r="C6" s="8" t="s">
        <v>379</v>
      </c>
    </row>
    <row r="7" spans="2:7" x14ac:dyDescent="0.15">
      <c r="C7" s="91" t="s">
        <v>380</v>
      </c>
      <c r="D7" s="80"/>
      <c r="E7" s="80"/>
      <c r="F7" s="80"/>
      <c r="G7" s="80"/>
    </row>
    <row r="8" spans="2:7" x14ac:dyDescent="0.15">
      <c r="C8" s="80"/>
      <c r="D8" s="80"/>
      <c r="E8" s="80"/>
      <c r="F8" s="80"/>
      <c r="G8" s="80"/>
    </row>
    <row r="10" spans="2:7" ht="14.25" x14ac:dyDescent="0.15">
      <c r="B10" s="59" t="s">
        <v>381</v>
      </c>
      <c r="C10" s="8" t="s">
        <v>382</v>
      </c>
    </row>
    <row r="11" spans="2:7" x14ac:dyDescent="0.15">
      <c r="C11" s="91" t="s">
        <v>483</v>
      </c>
      <c r="D11" s="80"/>
      <c r="E11" s="80"/>
      <c r="F11" s="80"/>
      <c r="G11" s="80"/>
    </row>
    <row r="12" spans="2:7" x14ac:dyDescent="0.15">
      <c r="C12" s="80"/>
      <c r="D12" s="80"/>
      <c r="E12" s="80"/>
      <c r="F12" s="80"/>
      <c r="G12" s="80"/>
    </row>
    <row r="14" spans="2:7" ht="14.25" x14ac:dyDescent="0.15">
      <c r="B14" s="59" t="s">
        <v>384</v>
      </c>
      <c r="C14" s="8" t="s">
        <v>385</v>
      </c>
    </row>
    <row r="15" spans="2:7" x14ac:dyDescent="0.15">
      <c r="C15" s="91" t="s">
        <v>386</v>
      </c>
      <c r="D15" s="80"/>
      <c r="E15" s="80"/>
      <c r="F15" s="80"/>
      <c r="G15" s="80"/>
    </row>
    <row r="16" spans="2:7" x14ac:dyDescent="0.15">
      <c r="C16" s="80"/>
      <c r="D16" s="80"/>
      <c r="E16" s="80"/>
      <c r="F16" s="80"/>
      <c r="G16" s="80"/>
    </row>
    <row r="19" spans="2:7" x14ac:dyDescent="0.15">
      <c r="B19" s="9" t="s">
        <v>387</v>
      </c>
    </row>
    <row r="20" spans="2:7" x14ac:dyDescent="0.15">
      <c r="B20" s="20" t="s">
        <v>388</v>
      </c>
      <c r="C20" s="20" t="s">
        <v>389</v>
      </c>
    </row>
    <row r="21" spans="2:7" x14ac:dyDescent="0.15">
      <c r="B21" s="29" t="s">
        <v>390</v>
      </c>
      <c r="C21" s="93" t="s">
        <v>495</v>
      </c>
      <c r="D21" s="74"/>
      <c r="E21" s="74"/>
      <c r="F21" s="74"/>
      <c r="G21" s="75"/>
    </row>
    <row r="22" spans="2:7" x14ac:dyDescent="0.15">
      <c r="B22" s="29" t="s">
        <v>392</v>
      </c>
      <c r="C22" s="93" t="s">
        <v>393</v>
      </c>
      <c r="D22" s="74"/>
      <c r="E22" s="74"/>
      <c r="F22" s="74"/>
      <c r="G22" s="75"/>
    </row>
    <row r="23" spans="2:7" x14ac:dyDescent="0.15">
      <c r="B23" s="29" t="s">
        <v>394</v>
      </c>
      <c r="C23" s="93" t="s">
        <v>395</v>
      </c>
      <c r="D23" s="74"/>
      <c r="E23" s="74"/>
      <c r="F23" s="74"/>
      <c r="G23" s="75"/>
    </row>
    <row r="24" spans="2:7" x14ac:dyDescent="0.15">
      <c r="B24" s="29" t="s">
        <v>264</v>
      </c>
      <c r="C24" s="93" t="s">
        <v>396</v>
      </c>
      <c r="D24" s="74"/>
      <c r="E24" s="74"/>
      <c r="F24" s="74"/>
      <c r="G24" s="75"/>
    </row>
    <row r="25" spans="2:7" x14ac:dyDescent="0.15">
      <c r="B25" s="29" t="s">
        <v>50</v>
      </c>
      <c r="C25" s="93" t="s">
        <v>397</v>
      </c>
      <c r="D25" s="74"/>
      <c r="E25" s="74"/>
      <c r="F25" s="74"/>
      <c r="G25" s="75"/>
    </row>
    <row r="26" spans="2:7" x14ac:dyDescent="0.15">
      <c r="B26" s="29" t="s">
        <v>398</v>
      </c>
      <c r="C26" s="93" t="s">
        <v>399</v>
      </c>
      <c r="D26" s="74"/>
      <c r="E26" s="74"/>
      <c r="F26" s="74"/>
      <c r="G26" s="75"/>
    </row>
    <row r="27" spans="2:7" x14ac:dyDescent="0.15">
      <c r="B27" s="29" t="s">
        <v>400</v>
      </c>
      <c r="C27" s="93" t="s">
        <v>401</v>
      </c>
      <c r="D27" s="74"/>
      <c r="E27" s="74"/>
      <c r="F27" s="74"/>
      <c r="G27" s="75"/>
    </row>
    <row r="28" spans="2:7" x14ac:dyDescent="0.15">
      <c r="B28" s="29" t="s">
        <v>265</v>
      </c>
      <c r="C28" s="93" t="s">
        <v>484</v>
      </c>
      <c r="D28" s="74"/>
      <c r="E28" s="74"/>
      <c r="F28" s="74"/>
      <c r="G28" s="75"/>
    </row>
    <row r="29" spans="2:7" x14ac:dyDescent="0.15">
      <c r="B29" s="29" t="s">
        <v>403</v>
      </c>
      <c r="C29" s="93" t="s">
        <v>404</v>
      </c>
      <c r="D29" s="74"/>
      <c r="E29" s="74"/>
      <c r="F29" s="74"/>
      <c r="G29" s="75"/>
    </row>
    <row r="30" spans="2:7" x14ac:dyDescent="0.15">
      <c r="B30" s="29" t="s">
        <v>183</v>
      </c>
      <c r="C30" s="93" t="s">
        <v>485</v>
      </c>
      <c r="D30" s="74"/>
      <c r="E30" s="74"/>
      <c r="F30" s="74"/>
      <c r="G30" s="75"/>
    </row>
    <row r="31" spans="2:7" x14ac:dyDescent="0.15">
      <c r="B31" s="29" t="s">
        <v>406</v>
      </c>
      <c r="C31" s="93" t="s">
        <v>407</v>
      </c>
      <c r="D31" s="74"/>
      <c r="E31" s="74"/>
      <c r="F31" s="74"/>
      <c r="G31" s="75"/>
    </row>
    <row r="32" spans="2:7" x14ac:dyDescent="0.15">
      <c r="B32" s="29" t="s">
        <v>408</v>
      </c>
      <c r="C32" s="93" t="s">
        <v>409</v>
      </c>
      <c r="D32" s="74"/>
      <c r="E32" s="74"/>
      <c r="F32" s="74"/>
      <c r="G32" s="75"/>
    </row>
    <row r="35" spans="2:7" x14ac:dyDescent="0.15">
      <c r="B35" s="9" t="s">
        <v>410</v>
      </c>
    </row>
    <row r="36" spans="2:7" x14ac:dyDescent="0.15">
      <c r="B36" s="92" t="s">
        <v>411</v>
      </c>
      <c r="C36" s="80"/>
      <c r="D36" s="80"/>
      <c r="E36" s="80"/>
      <c r="F36" s="80"/>
      <c r="G36" s="80"/>
    </row>
    <row r="37" spans="2:7" x14ac:dyDescent="0.15">
      <c r="B37" s="92" t="s">
        <v>412</v>
      </c>
      <c r="C37" s="80"/>
      <c r="D37" s="80"/>
      <c r="E37" s="80"/>
      <c r="F37" s="80"/>
      <c r="G37" s="80"/>
    </row>
    <row r="38" spans="2:7" x14ac:dyDescent="0.15">
      <c r="B38" s="92" t="s">
        <v>413</v>
      </c>
      <c r="C38" s="80"/>
      <c r="D38" s="80"/>
      <c r="E38" s="80"/>
      <c r="F38" s="80"/>
      <c r="G38" s="80"/>
    </row>
    <row r="39" spans="2:7" x14ac:dyDescent="0.15">
      <c r="B39" s="92" t="s">
        <v>414</v>
      </c>
      <c r="C39" s="80"/>
      <c r="D39" s="80"/>
      <c r="E39" s="80"/>
      <c r="F39" s="80"/>
      <c r="G39" s="80"/>
    </row>
    <row r="40" spans="2:7" x14ac:dyDescent="0.15">
      <c r="B40" s="92" t="s">
        <v>415</v>
      </c>
      <c r="C40" s="80"/>
      <c r="D40" s="80"/>
      <c r="E40" s="80"/>
      <c r="F40" s="80"/>
      <c r="G40" s="80"/>
    </row>
    <row r="41" spans="2:7" x14ac:dyDescent="0.15">
      <c r="B41" s="92" t="s">
        <v>416</v>
      </c>
      <c r="C41" s="80"/>
      <c r="D41" s="80"/>
      <c r="E41" s="80"/>
      <c r="F41" s="80"/>
      <c r="G41" s="80"/>
    </row>
    <row r="42" spans="2:7" x14ac:dyDescent="0.15">
      <c r="B42" s="94" t="s">
        <v>417</v>
      </c>
      <c r="C42" s="80"/>
      <c r="D42" s="80"/>
      <c r="E42" s="80"/>
      <c r="F42" s="80"/>
      <c r="G42" s="80"/>
    </row>
    <row r="43" spans="2:7" x14ac:dyDescent="0.15">
      <c r="B43" s="95" t="s">
        <v>418</v>
      </c>
      <c r="C43" s="80"/>
      <c r="D43" s="80"/>
      <c r="E43" s="80"/>
      <c r="F43" s="80"/>
      <c r="G43" s="80"/>
    </row>
    <row r="44" spans="2:7" x14ac:dyDescent="0.15">
      <c r="B44" s="95" t="s">
        <v>419</v>
      </c>
      <c r="C44" s="80"/>
      <c r="D44" s="80"/>
      <c r="E44" s="80"/>
      <c r="F44" s="80"/>
      <c r="G44" s="80"/>
    </row>
  </sheetData>
  <mergeCells count="24"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/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420</v>
      </c>
      <c r="X1" s="39" t="s">
        <v>421</v>
      </c>
      <c r="Y1" s="39" t="s">
        <v>422</v>
      </c>
      <c r="Z1" s="39" t="s">
        <v>423</v>
      </c>
      <c r="AZ1" s="39" t="s">
        <v>454</v>
      </c>
      <c r="BA1" s="39" t="s">
        <v>455</v>
      </c>
      <c r="BB1" s="39" t="s">
        <v>456</v>
      </c>
      <c r="BC1" s="39" t="s">
        <v>457</v>
      </c>
    </row>
    <row r="2" spans="1:64" ht="16.5" x14ac:dyDescent="0.35">
      <c r="A2" s="39" t="s">
        <v>424</v>
      </c>
      <c r="B2" s="39" t="s">
        <v>313</v>
      </c>
      <c r="C2" s="39" t="s">
        <v>314</v>
      </c>
      <c r="D2" s="39" t="s">
        <v>425</v>
      </c>
      <c r="E2" s="39" t="s">
        <v>426</v>
      </c>
      <c r="F2" s="39" t="s">
        <v>427</v>
      </c>
      <c r="G2" s="39" t="s">
        <v>428</v>
      </c>
      <c r="H2" s="39" t="s">
        <v>11</v>
      </c>
      <c r="I2" s="39" t="s">
        <v>12</v>
      </c>
      <c r="J2" s="39" t="s">
        <v>429</v>
      </c>
      <c r="K2" s="39" t="s">
        <v>430</v>
      </c>
      <c r="L2" s="39" t="s">
        <v>431</v>
      </c>
      <c r="M2" s="39" t="s">
        <v>432</v>
      </c>
      <c r="N2" s="39" t="s">
        <v>433</v>
      </c>
      <c r="O2" s="39" t="s">
        <v>119</v>
      </c>
      <c r="P2" s="39" t="s">
        <v>434</v>
      </c>
      <c r="Q2" s="39" t="s">
        <v>435</v>
      </c>
      <c r="R2" s="39" t="s">
        <v>436</v>
      </c>
      <c r="S2" s="39" t="s">
        <v>437</v>
      </c>
      <c r="T2" s="39" t="s">
        <v>438</v>
      </c>
      <c r="U2" s="39" t="s">
        <v>439</v>
      </c>
      <c r="W2" s="61">
        <v>100</v>
      </c>
      <c r="X2" s="61">
        <v>40</v>
      </c>
      <c r="Y2" s="61">
        <v>40</v>
      </c>
      <c r="Z2" s="61">
        <v>100</v>
      </c>
      <c r="AB2" s="39" t="s">
        <v>440</v>
      </c>
      <c r="AC2" s="39" t="s">
        <v>441</v>
      </c>
      <c r="AD2" s="39" t="s">
        <v>442</v>
      </c>
      <c r="AE2" s="39" t="s">
        <v>116</v>
      </c>
      <c r="AF2" s="39" t="s">
        <v>119</v>
      </c>
      <c r="AG2" s="39" t="s">
        <v>430</v>
      </c>
      <c r="AH2" s="39" t="s">
        <v>431</v>
      </c>
      <c r="AI2" s="39" t="s">
        <v>432</v>
      </c>
      <c r="AJ2" s="39" t="s">
        <v>433</v>
      </c>
      <c r="AK2" s="39" t="s">
        <v>443</v>
      </c>
      <c r="AL2" s="39" t="s">
        <v>444</v>
      </c>
      <c r="AM2" s="39" t="s">
        <v>445</v>
      </c>
      <c r="AN2" s="39" t="s">
        <v>434</v>
      </c>
      <c r="AO2" s="39" t="s">
        <v>446</v>
      </c>
      <c r="AP2" s="39" t="s">
        <v>436</v>
      </c>
      <c r="AQ2" s="39" t="s">
        <v>437</v>
      </c>
      <c r="AR2" s="39" t="s">
        <v>438</v>
      </c>
      <c r="AS2" s="39" t="s">
        <v>435</v>
      </c>
      <c r="AT2" s="39" t="s">
        <v>447</v>
      </c>
      <c r="AU2" s="39" t="s">
        <v>448</v>
      </c>
      <c r="AV2" s="39" t="s">
        <v>439</v>
      </c>
      <c r="AW2" s="39" t="s">
        <v>458</v>
      </c>
      <c r="AX2" s="39" t="s">
        <v>459</v>
      </c>
      <c r="AY2" s="39" t="s">
        <v>460</v>
      </c>
      <c r="BD2" s="39" t="s">
        <v>461</v>
      </c>
      <c r="BF2" s="39" t="s">
        <v>462</v>
      </c>
      <c r="BG2" s="39" t="s">
        <v>463</v>
      </c>
      <c r="BH2" s="39" t="s">
        <v>464</v>
      </c>
      <c r="BI2" s="39" t="s">
        <v>439</v>
      </c>
      <c r="BK2" s="39" t="s">
        <v>465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IF($AY3="","",IF($AK3="PKのみ",$AH3,CHOOSE(MOD($AY3-1,6)+1,12,17,22,27,32,37)))</f>
        <v/>
      </c>
      <c r="AX3" s="62" t="str">
        <f t="shared" ref="AX3:AX34" si="32">IF($AY3="","",IF($AK3="PKのみ",CHOOSE(MOD($AY3-1,6)+1,12,17,22,27,32,37),$AI3))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IF($AG3="","",IF(OR(AND(ISNUMBER($AH3),OR($AH3&lt;10,$AH3&gt;190)),AND(ISNUMBER($AI3),OR($AI3&lt;10,$AI3&gt;190))),1,0))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56.602448979591827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466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澤田凌</v>
      </c>
      <c r="B4" s="62">
        <f>IF(ピッキング!$K$8="","",ピッキング!$K$8)</f>
        <v>114.09203480589021</v>
      </c>
      <c r="C4" s="62">
        <f>IF(梱包!$K$8="","",梱包!$K$8)</f>
        <v>94.524254742547413</v>
      </c>
      <c r="D4" s="61">
        <f>IF(ピッキング!$I$8="","",ピッキング!$I$8)</f>
        <v>1420.4458333333332</v>
      </c>
      <c r="E4" s="61">
        <f>IF(ピッキング!$D$8="","",ピッキング!$D$8)</f>
        <v>1245</v>
      </c>
      <c r="F4" s="61">
        <f>IF(梱包!$I$8="","",梱包!$I$8)</f>
        <v>1162.6483333333333</v>
      </c>
      <c r="G4" s="61">
        <f>IF(梱包!$D$8="","",梱包!$D$8)</f>
        <v>1230</v>
      </c>
      <c r="H4" s="61">
        <f t="shared" si="0"/>
        <v>1</v>
      </c>
      <c r="I4" s="61">
        <f>IF(H4=1,SUM(H$3:H4),"")</f>
        <v>2</v>
      </c>
      <c r="J4" s="62">
        <f t="shared" si="1"/>
        <v>104.36744107744107</v>
      </c>
      <c r="K4" s="61" t="str">
        <f t="shared" si="2"/>
        <v>澤田凌</v>
      </c>
      <c r="L4" s="62">
        <f t="shared" si="3"/>
        <v>114.09203480589021</v>
      </c>
      <c r="M4" s="62">
        <f t="shared" si="4"/>
        <v>94.524254742547413</v>
      </c>
      <c r="N4" s="62">
        <f t="shared" si="5"/>
        <v>104.36744107744107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104.36744107744107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114.09203480589021</v>
      </c>
      <c r="AI4" s="62">
        <f t="shared" si="18"/>
        <v>94.524254742547413</v>
      </c>
      <c r="AJ4" s="62">
        <f t="shared" si="19"/>
        <v>104.36744107744107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104.36744507744108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98.221111111111114</v>
      </c>
      <c r="BH4" s="62">
        <f t="shared" si="37"/>
        <v>52.277377892030849</v>
      </c>
      <c r="BI4" s="62">
        <f t="shared" si="38"/>
        <v>100</v>
      </c>
      <c r="BK4" s="39" t="s">
        <v>467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菊池敬</v>
      </c>
      <c r="BG5" s="62">
        <f t="shared" si="36"/>
        <v>85.862631578947358</v>
      </c>
      <c r="BH5" s="62">
        <f t="shared" si="37"/>
        <v>65.703477177483293</v>
      </c>
      <c r="BI5" s="62">
        <f t="shared" si="38"/>
        <v>100</v>
      </c>
      <c r="BK5" s="39" t="s">
        <v>468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片岡達也</v>
      </c>
      <c r="BG6" s="62">
        <f t="shared" si="36"/>
        <v>76.883663366336634</v>
      </c>
      <c r="BH6" s="61" t="str">
        <f t="shared" si="37"/>
        <v/>
      </c>
      <c r="BI6" s="62">
        <f t="shared" si="38"/>
        <v>100</v>
      </c>
      <c r="BK6" s="39" t="s">
        <v>469</v>
      </c>
      <c r="BL6" s="62">
        <f>IF($BL$5=0,"",$BL$2*$BL$3/$BL$5*100)</f>
        <v>83.364146825883338</v>
      </c>
    </row>
    <row r="7" spans="1:64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 t="shared" si="31"/>
        <v>126.5595238095238</v>
      </c>
      <c r="AX7" s="62">
        <f t="shared" si="32"/>
        <v>27</v>
      </c>
      <c r="AY7" s="62">
        <f t="shared" si="33"/>
        <v>10</v>
      </c>
      <c r="BD7" s="62">
        <f t="shared" si="34"/>
        <v>0</v>
      </c>
      <c r="BF7" s="61" t="str">
        <f t="shared" si="35"/>
        <v>木村千鶴</v>
      </c>
      <c r="BG7" s="62">
        <f t="shared" si="36"/>
        <v>99.64362464183381</v>
      </c>
      <c r="BH7" s="62">
        <f t="shared" si="37"/>
        <v>71.829549454417446</v>
      </c>
      <c r="BI7" s="62">
        <f t="shared" si="38"/>
        <v>100</v>
      </c>
      <c r="BK7" s="39" t="s">
        <v>470</v>
      </c>
      <c r="BL7" s="62">
        <f>IF($BL$4=0,"",$BL$3/$BL$4)</f>
        <v>2.3365955575104462</v>
      </c>
    </row>
    <row r="8" spans="1:64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上村和恵</v>
      </c>
      <c r="BG8" s="62">
        <f t="shared" si="36"/>
        <v>79.358161350844284</v>
      </c>
      <c r="BH8" s="61" t="str">
        <f t="shared" si="37"/>
        <v/>
      </c>
      <c r="BI8" s="62">
        <f t="shared" si="38"/>
        <v>100</v>
      </c>
      <c r="BK8" s="39" t="s">
        <v>471</v>
      </c>
      <c r="BL8" s="62">
        <f>IF($BL$3=0,"",設定!$E$6*$BL$4/$BL$3)</f>
        <v>23.987891194879758</v>
      </c>
    </row>
    <row r="9" spans="1:64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秋草文恵</v>
      </c>
      <c r="BG9" s="62">
        <f t="shared" si="36"/>
        <v>80.289637058261704</v>
      </c>
      <c r="BH9" s="61" t="str">
        <f t="shared" si="37"/>
        <v/>
      </c>
      <c r="BI9" s="62">
        <f t="shared" si="38"/>
        <v>100</v>
      </c>
      <c r="BK9" s="39" t="s">
        <v>472</v>
      </c>
      <c r="BL9" s="62">
        <f>IF(設定!$E$26-設定!$E$7&lt;=0,"",設定!$E$6/(設定!$E$26-設定!$E$7))</f>
        <v>2.7475490196078423</v>
      </c>
    </row>
    <row r="10" spans="1:64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高橋正美</v>
      </c>
      <c r="BG10" s="62">
        <f t="shared" si="36"/>
        <v>80.89163346613546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104.36744107744107</v>
      </c>
      <c r="R11" s="61" t="str">
        <f t="shared" si="8"/>
        <v>澤田凌</v>
      </c>
      <c r="S11" s="62">
        <f t="shared" si="9"/>
        <v>114.09203480589021</v>
      </c>
      <c r="T11" s="62">
        <f t="shared" si="10"/>
        <v>94.524254742547413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 t="shared" si="31"/>
        <v/>
      </c>
      <c r="AX11" s="62" t="str">
        <f t="shared" si="32"/>
        <v/>
      </c>
      <c r="AY11" s="62" t="str">
        <f t="shared" si="33"/>
        <v/>
      </c>
      <c r="BD11" s="62">
        <f t="shared" si="34"/>
        <v>0</v>
      </c>
      <c r="BF11" s="61" t="str">
        <f t="shared" si="35"/>
        <v>中村美佳</v>
      </c>
      <c r="BG11" s="62">
        <f t="shared" si="36"/>
        <v>121.32499999999997</v>
      </c>
      <c r="BH11" s="62">
        <f t="shared" si="37"/>
        <v>81.792465753424665</v>
      </c>
      <c r="BI11" s="62">
        <f t="shared" si="38"/>
        <v>100</v>
      </c>
      <c r="BK11" s="39" t="s">
        <v>473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104.36744507744108</v>
      </c>
      <c r="AP12" s="61" t="str">
        <f t="shared" si="24"/>
        <v>澤田凌</v>
      </c>
      <c r="AQ12" s="62">
        <f t="shared" si="25"/>
        <v>114.09203480589021</v>
      </c>
      <c r="AR12" s="62">
        <f t="shared" si="26"/>
        <v>94.524254742547413</v>
      </c>
      <c r="AS12" s="62">
        <f t="shared" si="27"/>
        <v>104.36744107744107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 t="shared" si="31"/>
        <v/>
      </c>
      <c r="AX12" s="62" t="str">
        <f t="shared" si="32"/>
        <v/>
      </c>
      <c r="AY12" s="62" t="str">
        <f t="shared" si="33"/>
        <v/>
      </c>
      <c r="BD12" s="62">
        <f t="shared" si="34"/>
        <v>0</v>
      </c>
      <c r="BF12" s="61" t="str">
        <f t="shared" si="35"/>
        <v>廣瀬こずえ</v>
      </c>
      <c r="BG12" s="62">
        <f t="shared" si="36"/>
        <v>88.026622718052721</v>
      </c>
      <c r="BH12" s="61" t="str">
        <f t="shared" si="37"/>
        <v/>
      </c>
      <c r="BI12" s="62">
        <f t="shared" si="38"/>
        <v>100</v>
      </c>
      <c r="BK12" s="39" t="s">
        <v>474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向井ひかり</v>
      </c>
      <c r="BG13" s="62">
        <f t="shared" si="36"/>
        <v>89.993336886993617</v>
      </c>
      <c r="BH13" s="61" t="str">
        <f t="shared" si="37"/>
        <v/>
      </c>
      <c r="BI13" s="62">
        <f t="shared" si="38"/>
        <v>100</v>
      </c>
      <c r="BK13" s="39" t="s">
        <v>475</v>
      </c>
      <c r="BL13" s="62">
        <f>IF($BL$12=0,"",設定!$C$27*$BL$11/$BL$12*100)</f>
        <v>100.66911821431329</v>
      </c>
    </row>
    <row r="14" spans="1:64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奥野愛海</v>
      </c>
      <c r="BG14" s="62">
        <f t="shared" si="36"/>
        <v>91.348648648648634</v>
      </c>
      <c r="BH14" s="61" t="str">
        <f t="shared" si="37"/>
        <v/>
      </c>
      <c r="BI14" s="62">
        <f t="shared" si="38"/>
        <v>100</v>
      </c>
      <c r="BK14" s="39" t="s">
        <v>476</v>
      </c>
      <c r="BL14" s="62">
        <f>IF($BL$3=0,"",$BL$5*60/$BL$3)</f>
        <v>115.15741917266695</v>
      </c>
    </row>
    <row r="15" spans="1:64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森本久美</v>
      </c>
      <c r="BG15" s="62">
        <f t="shared" si="36"/>
        <v>81.891759776536304</v>
      </c>
      <c r="BH15" s="62">
        <f t="shared" si="37"/>
        <v>100.98448866067606</v>
      </c>
      <c r="BI15" s="62">
        <f t="shared" si="38"/>
        <v>100</v>
      </c>
      <c r="BK15" s="39" t="s">
        <v>477</v>
      </c>
      <c r="BL15" s="62">
        <f>IF($BL$3=0,"",設定!$E$6*$BL$4/$BL$3+設定!$E$7)</f>
        <v>99.587891194879745</v>
      </c>
    </row>
    <row r="16" spans="1:64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 t="shared" si="31"/>
        <v>100.59261744966443</v>
      </c>
      <c r="AX16" s="62">
        <f t="shared" si="32"/>
        <v>22</v>
      </c>
      <c r="AY16" s="62">
        <f t="shared" si="33"/>
        <v>9</v>
      </c>
      <c r="BD16" s="62">
        <f t="shared" si="34"/>
        <v>0</v>
      </c>
      <c r="BF16" s="61" t="str">
        <f t="shared" si="35"/>
        <v>中納沙織</v>
      </c>
      <c r="BG16" s="62">
        <f t="shared" si="36"/>
        <v>101.71352549889134</v>
      </c>
      <c r="BH16" s="62">
        <f t="shared" si="37"/>
        <v>66.904561403508765</v>
      </c>
      <c r="BI16" s="62">
        <f t="shared" si="38"/>
        <v>100</v>
      </c>
      <c r="BK16" s="39" t="s">
        <v>478</v>
      </c>
      <c r="BL16" s="62">
        <f>IF($BL$3=0,"",$BL$14-$BL$15)</f>
        <v>15.569527977787203</v>
      </c>
    </row>
    <row r="17" spans="1:64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山本祥吉</v>
      </c>
      <c r="BG17" s="62">
        <f t="shared" si="36"/>
        <v>106.22178879910837</v>
      </c>
      <c r="BH17" s="62">
        <f t="shared" si="37"/>
        <v>84.736739745403099</v>
      </c>
      <c r="BI17" s="62">
        <f t="shared" si="38"/>
        <v>100</v>
      </c>
      <c r="BK17" s="39" t="s">
        <v>479</v>
      </c>
      <c r="BL17" s="62">
        <f>IF($BL$3=0,"",$BL$15-設定!$E$26)</f>
        <v>3.5878911948797452</v>
      </c>
    </row>
    <row r="18" spans="1:64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鈴木香織</v>
      </c>
      <c r="BG18" s="62">
        <f t="shared" si="36"/>
        <v>96.542574257425741</v>
      </c>
      <c r="BH18" s="62">
        <f t="shared" si="37"/>
        <v>97.378246753246756</v>
      </c>
      <c r="BI18" s="62">
        <f t="shared" si="38"/>
        <v>100</v>
      </c>
      <c r="BK18" s="39" t="s">
        <v>480</v>
      </c>
      <c r="BL18" s="62">
        <f>IF($BL$3=0,"",$BL$14-設定!$E$26)</f>
        <v>19.157419172666948</v>
      </c>
    </row>
    <row r="19" spans="1:64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高橋佐織</v>
      </c>
      <c r="BG19" s="62">
        <f t="shared" si="36"/>
        <v>106.8047477744807</v>
      </c>
      <c r="BH19" s="62">
        <f t="shared" si="37"/>
        <v>93.863706034204569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 t="shared" si="31"/>
        <v>91.348648648648634</v>
      </c>
      <c r="AX20" s="62">
        <f t="shared" si="32"/>
        <v>17</v>
      </c>
      <c r="AY20" s="62">
        <f t="shared" si="33"/>
        <v>8</v>
      </c>
      <c r="BD20" s="62">
        <f t="shared" si="34"/>
        <v>0</v>
      </c>
      <c r="BF20" s="61" t="str">
        <f t="shared" si="35"/>
        <v>後藤克行</v>
      </c>
      <c r="BG20" s="62">
        <f t="shared" si="36"/>
        <v>111.60069735006972</v>
      </c>
      <c r="BH20" s="62">
        <f t="shared" si="37"/>
        <v>80.326509661835729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 t="shared" si="31"/>
        <v/>
      </c>
      <c r="AX21" s="62" t="str">
        <f t="shared" si="32"/>
        <v/>
      </c>
      <c r="AY21" s="62" t="str">
        <f t="shared" si="33"/>
        <v/>
      </c>
      <c r="BD21" s="62">
        <f t="shared" si="34"/>
        <v>0</v>
      </c>
      <c r="BF21" s="61" t="str">
        <f t="shared" si="35"/>
        <v>石戸谷亜子</v>
      </c>
      <c r="BG21" s="62">
        <f t="shared" si="36"/>
        <v>100.59261744966443</v>
      </c>
      <c r="BH21" s="61" t="str">
        <f t="shared" si="37"/>
        <v/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 t="shared" si="31"/>
        <v>89.993336886993617</v>
      </c>
      <c r="AX22" s="62">
        <f t="shared" si="32"/>
        <v>12</v>
      </c>
      <c r="AY22" s="62">
        <f t="shared" si="33"/>
        <v>7</v>
      </c>
      <c r="BD22" s="62">
        <f t="shared" si="34"/>
        <v>0</v>
      </c>
      <c r="BF22" s="61" t="str">
        <f t="shared" si="35"/>
        <v>澤田凌</v>
      </c>
      <c r="BG22" s="62">
        <f t="shared" si="36"/>
        <v>114.09203480589021</v>
      </c>
      <c r="BH22" s="62">
        <f t="shared" si="37"/>
        <v>94.524254742547413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 t="shared" si="31"/>
        <v>76.883663366336634</v>
      </c>
      <c r="AX23" s="62">
        <f t="shared" si="32"/>
        <v>17</v>
      </c>
      <c r="AY23" s="62">
        <f t="shared" si="33"/>
        <v>2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 t="shared" si="31"/>
        <v>88.026622718052721</v>
      </c>
      <c r="AX24" s="62">
        <f t="shared" si="32"/>
        <v>37</v>
      </c>
      <c r="AY24" s="62">
        <f t="shared" si="33"/>
        <v>6</v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 t="shared" si="31"/>
        <v/>
      </c>
      <c r="AX25" s="62" t="str">
        <f t="shared" si="32"/>
        <v/>
      </c>
      <c r="AY25" s="62" t="str">
        <f t="shared" si="33"/>
        <v/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 t="shared" si="31"/>
        <v/>
      </c>
      <c r="AX26" s="62" t="str">
        <f t="shared" si="32"/>
        <v/>
      </c>
      <c r="AY26" s="62" t="str">
        <f t="shared" si="33"/>
        <v/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 t="shared" si="31"/>
        <v>80.89163346613546</v>
      </c>
      <c r="AX27" s="62">
        <f t="shared" si="32"/>
        <v>32</v>
      </c>
      <c r="AY27" s="62">
        <f t="shared" si="33"/>
        <v>5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 t="shared" si="31"/>
        <v>80.289637058261704</v>
      </c>
      <c r="AX28" s="62">
        <f t="shared" si="32"/>
        <v>27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 t="shared" si="31"/>
        <v>79.358161350844284</v>
      </c>
      <c r="AX29" s="62">
        <f t="shared" si="32"/>
        <v>22</v>
      </c>
      <c r="AY29" s="62">
        <f t="shared" si="33"/>
        <v>3</v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56.602448979591827</v>
      </c>
      <c r="AX30" s="62">
        <f t="shared" si="32"/>
        <v>12</v>
      </c>
      <c r="AY30" s="62">
        <f t="shared" si="33"/>
        <v>1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 t="shared" si="31"/>
        <v/>
      </c>
      <c r="AX31" s="62" t="str">
        <f t="shared" si="32"/>
        <v/>
      </c>
      <c r="AY31" s="62" t="str">
        <f t="shared" si="33"/>
        <v/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IF($AY35="","",IF($AK35="PKのみ",$AH35,CHOOSE(MOD($AY35-1,6)+1,12,17,22,27,32,37)))</f>
        <v/>
      </c>
      <c r="AX35" s="62" t="str">
        <f t="shared" ref="AX35:AX62" si="71">IF($AY35="","",IF($AK35="PKのみ",CHOOSE(MOD($AY35-1,6)+1,12,17,22,27,32,37),$AI35))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</vt:i4>
      </vt:variant>
    </vt:vector>
  </HeadingPairs>
  <TitlesOfParts>
    <vt:vector size="14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2026-08-20T01:28:52Z</cp:lastPrinted>
  <dcterms:created xsi:type="dcterms:W3CDTF">2026-08-07T01:30:59Z</dcterms:created>
  <dcterms:modified xsi:type="dcterms:W3CDTF">2026-08-20T02:21:52Z</dcterms:modified>
</cp:coreProperties>
</file>