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印刷用!$A$1:$AA$62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<sst xmlns="http://schemas.openxmlformats.org/spreadsheetml/2006/main" count="633" uniqueCount="454">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</sst>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印刷用データ!$AQ$3:$AQ$52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106.39972273567466</c:v>
                </c:pt>
                <c:pt idx="2">
                  <c:v>131.80246913580245</c:v>
                </c:pt>
                <c:pt idx="3">
                  <c:v>128.62508143322475</c:v>
                </c:pt>
                <c:pt idx="4">
                  <c:v>126.5595238095238</c:v>
                </c:pt>
                <c:pt idx="5">
                  <c:v>101.99950049950048</c:v>
                </c:pt>
                <c:pt idx="6">
                  <c:v>108.44019316493313</c:v>
                </c:pt>
                <c:pt idx="7">
                  <c:v>74.63023560209423</c:v>
                </c:pt>
                <c:pt idx="8">
                  <c:v>98.11684782608697</c:v>
                </c:pt>
                <c:pt idx="9">
                  <c:v>138.5160642570281</c:v>
                </c:pt>
                <c:pt idx="10">
                  <c:v>100.59261744966443</c:v>
                </c:pt>
                <c:pt idx="11">
                  <c:v>111.60069735006972</c:v>
                </c:pt>
                <c:pt idx="12">
                  <c:v>106.8047477744807</c:v>
                </c:pt>
                <c:pt idx="13">
                  <c:v>96.54257425742574</c:v>
                </c:pt>
                <c:pt idx="14">
                  <c:v>106.22178879910837</c:v>
                </c:pt>
                <c:pt idx="15">
                  <c:v>101.71352549889134</c:v>
                </c:pt>
                <c:pt idx="16">
                  <c:v>81.8917597765363</c:v>
                </c:pt>
                <c:pt idx="17">
                  <c:v>91.34864864864863</c:v>
                </c:pt>
                <c:pt idx="18">
                  <c:v>89.99333688699362</c:v>
                </c:pt>
                <c:pt idx="19">
                  <c:v>88.02662271805272</c:v>
                </c:pt>
                <c:pt idx="20">
                  <c:v>121.32499999999997</c:v>
                </c:pt>
                <c:pt idx="21">
                  <c:v>80.89163346613546</c:v>
                </c:pt>
                <c:pt idx="22">
                  <c:v>80.2896370582617</c:v>
                </c:pt>
                <c:pt idx="23">
                  <c:v>79.35816135084428</c:v>
                </c:pt>
                <c:pt idx="24">
                  <c:v>99.64362464183381</c:v>
                </c:pt>
                <c:pt idx="25">
                  <c:v>76.88366336633663</c:v>
                </c:pt>
                <c:pt idx="26">
                  <c:v>85.86263157894736</c:v>
                </c:pt>
                <c:pt idx="27">
                  <c:v>98.22111111111111</c:v>
                </c:pt>
                <c:pt idx="28">
                  <c:v>56.60244897959183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印刷用データ!$AR$3:$AR$52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171.96125541125542</c:v>
                </c:pt>
                <c:pt idx="2">
                  <c:v>132.51857923497266</c:v>
                </c:pt>
                <c:pt idx="3">
                  <c:v>132.88643790849673</c:v>
                </c:pt>
                <c:pt idx="5">
                  <c:v>136.2250663632916</c:v>
                </c:pt>
                <c:pt idx="6">
                  <c:v>121.13147824640211</c:v>
                </c:pt>
                <c:pt idx="7">
                  <c:v>129.17098681218735</c:v>
                </c:pt>
                <c:pt idx="8">
                  <c:v>116.41046228710461</c:v>
                </c:pt>
                <c:pt idx="9">
                  <c:v>72.98028322440088</c:v>
                </c:pt>
                <c:pt idx="11">
                  <c:v>80.32650966183573</c:v>
                </c:pt>
                <c:pt idx="12">
                  <c:v>93.86370603420457</c:v>
                </c:pt>
                <c:pt idx="13">
                  <c:v>97.37824675324676</c:v>
                </c:pt>
                <c:pt idx="14">
                  <c:v>84.7367397454031</c:v>
                </c:pt>
                <c:pt idx="15">
                  <c:v>66.90456140350877</c:v>
                </c:pt>
                <c:pt idx="16">
                  <c:v>100.98448866067606</c:v>
                </c:pt>
                <c:pt idx="20">
                  <c:v>81.79246575342466</c:v>
                </c:pt>
                <c:pt idx="24">
                  <c:v>71.82954945441745</c:v>
                </c:pt>
                <c:pt idx="26">
                  <c:v>65.7034771774833</c:v>
                </c:pt>
                <c:pt idx="27">
                  <c:v>52.27737789203085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138.5160642570281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72.98028322440088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80.32650966183573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93.86370603420457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66.90456140350877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98.11684782608697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97.37824675324676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85.86263157894736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89.99333688699362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56.60244897959183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9"/>
          <c:order val="7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0"/>
          <c:order val="8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1"/>
          <c:order val="8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2"/>
          <c:order val="8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3"/>
          <c:order val="8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4"/>
          <c:order val="8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6"/>
          <c:order val="8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7"/>
          <c:order val="8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8"/>
          <c:order val="8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9"/>
          <c:order val="8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1"/>
          <c:order val="9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2"/>
          <c:order val="9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3"/>
          <c:order val="9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4"/>
          <c:order val="9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5"/>
          <c:order val="9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6"/>
          <c:order val="9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7"/>
          <c:order val="9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8"/>
          <c:order val="9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9"/>
          <c:order val="9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yVal>
          <c:smooth val="1"/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/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2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3"/>
      <c r="O3" s="63"/>
      <c r="P3" s="63"/>
      <c r="Q3" s="63"/>
      <c r="R3" s="63"/>
      <c r="T3" s="86" t="str">
        <f>"② ピッキング・梱包 内訳比較（全員 "&amp;COUNT(印刷用データ!$AS$3:$AS$62)&amp;"名）"</f>
        <v>② ピッキング・梱包 内訳比較（全員 29名）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改善優先度マトリクス（全員 "&amp;COUNT(印刷用データ!$AS$3:$AS$62)&amp;"名）"</f>
        <v>③ 改善優先度マトリクス（全員 29名）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①〜④ は実績のある全員 "&amp;COUNT(印刷用データ!AS3:AS62)&amp;" 名。「工程」が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</f>
        <v>※ ①〜④ は実績のある全員 29 名。「工程」が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</sheetData>
  <mergeCells count="6"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C62"/>
  <sheetViews>
    <sheetView workbookViewId="0"/>
  </sheetViews>
  <sheetFormatPr defaultRowHeight="13.5" x14ac:dyDescent="0.15"/>
  <cols>
    <col min="1" max="55" width="11" customWidth="1"/>
  </cols>
  <sheetData>
    <row r="1" spans="1:55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  <c r="AZ1" s="39" t="inlineStr">
        <is>
          <t>帯線横X</t>
        </is>
      </c>
      <c r="BA1" s="39" t="inlineStr">
        <is>
          <t>帯線横Y</t>
        </is>
      </c>
      <c r="BB1" s="39" t="inlineStr">
        <is>
          <t>帯線縦X</t>
        </is>
      </c>
      <c r="BC1" s="39" t="inlineStr">
        <is>
          <t>帯線縦Y</t>
        </is>
      </c>
    </row>
    <row r="2" spans="1:55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  <c r="AW2" s="39" t="inlineStr">
        <is>
          <t>片方x</t>
        </is>
      </c>
      <c r="AX2" s="39" t="inlineStr">
        <is>
          <t>片方y</t>
        </is>
      </c>
      <c r="AY2" s="39" t="inlineStr">
        <is>
          <t>片方通番</t>
        </is>
      </c>
      <c r="AZ2" s="39">
        <v>10</v>
      </c>
      <c r="BA2" s="39">
        <v>40</v>
      </c>
      <c r="BB2" s="39">
        <v>40</v>
      </c>
      <c r="BC2" s="39">
        <v>10</v>
      </c>
    </row>
    <row r="3" spans="1:55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>IF($AY3="","",IF($AK3="PKのみ",$AH3,CHOOSE(MOD($AY3-1,6)+1,12,17,22,27,32,37)))</f>
        <v/>
      </c>
      <c r="AX3" s="62" t="str">
        <f>IF($AY3="","",IF($AK3="PKのみ",CHOOSE(MOD($AY3-1,6)+1,12,17,22,27,32,37),$AI3))</f>
        <v/>
      </c>
      <c r="AY3" s="62" t="str">
        <f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</row>
    <row r="4" spans="1:55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>IF($AY4="","",IF($AK4="PKのみ",$AH4,CHOOSE(MOD($AY4-1,6)+1,12,17,22,27,32,37)))</f>
        <v/>
      </c>
      <c r="AX4" s="62" t="str">
        <f>IF($AY4="","",IF($AK4="PKのみ",CHOOSE(MOD($AY4-1,6)+1,12,17,22,27,32,37),$AI4))</f>
        <v/>
      </c>
      <c r="AY4" s="62" t="str">
        <f>IF($AK4="PKのみ",COUNTIFS($AK$3:$AK$62,"PKのみ",$AH$3:$AH$62,"&lt;"&amp;$AH4)+1,IF($AK4="梱包のみ",COUNTIFS($AK$3:$AK$62,"梱包のみ",$AI$3:$AI$62,"&lt;"&amp;$AI4)+1,""))</f>
        <v/>
      </c>
    </row>
    <row r="5" spans="1:55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>IF($AY5="","",IF($AK5="PKのみ",$AH5,CHOOSE(MOD($AY5-1,6)+1,12,17,22,27,32,37)))</f>
        <v/>
      </c>
      <c r="AX5" s="62" t="str">
        <f>IF($AY5="","",IF($AK5="PKのみ",CHOOSE(MOD($AY5-1,6)+1,12,17,22,27,32,37),$AI5))</f>
        <v/>
      </c>
      <c r="AY5" s="62" t="str">
        <f>IF($AK5="PKのみ",COUNTIFS($AK$3:$AK$62,"PKのみ",$AH$3:$AH$62,"&lt;"&amp;$AH5)+1,IF($AK5="梱包のみ",COUNTIFS($AK$3:$AK$62,"梱包のみ",$AI$3:$AI$62,"&lt;"&amp;$AI5)+1,""))</f>
        <v/>
      </c>
    </row>
    <row r="6" spans="1:55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>IF($AY6="","",IF($AK6="PKのみ",$AH6,CHOOSE(MOD($AY6-1,6)+1,12,17,22,27,32,37)))</f>
        <v/>
      </c>
      <c r="AX6" s="62" t="str">
        <f>IF($AY6="","",IF($AK6="PKのみ",CHOOSE(MOD($AY6-1,6)+1,12,17,22,27,32,37),$AI6))</f>
        <v/>
      </c>
      <c r="AY6" s="62" t="str">
        <f>IF($AK6="PKのみ",COUNTIFS($AK$3:$AK$62,"PKのみ",$AH$3:$AH$62,"&lt;"&amp;$AH6)+1,IF($AK6="梱包のみ",COUNTIFS($AK$3:$AK$62,"梱包のみ",$AI$3:$AI$62,"&lt;"&amp;$AI6)+1,""))</f>
        <v/>
      </c>
    </row>
    <row r="7" spans="1:55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>IF($AY7="","",IF($AK7="PKのみ",$AH7,CHOOSE(MOD($AY7-1,6)+1,12,17,22,27,32,37)))</f>
        <v>126.5595238095238</v>
      </c>
      <c r="AX7" s="62">
        <f>IF($AY7="","",IF($AK7="PKのみ",CHOOSE(MOD($AY7-1,6)+1,12,17,22,27,32,37),$AI7))</f>
        <v>27.0</v>
      </c>
      <c r="AY7" s="62">
        <f>IF($AK7="PKのみ",COUNTIFS($AK$3:$AK$62,"PKのみ",$AH$3:$AH$62,"&lt;"&amp;$AH7)+1,IF($AK7="梱包のみ",COUNTIFS($AK$3:$AK$62,"梱包のみ",$AI$3:$AI$62,"&lt;"&amp;$AI7)+1,""))</f>
        <v>10</v>
      </c>
    </row>
    <row r="8" spans="1:55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>IF($AY8="","",IF($AK8="PKのみ",$AH8,CHOOSE(MOD($AY8-1,6)+1,12,17,22,27,32,37)))</f>
        <v/>
      </c>
      <c r="AX8" s="62" t="str">
        <f>IF($AY8="","",IF($AK8="PKのみ",CHOOSE(MOD($AY8-1,6)+1,12,17,22,27,32,37),$AI8))</f>
        <v/>
      </c>
      <c r="AY8" s="62" t="str">
        <f>IF($AK8="PKのみ",COUNTIFS($AK$3:$AK$62,"PKのみ",$AH$3:$AH$62,"&lt;"&amp;$AH8)+1,IF($AK8="梱包のみ",COUNTIFS($AK$3:$AK$62,"梱包のみ",$AI$3:$AI$62,"&lt;"&amp;$AI8)+1,""))</f>
        <v/>
      </c>
    </row>
    <row r="9" spans="1:55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>IF($AY9="","",IF($AK9="PKのみ",$AH9,CHOOSE(MOD($AY9-1,6)+1,12,17,22,27,32,37)))</f>
        <v/>
      </c>
      <c r="AX9" s="62" t="str">
        <f>IF($AY9="","",IF($AK9="PKのみ",CHOOSE(MOD($AY9-1,6)+1,12,17,22,27,32,37),$AI9))</f>
        <v/>
      </c>
      <c r="AY9" s="62" t="str">
        <f>IF($AK9="PKのみ",COUNTIFS($AK$3:$AK$62,"PKのみ",$AH$3:$AH$62,"&lt;"&amp;$AH9)+1,IF($AK9="梱包のみ",COUNTIFS($AK$3:$AK$62,"梱包のみ",$AI$3:$AI$62,"&lt;"&amp;$AI9)+1,""))</f>
        <v/>
      </c>
    </row>
    <row r="10" spans="1:55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>IF($AY10="","",IF($AK10="PKのみ",$AH10,CHOOSE(MOD($AY10-1,6)+1,12,17,22,27,32,37)))</f>
        <v/>
      </c>
      <c r="AX10" s="62" t="str">
        <f>IF($AY10="","",IF($AK10="PKのみ",CHOOSE(MOD($AY10-1,6)+1,12,17,22,27,32,37),$AI10))</f>
        <v/>
      </c>
      <c r="AY10" s="62" t="str">
        <f>IF($AK10="PKのみ",COUNTIFS($AK$3:$AK$62,"PKのみ",$AH$3:$AH$62,"&lt;"&amp;$AH10)+1,IF($AK10="梱包のみ",COUNTIFS($AK$3:$AK$62,"梱包のみ",$AI$3:$AI$62,"&lt;"&amp;$AI10)+1,""))</f>
        <v/>
      </c>
    </row>
    <row r="11" spans="1:55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>IF($AY11="","",IF($AK11="PKのみ",$AH11,CHOOSE(MOD($AY11-1,6)+1,12,17,22,27,32,37)))</f>
        <v/>
      </c>
      <c r="AX11" s="62" t="str">
        <f>IF($AY11="","",IF($AK11="PKのみ",CHOOSE(MOD($AY11-1,6)+1,12,17,22,27,32,37),$AI11))</f>
        <v/>
      </c>
      <c r="AY11" s="62" t="str">
        <f>IF($AK11="PKのみ",COUNTIFS($AK$3:$AK$62,"PKのみ",$AH$3:$AH$62,"&lt;"&amp;$AH11)+1,IF($AK11="梱包のみ",COUNTIFS($AK$3:$AK$62,"梱包のみ",$AI$3:$AI$62,"&lt;"&amp;$AI11)+1,""))</f>
        <v/>
      </c>
    </row>
    <row r="12" spans="1:55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>IF($AY12="","",IF($AK12="PKのみ",$AH12,CHOOSE(MOD($AY12-1,6)+1,12,17,22,27,32,37)))</f>
        <v/>
      </c>
      <c r="AX12" s="62" t="str">
        <f>IF($AY12="","",IF($AK12="PKのみ",CHOOSE(MOD($AY12-1,6)+1,12,17,22,27,32,37),$AI12))</f>
        <v/>
      </c>
      <c r="AY12" s="62" t="str">
        <f>IF($AK12="PKのみ",COUNTIFS($AK$3:$AK$62,"PKのみ",$AH$3:$AH$62,"&lt;"&amp;$AH12)+1,IF($AK12="梱包のみ",COUNTIFS($AK$3:$AK$62,"梱包のみ",$AI$3:$AI$62,"&lt;"&amp;$AI12)+1,""))</f>
        <v/>
      </c>
    </row>
    <row r="13" spans="1:55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>IF($AY13="","",IF($AK13="PKのみ",$AH13,CHOOSE(MOD($AY13-1,6)+1,12,17,22,27,32,37)))</f>
        <v/>
      </c>
      <c r="AX13" s="62" t="str">
        <f>IF($AY13="","",IF($AK13="PKのみ",CHOOSE(MOD($AY13-1,6)+1,12,17,22,27,32,37),$AI13))</f>
        <v/>
      </c>
      <c r="AY13" s="62" t="str">
        <f>IF($AK13="PKのみ",COUNTIFS($AK$3:$AK$62,"PKのみ",$AH$3:$AH$62,"&lt;"&amp;$AH13)+1,IF($AK13="梱包のみ",COUNTIFS($AK$3:$AK$62,"梱包のみ",$AI$3:$AI$62,"&lt;"&amp;$AI13)+1,""))</f>
        <v/>
      </c>
    </row>
    <row r="14" spans="1:55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>IF($AY14="","",IF($AK14="PKのみ",$AH14,CHOOSE(MOD($AY14-1,6)+1,12,17,22,27,32,37)))</f>
        <v/>
      </c>
      <c r="AX14" s="62" t="str">
        <f>IF($AY14="","",IF($AK14="PKのみ",CHOOSE(MOD($AY14-1,6)+1,12,17,22,27,32,37),$AI14))</f>
        <v/>
      </c>
      <c r="AY14" s="62" t="str">
        <f>IF($AK14="PKのみ",COUNTIFS($AK$3:$AK$62,"PKのみ",$AH$3:$AH$62,"&lt;"&amp;$AH14)+1,IF($AK14="梱包のみ",COUNTIFS($AK$3:$AK$62,"梱包のみ",$AI$3:$AI$62,"&lt;"&amp;$AI14)+1,""))</f>
        <v/>
      </c>
    </row>
    <row r="15" spans="1:55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>IF($AY15="","",IF($AK15="PKのみ",$AH15,CHOOSE(MOD($AY15-1,6)+1,12,17,22,27,32,37)))</f>
        <v/>
      </c>
      <c r="AX15" s="62" t="str">
        <f>IF($AY15="","",IF($AK15="PKのみ",CHOOSE(MOD($AY15-1,6)+1,12,17,22,27,32,37),$AI15))</f>
        <v/>
      </c>
      <c r="AY15" s="62" t="str">
        <f>IF($AK15="PKのみ",COUNTIFS($AK$3:$AK$62,"PKのみ",$AH$3:$AH$62,"&lt;"&amp;$AH15)+1,IF($AK15="梱包のみ",COUNTIFS($AK$3:$AK$62,"梱包のみ",$AI$3:$AI$62,"&lt;"&amp;$AI15)+1,""))</f>
        <v/>
      </c>
    </row>
    <row r="16" spans="1:55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>IF($AY16="","",IF($AK16="PKのみ",$AH16,CHOOSE(MOD($AY16-1,6)+1,12,17,22,27,32,37)))</f>
        <v>100.59261744966443</v>
      </c>
      <c r="AX16" s="62">
        <f>IF($AY16="","",IF($AK16="PKのみ",CHOOSE(MOD($AY16-1,6)+1,12,17,22,27,32,37),$AI16))</f>
        <v>22.0</v>
      </c>
      <c r="AY16" s="62">
        <f>IF($AK16="PKのみ",COUNTIFS($AK$3:$AK$62,"PKのみ",$AH$3:$AH$62,"&lt;"&amp;$AH16)+1,IF($AK16="梱包のみ",COUNTIFS($AK$3:$AK$62,"梱包のみ",$AI$3:$AI$62,"&lt;"&amp;$AI16)+1,""))</f>
        <v>9</v>
      </c>
    </row>
    <row r="17" spans="1:55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>IF($AY17="","",IF($AK17="PKのみ",$AH17,CHOOSE(MOD($AY17-1,6)+1,12,17,22,27,32,37)))</f>
        <v/>
      </c>
      <c r="AX17" s="62" t="str">
        <f>IF($AY17="","",IF($AK17="PKのみ",CHOOSE(MOD($AY17-1,6)+1,12,17,22,27,32,37),$AI17))</f>
        <v/>
      </c>
      <c r="AY17" s="62" t="str">
        <f>IF($AK17="PKのみ",COUNTIFS($AK$3:$AK$62,"PKのみ",$AH$3:$AH$62,"&lt;"&amp;$AH17)+1,IF($AK17="梱包のみ",COUNTIFS($AK$3:$AK$62,"梱包のみ",$AI$3:$AI$62,"&lt;"&amp;$AI17)+1,""))</f>
        <v/>
      </c>
    </row>
    <row r="18" spans="1:55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>IF($AY18="","",IF($AK18="PKのみ",$AH18,CHOOSE(MOD($AY18-1,6)+1,12,17,22,27,32,37)))</f>
        <v/>
      </c>
      <c r="AX18" s="62" t="str">
        <f>IF($AY18="","",IF($AK18="PKのみ",CHOOSE(MOD($AY18-1,6)+1,12,17,22,27,32,37),$AI18))</f>
        <v/>
      </c>
      <c r="AY18" s="62" t="str">
        <f>IF($AK18="PKのみ",COUNTIFS($AK$3:$AK$62,"PKのみ",$AH$3:$AH$62,"&lt;"&amp;$AH18)+1,IF($AK18="梱包のみ",COUNTIFS($AK$3:$AK$62,"梱包のみ",$AI$3:$AI$62,"&lt;"&amp;$AI18)+1,""))</f>
        <v/>
      </c>
    </row>
    <row r="19" spans="1:55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>IF($AY19="","",IF($AK19="PKのみ",$AH19,CHOOSE(MOD($AY19-1,6)+1,12,17,22,27,32,37)))</f>
        <v/>
      </c>
      <c r="AX19" s="62" t="str">
        <f>IF($AY19="","",IF($AK19="PKのみ",CHOOSE(MOD($AY19-1,6)+1,12,17,22,27,32,37),$AI19))</f>
        <v/>
      </c>
      <c r="AY19" s="62" t="str">
        <f>IF($AK19="PKのみ",COUNTIFS($AK$3:$AK$62,"PKのみ",$AH$3:$AH$62,"&lt;"&amp;$AH19)+1,IF($AK19="梱包のみ",COUNTIFS($AK$3:$AK$62,"梱包のみ",$AI$3:$AI$62,"&lt;"&amp;$AI19)+1,""))</f>
        <v/>
      </c>
    </row>
    <row r="20" spans="1:55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>IF($AY20="","",IF($AK20="PKのみ",$AH20,CHOOSE(MOD($AY20-1,6)+1,12,17,22,27,32,37)))</f>
        <v>91.34864864864863</v>
      </c>
      <c r="AX20" s="62">
        <f>IF($AY20="","",IF($AK20="PKのみ",CHOOSE(MOD($AY20-1,6)+1,12,17,22,27,32,37),$AI20))</f>
        <v>17.0</v>
      </c>
      <c r="AY20" s="62">
        <f>IF($AK20="PKのみ",COUNTIFS($AK$3:$AK$62,"PKのみ",$AH$3:$AH$62,"&lt;"&amp;$AH20)+1,IF($AK20="梱包のみ",COUNTIFS($AK$3:$AK$62,"梱包のみ",$AI$3:$AI$62,"&lt;"&amp;$AI20)+1,""))</f>
        <v>8</v>
      </c>
    </row>
    <row r="21" spans="1:55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>IF($AY21="","",IF($AK21="PKのみ",$AH21,CHOOSE(MOD($AY21-1,6)+1,12,17,22,27,32,37)))</f>
        <v/>
      </c>
      <c r="AX21" s="62" t="str">
        <f>IF($AY21="","",IF($AK21="PKのみ",CHOOSE(MOD($AY21-1,6)+1,12,17,22,27,32,37),$AI21))</f>
        <v/>
      </c>
      <c r="AY21" s="62" t="str">
        <f>IF($AK21="PKのみ",COUNTIFS($AK$3:$AK$62,"PKのみ",$AH$3:$AH$62,"&lt;"&amp;$AH21)+1,IF($AK21="梱包のみ",COUNTIFS($AK$3:$AK$62,"梱包のみ",$AI$3:$AI$62,"&lt;"&amp;$AI21)+1,""))</f>
        <v/>
      </c>
    </row>
    <row r="22" spans="1:55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>IF($AY22="","",IF($AK22="PKのみ",$AH22,CHOOSE(MOD($AY22-1,6)+1,12,17,22,27,32,37)))</f>
        <v>89.99333688699362</v>
      </c>
      <c r="AX22" s="62">
        <f>IF($AY22="","",IF($AK22="PKのみ",CHOOSE(MOD($AY22-1,6)+1,12,17,22,27,32,37),$AI22))</f>
        <v>12.0</v>
      </c>
      <c r="AY22" s="62">
        <f>IF($AK22="PKのみ",COUNTIFS($AK$3:$AK$62,"PKのみ",$AH$3:$AH$62,"&lt;"&amp;$AH22)+1,IF($AK22="梱包のみ",COUNTIFS($AK$3:$AK$62,"梱包のみ",$AI$3:$AI$62,"&lt;"&amp;$AI22)+1,""))</f>
        <v>7</v>
      </c>
    </row>
    <row r="23" spans="1:55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>IF($AY23="","",IF($AK23="PKのみ",$AH23,CHOOSE(MOD($AY23-1,6)+1,12,17,22,27,32,37)))</f>
        <v>76.88366336633663</v>
      </c>
      <c r="AX23" s="62">
        <f>IF($AY23="","",IF($AK23="PKのみ",CHOOSE(MOD($AY23-1,6)+1,12,17,22,27,32,37),$AI23))</f>
        <v>17.0</v>
      </c>
      <c r="AY23" s="62">
        <f>IF($AK23="PKのみ",COUNTIFS($AK$3:$AK$62,"PKのみ",$AH$3:$AH$62,"&lt;"&amp;$AH23)+1,IF($AK23="梱包のみ",COUNTIFS($AK$3:$AK$62,"梱包のみ",$AI$3:$AI$62,"&lt;"&amp;$AI23)+1,""))</f>
        <v>2</v>
      </c>
    </row>
    <row r="24" spans="1:55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>IF($AY24="","",IF($AK24="PKのみ",$AH24,CHOOSE(MOD($AY24-1,6)+1,12,17,22,27,32,37)))</f>
        <v>88.02662271805272</v>
      </c>
      <c r="AX24" s="62">
        <f>IF($AY24="","",IF($AK24="PKのみ",CHOOSE(MOD($AY24-1,6)+1,12,17,22,27,32,37),$AI24))</f>
        <v>37.0</v>
      </c>
      <c r="AY24" s="62">
        <f>IF($AK24="PKのみ",COUNTIFS($AK$3:$AK$62,"PKのみ",$AH$3:$AH$62,"&lt;"&amp;$AH24)+1,IF($AK24="梱包のみ",COUNTIFS($AK$3:$AK$62,"梱包のみ",$AI$3:$AI$62,"&lt;"&amp;$AI24)+1,""))</f>
        <v>6</v>
      </c>
    </row>
    <row r="25" spans="1:55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>IF($AY25="","",IF($AK25="PKのみ",$AH25,CHOOSE(MOD($AY25-1,6)+1,12,17,22,27,32,37)))</f>
        <v/>
      </c>
      <c r="AX25" s="62" t="str">
        <f>IF($AY25="","",IF($AK25="PKのみ",CHOOSE(MOD($AY25-1,6)+1,12,17,22,27,32,37),$AI25))</f>
        <v/>
      </c>
      <c r="AY25" s="62" t="str">
        <f>IF($AK25="PKのみ",COUNTIFS($AK$3:$AK$62,"PKのみ",$AH$3:$AH$62,"&lt;"&amp;$AH25)+1,IF($AK25="梱包のみ",COUNTIFS($AK$3:$AK$62,"梱包のみ",$AI$3:$AI$62,"&lt;"&amp;$AI25)+1,""))</f>
        <v/>
      </c>
    </row>
    <row r="26" spans="1:55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>IF($AY26="","",IF($AK26="PKのみ",$AH26,CHOOSE(MOD($AY26-1,6)+1,12,17,22,27,32,37)))</f>
        <v/>
      </c>
      <c r="AX26" s="62" t="str">
        <f>IF($AY26="","",IF($AK26="PKのみ",CHOOSE(MOD($AY26-1,6)+1,12,17,22,27,32,37),$AI26))</f>
        <v/>
      </c>
      <c r="AY26" s="62" t="str">
        <f>IF($AK26="PKのみ",COUNTIFS($AK$3:$AK$62,"PKのみ",$AH$3:$AH$62,"&lt;"&amp;$AH26)+1,IF($AK26="梱包のみ",COUNTIFS($AK$3:$AK$62,"梱包のみ",$AI$3:$AI$62,"&lt;"&amp;$AI26)+1,""))</f>
        <v/>
      </c>
    </row>
    <row r="27" spans="1:55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>IF($AY27="","",IF($AK27="PKのみ",$AH27,CHOOSE(MOD($AY27-1,6)+1,12,17,22,27,32,37)))</f>
        <v>80.89163346613546</v>
      </c>
      <c r="AX27" s="62">
        <f>IF($AY27="","",IF($AK27="PKのみ",CHOOSE(MOD($AY27-1,6)+1,12,17,22,27,32,37),$AI27))</f>
        <v>32.0</v>
      </c>
      <c r="AY27" s="62">
        <f>IF($AK27="PKのみ",COUNTIFS($AK$3:$AK$62,"PKのみ",$AH$3:$AH$62,"&lt;"&amp;$AH27)+1,IF($AK27="梱包のみ",COUNTIFS($AK$3:$AK$62,"梱包のみ",$AI$3:$AI$62,"&lt;"&amp;$AI27)+1,""))</f>
        <v>5</v>
      </c>
    </row>
    <row r="28" spans="1:55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>IF($AY28="","",IF($AK28="PKのみ",$AH28,CHOOSE(MOD($AY28-1,6)+1,12,17,22,27,32,37)))</f>
        <v>80.2896370582617</v>
      </c>
      <c r="AX28" s="62">
        <f>IF($AY28="","",IF($AK28="PKのみ",CHOOSE(MOD($AY28-1,6)+1,12,17,22,27,32,37),$AI28))</f>
        <v>27.0</v>
      </c>
      <c r="AY28" s="62">
        <f>IF($AK28="PKのみ",COUNTIFS($AK$3:$AK$62,"PKのみ",$AH$3:$AH$62,"&lt;"&amp;$AH28)+1,IF($AK28="梱包のみ",COUNTIFS($AK$3:$AK$62,"梱包のみ",$AI$3:$AI$62,"&lt;"&amp;$AI28)+1,""))</f>
        <v>4</v>
      </c>
    </row>
    <row r="29" spans="1:55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>IF($AY29="","",IF($AK29="PKのみ",$AH29,CHOOSE(MOD($AY29-1,6)+1,12,17,22,27,32,37)))</f>
        <v>79.35816135084428</v>
      </c>
      <c r="AX29" s="62">
        <f>IF($AY29="","",IF($AK29="PKのみ",CHOOSE(MOD($AY29-1,6)+1,12,17,22,27,32,37),$AI29))</f>
        <v>22.0</v>
      </c>
      <c r="AY29" s="62">
        <f>IF($AK29="PKのみ",COUNTIFS($AK$3:$AK$62,"PKのみ",$AH$3:$AH$62,"&lt;"&amp;$AH29)+1,IF($AK29="梱包のみ",COUNTIFS($AK$3:$AK$62,"梱包のみ",$AI$3:$AI$62,"&lt;"&amp;$AI29)+1,""))</f>
        <v>3</v>
      </c>
    </row>
    <row r="30" spans="1:55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>IF($AY30="","",IF($AK30="PKのみ",$AH30,CHOOSE(MOD($AY30-1,6)+1,12,17,22,27,32,37)))</f>
        <v>56.60244897959183</v>
      </c>
      <c r="AX30" s="62">
        <f>IF($AY30="","",IF($AK30="PKのみ",CHOOSE(MOD($AY30-1,6)+1,12,17,22,27,32,37),$AI30))</f>
        <v>12.0</v>
      </c>
      <c r="AY30" s="62">
        <f>IF($AK30="PKのみ",COUNTIFS($AK$3:$AK$62,"PKのみ",$AH$3:$AH$62,"&lt;"&amp;$AH30)+1,IF($AK30="梱包のみ",COUNTIFS($AK$3:$AK$62,"梱包のみ",$AI$3:$AI$62,"&lt;"&amp;$AI30)+1,""))</f>
        <v>1</v>
      </c>
    </row>
    <row r="31" spans="1:55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>IF($AY31="","",IF($AK31="PKのみ",$AH31,CHOOSE(MOD($AY31-1,6)+1,12,17,22,27,32,37)))</f>
        <v/>
      </c>
      <c r="AX31" s="62" t="str">
        <f>IF($AY31="","",IF($AK31="PKのみ",CHOOSE(MOD($AY31-1,6)+1,12,17,22,27,32,37),$AI31))</f>
        <v/>
      </c>
      <c r="AY31" s="62" t="str">
        <f>IF($AK31="PKのみ",COUNTIFS($AK$3:$AK$62,"PKのみ",$AH$3:$AH$62,"&lt;"&amp;$AH31)+1,IF($AK31="梱包のみ",COUNTIFS($AK$3:$AK$62,"梱包のみ",$AI$3:$AI$62,"&lt;"&amp;$AI31)+1,""))</f>
        <v/>
      </c>
    </row>
    <row r="32" spans="1:55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>IF($AY32="","",IF($AK32="PKのみ",$AH32,CHOOSE(MOD($AY32-1,6)+1,12,17,22,27,32,37)))</f>
        <v/>
      </c>
      <c r="AX32" s="62" t="str">
        <f>IF($AY32="","",IF($AK32="PKのみ",CHOOSE(MOD($AY32-1,6)+1,12,17,22,27,32,37),$AI32))</f>
        <v/>
      </c>
      <c r="AY32" s="62" t="str">
        <f>IF($AK32="PKのみ",COUNTIFS($AK$3:$AK$62,"PKのみ",$AH$3:$AH$62,"&lt;"&amp;$AH32)+1,IF($AK32="梱包のみ",COUNTIFS($AK$3:$AK$62,"梱包のみ",$AI$3:$AI$62,"&lt;"&amp;$AI32)+1,""))</f>
        <v/>
      </c>
    </row>
    <row r="33" spans="1:55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>IF($AY33="","",IF($AK33="PKのみ",$AH33,CHOOSE(MOD($AY33-1,6)+1,12,17,22,27,32,37)))</f>
        <v/>
      </c>
      <c r="AX33" s="62" t="str">
        <f>IF($AY33="","",IF($AK33="PKのみ",CHOOSE(MOD($AY33-1,6)+1,12,17,22,27,32,37),$AI33))</f>
        <v/>
      </c>
      <c r="AY33" s="62" t="str">
        <f>IF($AK33="PKのみ",COUNTIFS($AK$3:$AK$62,"PKのみ",$AH$3:$AH$62,"&lt;"&amp;$AH33)+1,IF($AK33="梱包のみ",COUNTIFS($AK$3:$AK$62,"梱包のみ",$AI$3:$AI$62,"&lt;"&amp;$AI33)+1,""))</f>
        <v/>
      </c>
    </row>
    <row r="34" spans="1:55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>IF($AY34="","",IF($AK34="PKのみ",$AH34,CHOOSE(MOD($AY34-1,6)+1,12,17,22,27,32,37)))</f>
        <v/>
      </c>
      <c r="AX34" s="62" t="str">
        <f>IF($AY34="","",IF($AK34="PKのみ",CHOOSE(MOD($AY34-1,6)+1,12,17,22,27,32,37),$AI34))</f>
        <v/>
      </c>
      <c r="AY34" s="62" t="str">
        <f>IF($AK34="PKのみ",COUNTIFS($AK$3:$AK$62,"PKのみ",$AH$3:$AH$62,"&lt;"&amp;$AH34)+1,IF($AK34="梱包のみ",COUNTIFS($AK$3:$AK$62,"梱包のみ",$AI$3:$AI$62,"&lt;"&amp;$AI34)+1,""))</f>
        <v/>
      </c>
    </row>
    <row r="35" spans="1:55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  <c r="AW35" s="62" t="str">
        <f>IF($AY35="","",IF($AK35="PKのみ",$AH35,CHOOSE(MOD($AY35-1,6)+1,12,17,22,27,32,37)))</f>
        <v/>
      </c>
      <c r="AX35" s="62" t="str">
        <f>IF($AY35="","",IF($AK35="PKのみ",CHOOSE(MOD($AY35-1,6)+1,12,17,22,27,32,37),$AI35))</f>
        <v/>
      </c>
      <c r="AY35" s="62" t="str">
        <f>IF($AK35="PKのみ",COUNTIFS($AK$3:$AK$62,"PKのみ",$AH$3:$AH$62,"&lt;"&amp;$AH35)+1,IF($AK35="梱包のみ",COUNTIFS($AK$3:$AK$62,"梱包のみ",$AI$3:$AI$62,"&lt;"&amp;$AI35)+1,""))</f>
        <v/>
      </c>
    </row>
    <row r="36" spans="1:55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  <c r="AW36" s="62" t="str">
        <f>IF($AY36="","",IF($AK36="PKのみ",$AH36,CHOOSE(MOD($AY36-1,6)+1,12,17,22,27,32,37)))</f>
        <v/>
      </c>
      <c r="AX36" s="62" t="str">
        <f>IF($AY36="","",IF($AK36="PKのみ",CHOOSE(MOD($AY36-1,6)+1,12,17,22,27,32,37),$AI36))</f>
        <v/>
      </c>
      <c r="AY36" s="62" t="str">
        <f>IF($AK36="PKのみ",COUNTIFS($AK$3:$AK$62,"PKのみ",$AH$3:$AH$62,"&lt;"&amp;$AH36)+1,IF($AK36="梱包のみ",COUNTIFS($AK$3:$AK$62,"梱包のみ",$AI$3:$AI$62,"&lt;"&amp;$AI36)+1,""))</f>
        <v/>
      </c>
    </row>
    <row r="37" spans="1:55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  <c r="AW37" s="62" t="str">
        <f>IF($AY37="","",IF($AK37="PKのみ",$AH37,CHOOSE(MOD($AY37-1,6)+1,12,17,22,27,32,37)))</f>
        <v/>
      </c>
      <c r="AX37" s="62" t="str">
        <f>IF($AY37="","",IF($AK37="PKのみ",CHOOSE(MOD($AY37-1,6)+1,12,17,22,27,32,37),$AI37))</f>
        <v/>
      </c>
      <c r="AY37" s="62" t="str">
        <f>IF($AK37="PKのみ",COUNTIFS($AK$3:$AK$62,"PKのみ",$AH$3:$AH$62,"&lt;"&amp;$AH37)+1,IF($AK37="梱包のみ",COUNTIFS($AK$3:$AK$62,"梱包のみ",$AI$3:$AI$62,"&lt;"&amp;$AI37)+1,""))</f>
        <v/>
      </c>
    </row>
    <row r="38" spans="1:55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  <c r="AW38" s="62" t="str">
        <f>IF($AY38="","",IF($AK38="PKのみ",$AH38,CHOOSE(MOD($AY38-1,6)+1,12,17,22,27,32,37)))</f>
        <v/>
      </c>
      <c r="AX38" s="62" t="str">
        <f>IF($AY38="","",IF($AK38="PKのみ",CHOOSE(MOD($AY38-1,6)+1,12,17,22,27,32,37),$AI38))</f>
        <v/>
      </c>
      <c r="AY38" s="62" t="str">
        <f>IF($AK38="PKのみ",COUNTIFS($AK$3:$AK$62,"PKのみ",$AH$3:$AH$62,"&lt;"&amp;$AH38)+1,IF($AK38="梱包のみ",COUNTIFS($AK$3:$AK$62,"梱包のみ",$AI$3:$AI$62,"&lt;"&amp;$AI38)+1,""))</f>
        <v/>
      </c>
    </row>
    <row r="39" spans="1:55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  <c r="AW39" s="62" t="str">
        <f>IF($AY39="","",IF($AK39="PKのみ",$AH39,CHOOSE(MOD($AY39-1,6)+1,12,17,22,27,32,37)))</f>
        <v/>
      </c>
      <c r="AX39" s="62" t="str">
        <f>IF($AY39="","",IF($AK39="PKのみ",CHOOSE(MOD($AY39-1,6)+1,12,17,22,27,32,37),$AI39))</f>
        <v/>
      </c>
      <c r="AY39" s="62" t="str">
        <f>IF($AK39="PKのみ",COUNTIFS($AK$3:$AK$62,"PKのみ",$AH$3:$AH$62,"&lt;"&amp;$AH39)+1,IF($AK39="梱包のみ",COUNTIFS($AK$3:$AK$62,"梱包のみ",$AI$3:$AI$62,"&lt;"&amp;$AI39)+1,""))</f>
        <v/>
      </c>
    </row>
    <row r="40" spans="1:55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  <c r="AW40" s="62" t="str">
        <f>IF($AY40="","",IF($AK40="PKのみ",$AH40,CHOOSE(MOD($AY40-1,6)+1,12,17,22,27,32,37)))</f>
        <v/>
      </c>
      <c r="AX40" s="62" t="str">
        <f>IF($AY40="","",IF($AK40="PKのみ",CHOOSE(MOD($AY40-1,6)+1,12,17,22,27,32,37),$AI40))</f>
        <v/>
      </c>
      <c r="AY40" s="62" t="str">
        <f>IF($AK40="PKのみ",COUNTIFS($AK$3:$AK$62,"PKのみ",$AH$3:$AH$62,"&lt;"&amp;$AH40)+1,IF($AK40="梱包のみ",COUNTIFS($AK$3:$AK$62,"梱包のみ",$AI$3:$AI$62,"&lt;"&amp;$AI40)+1,""))</f>
        <v/>
      </c>
    </row>
    <row r="41" spans="1:55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  <c r="AW41" s="62" t="str">
        <f>IF($AY41="","",IF($AK41="PKのみ",$AH41,CHOOSE(MOD($AY41-1,6)+1,12,17,22,27,32,37)))</f>
        <v/>
      </c>
      <c r="AX41" s="62" t="str">
        <f>IF($AY41="","",IF($AK41="PKのみ",CHOOSE(MOD($AY41-1,6)+1,12,17,22,27,32,37),$AI41))</f>
        <v/>
      </c>
      <c r="AY41" s="62" t="str">
        <f>IF($AK41="PKのみ",COUNTIFS($AK$3:$AK$62,"PKのみ",$AH$3:$AH$62,"&lt;"&amp;$AH41)+1,IF($AK41="梱包のみ",COUNTIFS($AK$3:$AK$62,"梱包のみ",$AI$3:$AI$62,"&lt;"&amp;$AI41)+1,""))</f>
        <v/>
      </c>
    </row>
    <row r="42" spans="1:55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  <c r="AW42" s="62" t="str">
        <f>IF($AY42="","",IF($AK42="PKのみ",$AH42,CHOOSE(MOD($AY42-1,6)+1,12,17,22,27,32,37)))</f>
        <v/>
      </c>
      <c r="AX42" s="62" t="str">
        <f>IF($AY42="","",IF($AK42="PKのみ",CHOOSE(MOD($AY42-1,6)+1,12,17,22,27,32,37),$AI42))</f>
        <v/>
      </c>
      <c r="AY42" s="62" t="str">
        <f>IF($AK42="PKのみ",COUNTIFS($AK$3:$AK$62,"PKのみ",$AH$3:$AH$62,"&lt;"&amp;$AH42)+1,IF($AK42="梱包のみ",COUNTIFS($AK$3:$AK$62,"梱包のみ",$AI$3:$AI$62,"&lt;"&amp;$AI42)+1,""))</f>
        <v/>
      </c>
    </row>
    <row r="43" spans="1:55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  <c r="AW43" s="62" t="str">
        <f>IF($AY43="","",IF($AK43="PKのみ",$AH43,CHOOSE(MOD($AY43-1,6)+1,12,17,22,27,32,37)))</f>
        <v/>
      </c>
      <c r="AX43" s="62" t="str">
        <f>IF($AY43="","",IF($AK43="PKのみ",CHOOSE(MOD($AY43-1,6)+1,12,17,22,27,32,37),$AI43))</f>
        <v/>
      </c>
      <c r="AY43" s="62" t="str">
        <f>IF($AK43="PKのみ",COUNTIFS($AK$3:$AK$62,"PKのみ",$AH$3:$AH$62,"&lt;"&amp;$AH43)+1,IF($AK43="梱包のみ",COUNTIFS($AK$3:$AK$62,"梱包のみ",$AI$3:$AI$62,"&lt;"&amp;$AI43)+1,""))</f>
        <v/>
      </c>
    </row>
    <row r="44" spans="1:55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  <c r="AW44" s="62" t="str">
        <f>IF($AY44="","",IF($AK44="PKのみ",$AH44,CHOOSE(MOD($AY44-1,6)+1,12,17,22,27,32,37)))</f>
        <v/>
      </c>
      <c r="AX44" s="62" t="str">
        <f>IF($AY44="","",IF($AK44="PKのみ",CHOOSE(MOD($AY44-1,6)+1,12,17,22,27,32,37),$AI44))</f>
        <v/>
      </c>
      <c r="AY44" s="62" t="str">
        <f>IF($AK44="PKのみ",COUNTIFS($AK$3:$AK$62,"PKのみ",$AH$3:$AH$62,"&lt;"&amp;$AH44)+1,IF($AK44="梱包のみ",COUNTIFS($AK$3:$AK$62,"梱包のみ",$AI$3:$AI$62,"&lt;"&amp;$AI44)+1,""))</f>
        <v/>
      </c>
    </row>
    <row r="45" spans="1:55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  <c r="AW45" s="62" t="str">
        <f>IF($AY45="","",IF($AK45="PKのみ",$AH45,CHOOSE(MOD($AY45-1,6)+1,12,17,22,27,32,37)))</f>
        <v/>
      </c>
      <c r="AX45" s="62" t="str">
        <f>IF($AY45="","",IF($AK45="PKのみ",CHOOSE(MOD($AY45-1,6)+1,12,17,22,27,32,37),$AI45))</f>
        <v/>
      </c>
      <c r="AY45" s="62" t="str">
        <f>IF($AK45="PKのみ",COUNTIFS($AK$3:$AK$62,"PKのみ",$AH$3:$AH$62,"&lt;"&amp;$AH45)+1,IF($AK45="梱包のみ",COUNTIFS($AK$3:$AK$62,"梱包のみ",$AI$3:$AI$62,"&lt;"&amp;$AI45)+1,""))</f>
        <v/>
      </c>
    </row>
    <row r="46" spans="1:55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  <c r="AW46" s="62" t="str">
        <f>IF($AY46="","",IF($AK46="PKのみ",$AH46,CHOOSE(MOD($AY46-1,6)+1,12,17,22,27,32,37)))</f>
        <v/>
      </c>
      <c r="AX46" s="62" t="str">
        <f>IF($AY46="","",IF($AK46="PKのみ",CHOOSE(MOD($AY46-1,6)+1,12,17,22,27,32,37),$AI46))</f>
        <v/>
      </c>
      <c r="AY46" s="62" t="str">
        <f>IF($AK46="PKのみ",COUNTIFS($AK$3:$AK$62,"PKのみ",$AH$3:$AH$62,"&lt;"&amp;$AH46)+1,IF($AK46="梱包のみ",COUNTIFS($AK$3:$AK$62,"梱包のみ",$AI$3:$AI$62,"&lt;"&amp;$AI46)+1,""))</f>
        <v/>
      </c>
    </row>
    <row r="47" spans="1:55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  <c r="AW47" s="62" t="str">
        <f>IF($AY47="","",IF($AK47="PKのみ",$AH47,CHOOSE(MOD($AY47-1,6)+1,12,17,22,27,32,37)))</f>
        <v/>
      </c>
      <c r="AX47" s="62" t="str">
        <f>IF($AY47="","",IF($AK47="PKのみ",CHOOSE(MOD($AY47-1,6)+1,12,17,22,27,32,37),$AI47))</f>
        <v/>
      </c>
      <c r="AY47" s="62" t="str">
        <f>IF($AK47="PKのみ",COUNTIFS($AK$3:$AK$62,"PKのみ",$AH$3:$AH$62,"&lt;"&amp;$AH47)+1,IF($AK47="梱包のみ",COUNTIFS($AK$3:$AK$62,"梱包のみ",$AI$3:$AI$62,"&lt;"&amp;$AI47)+1,""))</f>
        <v/>
      </c>
    </row>
    <row r="48" spans="1:55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  <c r="AW48" s="62" t="str">
        <f>IF($AY48="","",IF($AK48="PKのみ",$AH48,CHOOSE(MOD($AY48-1,6)+1,12,17,22,27,32,37)))</f>
        <v/>
      </c>
      <c r="AX48" s="62" t="str">
        <f>IF($AY48="","",IF($AK48="PKのみ",CHOOSE(MOD($AY48-1,6)+1,12,17,22,27,32,37),$AI48))</f>
        <v/>
      </c>
      <c r="AY48" s="62" t="str">
        <f>IF($AK48="PKのみ",COUNTIFS($AK$3:$AK$62,"PKのみ",$AH$3:$AH$62,"&lt;"&amp;$AH48)+1,IF($AK48="梱包のみ",COUNTIFS($AK$3:$AK$62,"梱包のみ",$AI$3:$AI$62,"&lt;"&amp;$AI48)+1,""))</f>
        <v/>
      </c>
    </row>
    <row r="49" spans="1:55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  <c r="AW49" s="62" t="str">
        <f>IF($AY49="","",IF($AK49="PKのみ",$AH49,CHOOSE(MOD($AY49-1,6)+1,12,17,22,27,32,37)))</f>
        <v/>
      </c>
      <c r="AX49" s="62" t="str">
        <f>IF($AY49="","",IF($AK49="PKのみ",CHOOSE(MOD($AY49-1,6)+1,12,17,22,27,32,37),$AI49))</f>
        <v/>
      </c>
      <c r="AY49" s="62" t="str">
        <f>IF($AK49="PKのみ",COUNTIFS($AK$3:$AK$62,"PKのみ",$AH$3:$AH$62,"&lt;"&amp;$AH49)+1,IF($AK49="梱包のみ",COUNTIFS($AK$3:$AK$62,"梱包のみ",$AI$3:$AI$62,"&lt;"&amp;$AI49)+1,""))</f>
        <v/>
      </c>
    </row>
    <row r="50" spans="1:55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  <c r="AW50" s="62" t="str">
        <f>IF($AY50="","",IF($AK50="PKのみ",$AH50,CHOOSE(MOD($AY50-1,6)+1,12,17,22,27,32,37)))</f>
        <v/>
      </c>
      <c r="AX50" s="62" t="str">
        <f>IF($AY50="","",IF($AK50="PKのみ",CHOOSE(MOD($AY50-1,6)+1,12,17,22,27,32,37),$AI50))</f>
        <v/>
      </c>
      <c r="AY50" s="62" t="str">
        <f>IF($AK50="PKのみ",COUNTIFS($AK$3:$AK$62,"PKのみ",$AH$3:$AH$62,"&lt;"&amp;$AH50)+1,IF($AK50="梱包のみ",COUNTIFS($AK$3:$AK$62,"梱包のみ",$AI$3:$AI$62,"&lt;"&amp;$AI50)+1,""))</f>
        <v/>
      </c>
    </row>
    <row r="51" spans="1:55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  <c r="AW51" s="62" t="str">
        <f>IF($AY51="","",IF($AK51="PKのみ",$AH51,CHOOSE(MOD($AY51-1,6)+1,12,17,22,27,32,37)))</f>
        <v/>
      </c>
      <c r="AX51" s="62" t="str">
        <f>IF($AY51="","",IF($AK51="PKのみ",CHOOSE(MOD($AY51-1,6)+1,12,17,22,27,32,37),$AI51))</f>
        <v/>
      </c>
      <c r="AY51" s="62" t="str">
        <f>IF($AK51="PKのみ",COUNTIFS($AK$3:$AK$62,"PKのみ",$AH$3:$AH$62,"&lt;"&amp;$AH51)+1,IF($AK51="梱包のみ",COUNTIFS($AK$3:$AK$62,"梱包のみ",$AI$3:$AI$62,"&lt;"&amp;$AI51)+1,""))</f>
        <v/>
      </c>
    </row>
    <row r="52" spans="1:55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  <c r="AW52" s="62" t="str">
        <f>IF($AY52="","",IF($AK52="PKのみ",$AH52,CHOOSE(MOD($AY52-1,6)+1,12,17,22,27,32,37)))</f>
        <v/>
      </c>
      <c r="AX52" s="62" t="str">
        <f>IF($AY52="","",IF($AK52="PKのみ",CHOOSE(MOD($AY52-1,6)+1,12,17,22,27,32,37),$AI52))</f>
        <v/>
      </c>
      <c r="AY52" s="62" t="str">
        <f>IF($AK52="PKのみ",COUNTIFS($AK$3:$AK$62,"PKのみ",$AH$3:$AH$62,"&lt;"&amp;$AH52)+1,IF($AK52="梱包のみ",COUNTIFS($AK$3:$AK$62,"梱包のみ",$AI$3:$AI$62,"&lt;"&amp;$AI52)+1,""))</f>
        <v/>
      </c>
    </row>
    <row r="53" spans="1:55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  <c r="AW53" s="62" t="str">
        <f>IF($AY53="","",IF($AK53="PKのみ",$AH53,CHOOSE(MOD($AY53-1,6)+1,12,17,22,27,32,37)))</f>
        <v/>
      </c>
      <c r="AX53" s="62" t="str">
        <f>IF($AY53="","",IF($AK53="PKのみ",CHOOSE(MOD($AY53-1,6)+1,12,17,22,27,32,37),$AI53))</f>
        <v/>
      </c>
      <c r="AY53" s="62" t="str">
        <f>IF($AK53="PKのみ",COUNTIFS($AK$3:$AK$62,"PKのみ",$AH$3:$AH$62,"&lt;"&amp;$AH53)+1,IF($AK53="梱包のみ",COUNTIFS($AK$3:$AK$62,"梱包のみ",$AI$3:$AI$62,"&lt;"&amp;$AI53)+1,""))</f>
        <v/>
      </c>
    </row>
    <row r="54" spans="1:55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  <c r="AW54" s="62" t="str">
        <f>IF($AY54="","",IF($AK54="PKのみ",$AH54,CHOOSE(MOD($AY54-1,6)+1,12,17,22,27,32,37)))</f>
        <v/>
      </c>
      <c r="AX54" s="62" t="str">
        <f>IF($AY54="","",IF($AK54="PKのみ",CHOOSE(MOD($AY54-1,6)+1,12,17,22,27,32,37),$AI54))</f>
        <v/>
      </c>
      <c r="AY54" s="62" t="str">
        <f>IF($AK54="PKのみ",COUNTIFS($AK$3:$AK$62,"PKのみ",$AH$3:$AH$62,"&lt;"&amp;$AH54)+1,IF($AK54="梱包のみ",COUNTIFS($AK$3:$AK$62,"梱包のみ",$AI$3:$AI$62,"&lt;"&amp;$AI54)+1,""))</f>
        <v/>
      </c>
    </row>
    <row r="55" spans="1:55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  <c r="AW55" s="62" t="str">
        <f>IF($AY55="","",IF($AK55="PKのみ",$AH55,CHOOSE(MOD($AY55-1,6)+1,12,17,22,27,32,37)))</f>
        <v/>
      </c>
      <c r="AX55" s="62" t="str">
        <f>IF($AY55="","",IF($AK55="PKのみ",CHOOSE(MOD($AY55-1,6)+1,12,17,22,27,32,37),$AI55))</f>
        <v/>
      </c>
      <c r="AY55" s="62" t="str">
        <f>IF($AK55="PKのみ",COUNTIFS($AK$3:$AK$62,"PKのみ",$AH$3:$AH$62,"&lt;"&amp;$AH55)+1,IF($AK55="梱包のみ",COUNTIFS($AK$3:$AK$62,"梱包のみ",$AI$3:$AI$62,"&lt;"&amp;$AI55)+1,""))</f>
        <v/>
      </c>
    </row>
    <row r="56" spans="1:55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  <c r="AW56" s="62" t="str">
        <f>IF($AY56="","",IF($AK56="PKのみ",$AH56,CHOOSE(MOD($AY56-1,6)+1,12,17,22,27,32,37)))</f>
        <v/>
      </c>
      <c r="AX56" s="62" t="str">
        <f>IF($AY56="","",IF($AK56="PKのみ",CHOOSE(MOD($AY56-1,6)+1,12,17,22,27,32,37),$AI56))</f>
        <v/>
      </c>
      <c r="AY56" s="62" t="str">
        <f>IF($AK56="PKのみ",COUNTIFS($AK$3:$AK$62,"PKのみ",$AH$3:$AH$62,"&lt;"&amp;$AH56)+1,IF($AK56="梱包のみ",COUNTIFS($AK$3:$AK$62,"梱包のみ",$AI$3:$AI$62,"&lt;"&amp;$AI56)+1,""))</f>
        <v/>
      </c>
    </row>
    <row r="57" spans="1:55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  <c r="AW57" s="62" t="str">
        <f>IF($AY57="","",IF($AK57="PKのみ",$AH57,CHOOSE(MOD($AY57-1,6)+1,12,17,22,27,32,37)))</f>
        <v/>
      </c>
      <c r="AX57" s="62" t="str">
        <f>IF($AY57="","",IF($AK57="PKのみ",CHOOSE(MOD($AY57-1,6)+1,12,17,22,27,32,37),$AI57))</f>
        <v/>
      </c>
      <c r="AY57" s="62" t="str">
        <f>IF($AK57="PKのみ",COUNTIFS($AK$3:$AK$62,"PKのみ",$AH$3:$AH$62,"&lt;"&amp;$AH57)+1,IF($AK57="梱包のみ",COUNTIFS($AK$3:$AK$62,"梱包のみ",$AI$3:$AI$62,"&lt;"&amp;$AI57)+1,""))</f>
        <v/>
      </c>
    </row>
    <row r="58" spans="1:55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  <c r="AW58" s="62" t="str">
        <f>IF($AY58="","",IF($AK58="PKのみ",$AH58,CHOOSE(MOD($AY58-1,6)+1,12,17,22,27,32,37)))</f>
        <v/>
      </c>
      <c r="AX58" s="62" t="str">
        <f>IF($AY58="","",IF($AK58="PKのみ",CHOOSE(MOD($AY58-1,6)+1,12,17,22,27,32,37),$AI58))</f>
        <v/>
      </c>
      <c r="AY58" s="62" t="str">
        <f>IF($AK58="PKのみ",COUNTIFS($AK$3:$AK$62,"PKのみ",$AH$3:$AH$62,"&lt;"&amp;$AH58)+1,IF($AK58="梱包のみ",COUNTIFS($AK$3:$AK$62,"梱包のみ",$AI$3:$AI$62,"&lt;"&amp;$AI58)+1,""))</f>
        <v/>
      </c>
    </row>
    <row r="59" spans="1:55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  <c r="AW59" s="62" t="str">
        <f>IF($AY59="","",IF($AK59="PKのみ",$AH59,CHOOSE(MOD($AY59-1,6)+1,12,17,22,27,32,37)))</f>
        <v/>
      </c>
      <c r="AX59" s="62" t="str">
        <f>IF($AY59="","",IF($AK59="PKのみ",CHOOSE(MOD($AY59-1,6)+1,12,17,22,27,32,37),$AI59))</f>
        <v/>
      </c>
      <c r="AY59" s="62" t="str">
        <f>IF($AK59="PKのみ",COUNTIFS($AK$3:$AK$62,"PKのみ",$AH$3:$AH$62,"&lt;"&amp;$AH59)+1,IF($AK59="梱包のみ",COUNTIFS($AK$3:$AK$62,"梱包のみ",$AI$3:$AI$62,"&lt;"&amp;$AI59)+1,""))</f>
        <v/>
      </c>
    </row>
    <row r="60" spans="1:55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  <c r="AW60" s="62" t="str">
        <f>IF($AY60="","",IF($AK60="PKのみ",$AH60,CHOOSE(MOD($AY60-1,6)+1,12,17,22,27,32,37)))</f>
        <v/>
      </c>
      <c r="AX60" s="62" t="str">
        <f>IF($AY60="","",IF($AK60="PKのみ",CHOOSE(MOD($AY60-1,6)+1,12,17,22,27,32,37),$AI60))</f>
        <v/>
      </c>
      <c r="AY60" s="62" t="str">
        <f>IF($AK60="PKのみ",COUNTIFS($AK$3:$AK$62,"PKのみ",$AH$3:$AH$62,"&lt;"&amp;$AH60)+1,IF($AK60="梱包のみ",COUNTIFS($AK$3:$AK$62,"梱包のみ",$AI$3:$AI$62,"&lt;"&amp;$AI60)+1,""))</f>
        <v/>
      </c>
    </row>
    <row r="61" spans="1:55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  <c r="AW61" s="62" t="str">
        <f>IF($AY61="","",IF($AK61="PKのみ",$AH61,CHOOSE(MOD($AY61-1,6)+1,12,17,22,27,32,37)))</f>
        <v/>
      </c>
      <c r="AX61" s="62" t="str">
        <f>IF($AY61="","",IF($AK61="PKのみ",CHOOSE(MOD($AY61-1,6)+1,12,17,22,27,32,37),$AI61))</f>
        <v/>
      </c>
      <c r="AY61" s="62" t="str">
        <f>IF($AK61="PKのみ",COUNTIFS($AK$3:$AK$62,"PKのみ",$AH$3:$AH$62,"&lt;"&amp;$AH61)+1,IF($AK61="梱包のみ",COUNTIFS($AK$3:$AK$62,"梱包のみ",$AI$3:$AI$62,"&lt;"&amp;$AI61)+1,""))</f>
        <v/>
      </c>
    </row>
    <row r="62" spans="1:55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  <c r="AW62" s="62" t="str">
        <f>IF($AY62="","",IF($AK62="PKのみ",$AH62,CHOOSE(MOD($AY62-1,6)+1,12,17,22,27,32,37)))</f>
        <v/>
      </c>
      <c r="AX62" s="62" t="str">
        <f>IF($AY62="","",IF($AK62="PKのみ",CHOOSE(MOD($AY62-1,6)+1,12,17,22,27,32,37),$AI62))</f>
        <v/>
      </c>
      <c r="AY62" s="62" t="str">
        <f>IF($AK62="PKのみ",COUNTIFS($AK$3:$AK$62,"PKのみ",$AH$3:$AH$62,"&lt;"&amp;$AH62)+1,IF($AK62="梱包のみ",COUNTIFS($AK$3:$AK$62,"梱包のみ",$AI$3:$AI$62,"&lt;"&amp;$AI62)+1,""))</f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