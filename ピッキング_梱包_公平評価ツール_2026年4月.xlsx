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<sst xmlns="http://schemas.openxmlformats.org/spreadsheetml/2006/main" count="688" uniqueCount="498">
  <si>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</si>
  <si>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</si>
  <si>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</si>
  <si>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</si>
  <si>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</si>
  <si>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</si>
  <si>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</si>
  <si>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</si>
  <si>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</si>
  <si>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</si>
  <si>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</si>
  <si>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</si>
  <si>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</si>
  <si>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</si>
  <si>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</si>
  <si>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</si>
  <si>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</si>
  <si>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</si>
  <si>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</si>
  <si>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</si>
  <si>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</si>
  <si>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</si>
  <si>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</si>
  <si>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</si>
  <si>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</si>
  <si>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</si>
  <si>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</si>
  <si>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</si>
  <si>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</si>
  <si>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</si>
  <si>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</si>
  <si>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</si>
  <si>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</si>
  <si>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</si>
  <si>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</si>
  <si>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</si>
  <si>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</si>
  <si>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</si>
  <si>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</si>
  <si>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</si>
  <si>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</si>
  <si>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</si>
  <si>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</si>
  <si>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</si>
  <si>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</si>
  <si>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</si>
  <si>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</si>
  <si>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</si>
  <si>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</si>
  <si>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</si>
  <si>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</si>
  <si>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</si>
  <si>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</si>
  <si>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</si>
  <si>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</si>
  <si>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</si>
  <si>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</si>
  <si>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</si>
  <si>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</si>
  <si>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</si>
  <si>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</si>
  <si>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</si>
  <si>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</si>
  <si>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</si>
  <si>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</si>
  <si>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</si>
  <si>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</si>
  <si>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</si>
  <si>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</si>
  <si>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</si>
  <si>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</si>
  <si>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</si>
  <si>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</si>
  <si>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</si>
  <si>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</si>
  <si>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</si>
  <si>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</si>
  <si>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</si>
  <si>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</si>
  <si>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</si>
  <si>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</si>
  <si>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</si>
  <si>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</si>
  <si>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</si>
  <si>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</si>
  <si>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</si>
  <si>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</si>
  <si>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</si>
  <si>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</si>
  <si>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</si>
  <si>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</si>
  <si>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</si>
  <si>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</si>
  <si>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</si>
  <si>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</si>
  <si>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</si>
  <si>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</si>
  <si>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</si>
  <si>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</si>
  <si>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</si>
  <si>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</si>
  <si>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</si>
  <si>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</si>
  <si>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</si>
  <si>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</si>
  <si>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</si>
  <si>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</si>
  <si>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</si>
  <si>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</si>
  <si>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</si>
  <si>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</si>
  <si>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</si>
  <si>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</si>
  <si>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</si>
  <si>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</si>
  <si>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</si>
  <si>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</si>
  <si>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</si>
  <si>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</si>
  <si>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</si>
  <si>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</si>
  <si>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</si>
  <si>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</si>
  <si>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</si>
  <si>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</si>
  <si>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</si>
  <si>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</si>
  <si>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</si>
  <si>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</si>
  <si>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</si>
  <si>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</si>
  <si>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</si>
  <si>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</si>
  <si>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</si>
  <si>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</si>
  <si>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</si>
  <si>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</si>
  <si>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</si>
  <si>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</si>
  <si>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</si>
  <si>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</si>
  <si>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</si>
  <si>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</si>
  <si>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</si>
  <si>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</si>
  <si>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</si>
  <si>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</si>
  <si>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</si>
  <si>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</si>
  <si>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</si>
  <si>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</si>
  <si>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</si>
  <si>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</si>
  <si>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</si>
  <si>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</si>
  <si>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</si>
  <si>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</si>
  <si>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</si>
  <si>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</si>
  <si>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</si>
  <si>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</si>
  <si>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</si>
  <si>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</si>
  <si>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</si>
  <si>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</si>
  <si>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</si>
  <si>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</si>
  <si>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</si>
  <si>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</si>
  <si>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</si>
  <si>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</si>
  <si>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</si>
  <si>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</si>
  <si>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</si>
  <si>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</si>
  <si>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</si>
  <si>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</si>
  <si>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</si>
  <si>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</si>
  <si>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</si>
  <si>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</si>
  <si>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</si>
  <si>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</si>
  <si>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</si>
  <si>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</si>
  <si>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</si>
  <si>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</si>
  <si>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</si>
  <si>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</si>
  <si>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</si>
  <si>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</si>
  <si>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</si>
  <si>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</si>
  <si>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</si>
  <si>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</si>
  <si>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</si>
  <si>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</si>
  <si>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</si>
  <si>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</si>
  <si>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</si>
  <si>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</si>
  <si>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</si>
  <si>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</si>
  <si>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</si>
  <si>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</si>
  <si>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</si>
  <si>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</si>
  <si>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</si>
  <si>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</si>
  <si>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</si>
  <si>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</si>
  <si>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</si>
  <si>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</si>
  <si>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</si>
  <si>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</si>
  <si>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</si>
  <si>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</si>
  <si>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</si>
  <si>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</si>
  <si>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</si>
  <si>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</si>
  <si>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</si>
  <si>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</si>
  <si>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</si>
  <si>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</si>
  <si>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</si>
  <si>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</si>
  <si>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</si>
  <si>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</si>
  <si>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</si>
  <si>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</si>
  <si>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</si>
  <si>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</si>
  <si>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</si>
  <si>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</si>
  <si>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</si>
  <si>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</si>
  <si>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</si>
  <si>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</si>
  <si>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</si>
  <si>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</si>
  <si>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</si>
  <si>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</si>
  <si>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</si>
  <si>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</si>
  <si>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</si>
  <si>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</si>
  <si>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</si>
  <si>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</si>
  <si>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</si>
  <si>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</si>
  <si>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</si>
  <si>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</si>
  <si>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</si>
  <si>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</si>
  <si>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</si>
  <si>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</si>
  <si>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</si>
  <si>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</si>
  <si>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</si>
  <si>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</si>
  <si>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</si>
  <si>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</si>
  <si>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</si>
  <si>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</si>
  <si>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</si>
  <si>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</si>
  <si>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</si>
  <si>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</si>
  <si>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</si>
  <si>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</si>
  <si>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</si>
  <si>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</si>
  <si>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</si>
  <si>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</si>
  <si>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</si>
  <si>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</si>
  <si>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</si>
  <si>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</si>
  <si>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</si>
  <si>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</si>
  <si>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</si>
  <si>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</si>
  <si>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</si>
  <si>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</si>
  <si>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</si>
  <si>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</si>
  <si>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</si>
  <si>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</si>
  <si>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</si>
  <si>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</si>
  <si>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</si>
  <si>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</si>
  <si>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</si>
  <si>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</si>
  <si>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</si>
  <si>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</si>
  <si>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</si>
  <si>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</si>
  <si>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</si>
  <si>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</si>
  <si>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</si>
  <si>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</si>
  <si>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</si>
  <si>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</si>
  <si>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</si>
  <si>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</si>
  <si>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</si>
  <si>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</si>
  <si>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</si>
  <si>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</si>
  <si>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</si>
  <si>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</si>
  <si>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</si>
  <si>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</si>
  <si>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</si>
  <si>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</si>
  <si>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</si>
  <si>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</si>
  <si>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</si>
  <si>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</si>
  <si>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</si>
  <si>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</si>
  <si>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</si>
  <si>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</si>
  <si>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</si>
  <si>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</si>
  <si>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</si>
  <si>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</si>
  <si>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</si>
  <si>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</si>
  <si>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</si>
  <si>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</si>
  <si>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</si>
  <si>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</si>
  <si>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</si>
  <si>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</si>
  <si>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</si>
  <si>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</si>
  <si>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</si>
  <si>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</si>
  <si>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</si>
  <si>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</si>
  <si>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</si>
  <si>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</si>
  <si>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</si>
  <si>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</si>
  <si>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</si>
  <si>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</si>
  <si>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</si>
  <si>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</si>
  <si>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</si>
  <si>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</si>
  <si>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</si>
  <si>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</si>
  <si>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</si>
  <si>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</si>
  <si>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</si>
  <si>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</si>
  <si>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</si>
  <si>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</si>
  <si>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</si>
  <si>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</si>
  <si>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</si>
  <si>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</si>
  <si>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</si>
  <si>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</si>
  <si>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</si>
  <si>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</si>
  <si>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</si>
  <si>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</si>
  <si>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</si>
  <si>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</si>
  <si>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</si>
  <si>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</si>
  <si>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</si>
  <si>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</si>
  <si>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</si>
  <si>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</si>
  <si>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</si>
  <si>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</si>
  <si>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</si>
  <si>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</si>
  <si>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</si>
  <si>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</si>
  <si>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</si>
  <si>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</si>
  <si>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</si>
  <si>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</si>
  <si>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</si>
  <si>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</si>
  <si>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</si>
  <si>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</si>
  <si>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</si>
  <si>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</si>
  <si>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</si>
  <si>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</si>
  <si>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</si>
  <si>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</si>
  <si>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</si>
  <si>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</si>
  <si>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</si>
  <si>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</si>
  <si>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</si>
  <si>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</si>
  <si>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</si>
  <si>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</si>
  <si>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</si>
  <si>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</si>
  <si>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</si>
  <si>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</si>
  <si>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</si>
  <si>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</si>
  <si>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</si>
  <si>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</si>
  <si>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</si>
  <si>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</si>
  <si>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</si>
  <si>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</si>
  <si>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</si>
  <si>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</si>
  <si>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</si>
  <si>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</si>
  <si>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</si>
  <si>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</si>
  <si>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</si>
  <si>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</si>
  <si>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</si>
  <si>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</si>
  <si>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</si>
  <si>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</si>
  <si>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</si>
  <si>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</si>
  <si>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</si>
  <si>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</si>
  <si>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</si>
  <si>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</si>
  <si>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</si>
  <si>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</si>
  <si>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</si>
  <si>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</si>
  <si>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</si>
  <si>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</si>
  <si>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</si>
  <si>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</si>
  <si>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</si>
  <si>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</si>
  <si>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</si>
  <si>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</si>
  <si>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</si>
  <si>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</si>
  <si>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</si>
  <si>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</si>
  <si>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</si>
  <si>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</si>
  <si>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</si>
  <si>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</si>
  <si>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</si>
  <si>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</si>
  <si>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</si>
  <si>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</si>
  <si>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</si>
  <si>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</si>
  <si>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</si>
  <si>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</si>
  <si>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</si>
  <si>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</si>
  <si>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</si>
  <si>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</si>
  <si>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</si>
  <si>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</si>
  <si>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</si>
  <si>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</si>
  <si>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</si>
  <si>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</si>
  <si>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</si>
  <si>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</si>
  <si>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</si>
  <si>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</si>
  <si>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</si>
  <si>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</si>
  <si>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 xml:space="preserve">8. 担当者ランキング　※ 目標達成率＝会社目標 1.6分/件 に対する達成率。順位も判定も、この同じ値で付けています</t>
  </si>
  <si>
    <t xml:space="preserve">記録日数の少ない人は数字がブレます。ブレの大きさを見積もって、参考値（縮小後効率）と信頼区間を計算します。順位づけには使いません。</t>
  </si>
  <si>
    <t xml:space="preserve">全体サマリー、目標達成率のランキング、配置マップが自動で出ます。
段取り比率が高い月ほど、件数だけの比較は不公平になります。</t>
  </si>
  <si>
    <t xml:space="preserve">記録日数が少ない人は数字がブレるため、平均側へ寄せた参考値。順位づけには使わない。</t>
  </si>
  <si>
    <t xml:space="preserve">会社目標 1.6分/件 に対する達成率で4区分。100%以上＝◎達成、90%以上＝○あと一歩、80%以上＝△要改善、80%未満＝✕要支援。</t>
  </si>
  <si>
    <t xml:space="preserve">◎ 達成</t>
  </si>
  <si>
    <t xml:space="preserve">会社目標 1.6分/件 に対する達成率が 100% 以上</t>
  </si>
  <si>
    <t xml:space="preserve">○ あと一歩</t>
  </si>
  <si>
    <t xml:space="preserve">達成率 90% 以上 100% 未満</t>
  </si>
  <si>
    <t xml:space="preserve">△ 要改善</t>
  </si>
  <si>
    <t xml:space="preserve">達成率 80% 以上 90% 未満</t>
  </si>
  <si>
    <t xml:space="preserve">✕ 要支援</t>
  </si>
  <si>
    <t xml:space="preserve">達成率 80% 未満</t>
  </si>
  <si>
    <t xml:space="preserve">標準時間 ＝ a × 企業数 ＋ b × 件数　（ピッキング a=56.05秒/社・b=75.6秒/件／梱包 a=92.1秒/社・b=69.5秒/件）</t>
  </si>
  <si>
    <t xml:space="preserve">1社ごとに必ず発生する時間。ピッキングは 56.05秒/社（① リストを見る 10秒 ＋ ④ 伝票を挟む 46.05秒）。</t>
  </si>
  <si>
    <t xml:space="preserve">順位の再現性。1に近いほど順位が安定。ピッキング 0.40／梱包 0.87。</t>
  </si>
  <si>
    <t xml:space="preserve">・ピッキングは信頼性 0.40 と低めです。1か月の順位だけで人を決めず、数か月ならして見てください。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</si>
</sst>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ダッシュボード!$AF$3:$AF$62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ダッシュボード!$AK$3:$AK$62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General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General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dPt>
            <c:idx val="0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General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143.79496402877697</c:v>
                </c:pt>
                <c:pt idx="1">
                  <c:v>146.43356643356643</c:v>
                </c:pt>
                <c:pt idx="2">
                  <c:v>138.1651376146789</c:v>
                </c:pt>
                <c:pt idx="3">
                  <c:v>129.9769053117783</c:v>
                </c:pt>
                <c:pt idx="4">
                  <c:v>105.67375886524823</c:v>
                </c:pt>
                <c:pt idx="5">
                  <c:v>118.37270341207349</c:v>
                </c:pt>
                <c:pt idx="6">
                  <c:v>101.14607797087835</c:v>
                </c:pt>
                <c:pt idx="7">
                  <c:v>107.43889479277364</c:v>
                </c:pt>
                <c:pt idx="8">
                  <c:v>92.0866590649943</c:v>
                </c:pt>
                <c:pt idx="9">
                  <c:v>107.17488789237669</c:v>
                </c:pt>
                <c:pt idx="10">
                  <c:v>93.88379204892966</c:v>
                </c:pt>
                <c:pt idx="11">
                  <c:v>83.68638239339752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105.28192446043165</c:v>
                </c:pt>
                <c:pt idx="1">
                  <c:v>104.46258741258742</c:v>
                </c:pt>
                <c:pt idx="2">
                  <c:v>102.00110091743119</c:v>
                </c:pt>
                <c:pt idx="3">
                  <c:v>88.60635103926097</c:v>
                </c:pt>
                <c:pt idx="4">
                  <c:v>74.97375886524823</c:v>
                </c:pt>
                <c:pt idx="5">
                  <c:v>73.57165354330708</c:v>
                </c:pt>
                <c:pt idx="6">
                  <c:v>69.30690465007046</c:v>
                </c:pt>
                <c:pt idx="7">
                  <c:v>68.28905419766207</c:v>
                </c:pt>
                <c:pt idx="8">
                  <c:v>67.82770809578106</c:v>
                </c:pt>
                <c:pt idx="9">
                  <c:v>63.16696562032886</c:v>
                </c:pt>
                <c:pt idx="10">
                  <c:v>48.725688073394494</c:v>
                </c:pt>
                <c:pt idx="11">
                  <c:v>44.98411279229711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本吉有美子</c:v>
                </c:pt>
                <c:pt idx="1">
                  <c:v>大江美記子</c:v>
                </c:pt>
                <c:pt idx="2">
                  <c:v>佐藤辰成</c:v>
                </c:pt>
                <c:pt idx="3">
                  <c:v>春谷智子</c:v>
                </c:pt>
                <c:pt idx="4">
                  <c:v>澤田凌</c:v>
                </c:pt>
                <c:pt idx="5">
                  <c:v>後藤克行</c:v>
                </c:pt>
                <c:pt idx="6">
                  <c:v>中村美佳</c:v>
                </c:pt>
                <c:pt idx="7">
                  <c:v>晩田恵美</c:v>
                </c:pt>
                <c:pt idx="8">
                  <c:v>高橋佐織</c:v>
                </c:pt>
                <c:pt idx="9">
                  <c:v>山本祥吉</c:v>
                </c:pt>
                <c:pt idx="10">
                  <c:v>佐々木千恵</c:v>
                </c:pt>
                <c:pt idx="11">
                  <c:v>北田倫子</c:v>
                </c:pt>
                <c:pt idx="12">
                  <c:v>中納沙織</c:v>
                </c:pt>
                <c:pt idx="13">
                  <c:v>石戸谷亜子</c:v>
                </c:pt>
                <c:pt idx="14">
                  <c:v>森田美加</c:v>
                </c:pt>
                <c:pt idx="15">
                  <c:v>木村千鶴</c:v>
                </c:pt>
                <c:pt idx="16">
                  <c:v>河野忠</c:v>
                </c:pt>
                <c:pt idx="17">
                  <c:v>奥野愛海</c:v>
                </c:pt>
                <c:pt idx="18">
                  <c:v>鈴木香織</c:v>
                </c:pt>
                <c:pt idx="19">
                  <c:v>向井ひかり</c:v>
                </c:pt>
                <c:pt idx="20">
                  <c:v>廣瀬こずえ</c:v>
                </c:pt>
                <c:pt idx="21">
                  <c:v>片岡達也</c:v>
                </c:pt>
                <c:pt idx="22">
                  <c:v>森本久美</c:v>
                </c:pt>
                <c:pt idx="23">
                  <c:v>菊池敬</c:v>
                </c:pt>
                <c:pt idx="24">
                  <c:v>高橋正美</c:v>
                </c:pt>
                <c:pt idx="25">
                  <c:v>秋草文恵</c:v>
                </c:pt>
                <c:pt idx="26">
                  <c:v>上村和恵</c:v>
                </c:pt>
                <c:pt idx="27">
                  <c:v>平田学</c:v>
                </c:pt>
                <c:pt idx="28">
                  <c:v>飯田由加里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120.67691021365592</c:v>
                </c:pt>
                <c:pt idx="2">
                  <c:v>119.7425901187512</c:v>
                </c:pt>
                <c:pt idx="3">
                  <c:v>111.28404540730916</c:v>
                </c:pt>
                <c:pt idx="4">
                  <c:v>109.608647015599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100.54560159272768</c:v>
                </c:pt>
                <c:pt idx="16">
                  <c:v>100.53479201324765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93.41118109614357</c:v>
                </c:pt>
                <c:pt idx="21">
                  <c:v>93.27565646093761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北田倫子</c:v>
                </c:pt>
                <c:pt idx="3">
                  <c:v>大江美記子</c:v>
                </c:pt>
                <c:pt idx="4">
                  <c:v>佐藤辰成</c:v>
                </c:pt>
                <c:pt idx="5">
                  <c:v>飯田由加里</c:v>
                </c:pt>
                <c:pt idx="6">
                  <c:v>晩田恵美</c:v>
                </c:pt>
                <c:pt idx="7">
                  <c:v>河野忠</c:v>
                </c:pt>
                <c:pt idx="8">
                  <c:v>森本久美</c:v>
                </c:pt>
                <c:pt idx="9">
                  <c:v>鈴木香織</c:v>
                </c:pt>
                <c:pt idx="10">
                  <c:v>澤田凌</c:v>
                </c:pt>
                <c:pt idx="11">
                  <c:v>高橋佐織</c:v>
                </c:pt>
                <c:pt idx="12">
                  <c:v>中村美佳</c:v>
                </c:pt>
                <c:pt idx="13">
                  <c:v>山本祥吉</c:v>
                </c:pt>
                <c:pt idx="14">
                  <c:v>後藤克行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160.21330038970882</c:v>
                </c:pt>
                <c:pt idx="1">
                  <c:v>146.66177155707118</c:v>
                </c:pt>
                <c:pt idx="2">
                  <c:v>133.25785675591538</c:v>
                </c:pt>
                <c:pt idx="3">
                  <c:v>131.04490021102978</c:v>
                </c:pt>
                <c:pt idx="4">
                  <c:v>128.1824773344137</c:v>
                </c:pt>
                <c:pt idx="5">
                  <c:v>126.82484924085423</c:v>
                </c:pt>
                <c:pt idx="6">
                  <c:v>120.21334891697963</c:v>
                </c:pt>
                <c:pt idx="7">
                  <c:v>115.10131008792217</c:v>
                </c:pt>
                <c:pt idx="8">
                  <c:v>102.27473325768686</c:v>
                </c:pt>
                <c:pt idx="9">
                  <c:v>98.81317753034124</c:v>
                </c:pt>
                <c:pt idx="10">
                  <c:v>96.6040089685315</c:v>
                </c:pt>
                <c:pt idx="11">
                  <c:v>95.03098129485993</c:v>
                </c:pt>
                <c:pt idx="12">
                  <c:v>89.76235104145006</c:v>
                </c:pt>
                <c:pt idx="13">
                  <c:v>86.58781937105334</c:v>
                </c:pt>
                <c:pt idx="14">
                  <c:v>82.50800954832064</c:v>
                </c:pt>
                <c:pt idx="15">
                  <c:v>81.8195904305488</c:v>
                </c:pt>
                <c:pt idx="16">
                  <c:v>74.64765281846198</c:v>
                </c:pt>
                <c:pt idx="17">
                  <c:v>69.50855316564756</c:v>
                </c:pt>
                <c:pt idx="18">
                  <c:v>60.24629206624098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散布図!$AE$8:$AE$67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散布図!$AI$8:$AI$67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散布図!$AM$8:$AM$67</c:f>
              <c:numCache>
                <c:formatCode>General</c:formatCode>
                <c:ptCount val="60"/>
                <c:pt idx="0">
                  <c:v>0.2619334135579623</c:v>
                </c:pt>
                <c:pt idx="1">
                  <c:v>0.4400630914826498</c:v>
                </c:pt>
                <c:pt idx="2">
                  <c:v>0.2580275229357798</c:v>
                </c:pt>
                <c:pt idx="3">
                  <c:v>0.17253521126760563</c:v>
                </c:pt>
                <c:pt idx="4">
                  <c:v>0.2617874736101337</c:v>
                </c:pt>
                <c:pt idx="5">
                  <c:v>0.2826666666666667</c:v>
                </c:pt>
                <c:pt idx="6">
                  <c:v>0.3429364803887539</c:v>
                </c:pt>
                <c:pt idx="7">
                  <c:v>0.28860445912469035</c:v>
                </c:pt>
                <c:pt idx="8">
                  <c:v>0.25387596899224807</c:v>
                </c:pt>
                <c:pt idx="9">
                  <c:v>0.21460674157303372</c:v>
                </c:pt>
                <c:pt idx="10">
                  <c:v>0.3273231622746186</c:v>
                </c:pt>
                <c:pt idx="11">
                  <c:v>0.16964285714285715</c:v>
                </c:pt>
                <c:pt idx="12">
                  <c:v>0.2968253968253968</c:v>
                </c:pt>
                <c:pt idx="13">
                  <c:v>0.12141652613827993</c:v>
                </c:pt>
                <c:pt idx="14">
                  <c:v>0.2582857142857143</c:v>
                </c:pt>
                <c:pt idx="15">
                  <c:v>0.3619047619047619</c:v>
                </c:pt>
                <c:pt idx="16">
                  <c:v>0.3020618556701031</c:v>
                </c:pt>
                <c:pt idx="17">
                  <c:v>0.31022823330515636</c:v>
                </c:pt>
                <c:pt idx="18">
                  <c:v>0.40810556079170596</c:v>
                </c:pt>
              </c:numCache>
            </c:num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62.5511432009627</c:v>
                </c:pt>
                <c:pt idx="1">
                  <c:v>116.40378548895899</c:v>
                </c:pt>
                <c:pt idx="2">
                  <c:v>70.18348623853211</c:v>
                </c:pt>
                <c:pt idx="3">
                  <c:v>64.43661971830986</c:v>
                </c:pt>
                <c:pt idx="4">
                  <c:v>116.53764954257565</c:v>
                </c:pt>
                <c:pt idx="5">
                  <c:v>116.8</c:v>
                </c:pt>
                <c:pt idx="6">
                  <c:v>83.45019090593544</c:v>
                </c:pt>
                <c:pt idx="7">
                  <c:v>102.36168455821635</c:v>
                </c:pt>
                <c:pt idx="8">
                  <c:v>109.6124031007752</c:v>
                </c:pt>
                <c:pt idx="9">
                  <c:v>51.91011235955056</c:v>
                </c:pt>
                <c:pt idx="10">
                  <c:v>73.14840499306518</c:v>
                </c:pt>
                <c:pt idx="11">
                  <c:v>127.23214285714286</c:v>
                </c:pt>
                <c:pt idx="12">
                  <c:v>185.23809523809524</c:v>
                </c:pt>
                <c:pt idx="13">
                  <c:v>69.30860033726813</c:v>
                </c:pt>
                <c:pt idx="14">
                  <c:v>129.87428571428572</c:v>
                </c:pt>
                <c:pt idx="15">
                  <c:v>105.6</c:v>
                </c:pt>
                <c:pt idx="16">
                  <c:v>96.37113402061856</c:v>
                </c:pt>
                <c:pt idx="17">
                  <c:v>149.26458157227387</c:v>
                </c:pt>
                <c:pt idx="18">
                  <c:v>82.90292177191328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散布図!$AQ$8:$AQ$67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109.25811506173572</c:v>
                </c:pt>
                <c:pt idx="5">
                  <c:v>108.19661844228943</c:v>
                </c:pt>
                <c:pt idx="6">
                  <c:v>106.48628255257557</c:v>
                </c:pt>
                <c:pt idx="7">
                  <c:v>105.5199126114411</c:v>
                </c:pt>
                <c:pt idx="8">
                  <c:v>105.27874024037102</c:v>
                </c:pt>
                <c:pt idx="9">
                  <c:v>104.82956951103425</c:v>
                </c:pt>
                <c:pt idx="10">
                  <c:v>102.19941536738331</c:v>
                </c:pt>
                <c:pt idx="11">
                  <c:v>102.10123607448666</c:v>
                </c:pt>
                <c:pt idx="12">
                  <c:v>100.77903963067155</c:v>
                </c:pt>
                <c:pt idx="13">
                  <c:v>100.53479201324765</c:v>
                </c:pt>
                <c:pt idx="14">
                  <c:v>100.54560159272768</c:v>
                </c:pt>
                <c:pt idx="15">
                  <c:v>99.0427992117129</c:v>
                </c:pt>
                <c:pt idx="16">
                  <c:v>90.9750925905042</c:v>
                </c:pt>
                <c:pt idx="17">
                  <c:v>90.76031955021183</c:v>
                </c:pt>
                <c:pt idx="18">
                  <c:v>85.53848561318566</c:v>
                </c:pt>
              </c:numCache>
            </c:num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146.66177155707118</c:v>
                </c:pt>
                <c:pt idx="1">
                  <c:v>96.6040089685315</c:v>
                </c:pt>
                <c:pt idx="2">
                  <c:v>131.04490021102978</c:v>
                </c:pt>
                <c:pt idx="3">
                  <c:v>128.1824773344137</c:v>
                </c:pt>
                <c:pt idx="4">
                  <c:v>82.50800954832064</c:v>
                </c:pt>
                <c:pt idx="5">
                  <c:v>89.76235104145006</c:v>
                </c:pt>
                <c:pt idx="6">
                  <c:v>120.21334891697963</c:v>
                </c:pt>
                <c:pt idx="7">
                  <c:v>95.03098129485993</c:v>
                </c:pt>
                <c:pt idx="8">
                  <c:v>86.58781937105334</c:v>
                </c:pt>
                <c:pt idx="9">
                  <c:v>160.21330038970882</c:v>
                </c:pt>
                <c:pt idx="10">
                  <c:v>133.25785675591538</c:v>
                </c:pt>
                <c:pt idx="11">
                  <c:v>81.8195904305488</c:v>
                </c:pt>
                <c:pt idx="12">
                  <c:v>60.24629206624098</c:v>
                </c:pt>
                <c:pt idx="13">
                  <c:v>115.10131008792217</c:v>
                </c:pt>
                <c:pt idx="14">
                  <c:v>74.64765281846198</c:v>
                </c:pt>
                <c:pt idx="15">
                  <c:v>98.81317753034124</c:v>
                </c:pt>
                <c:pt idx="16">
                  <c:v>102.27473325768686</c:v>
                </c:pt>
                <c:pt idx="17">
                  <c:v>69.50855316564756</c:v>
                </c:pt>
                <c:pt idx="18">
                  <c:v>126.82484924085423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散布図!$BE$8:$BE$67</c:f>
              <c:numCache>
                <c:formatCode>General</c:formatCode>
                <c:ptCount val="60"/>
                <c:pt idx="0">
                  <c:v>2769.925</c:v>
                </c:pt>
                <c:pt idx="1">
                  <c:v>1420.4458333333332</c:v>
                </c:pt>
                <c:pt idx="2">
                  <c:v>1974.395</c:v>
                </c:pt>
                <c:pt idx="3">
                  <c:v>1067.6</c:v>
                </c:pt>
                <c:pt idx="4">
                  <c:v>265.775</c:v>
                </c:pt>
                <c:pt idx="5">
                  <c:v>4000.8849999999993</c:v>
                </c:pt>
                <c:pt idx="6">
                  <c:v>145.58999999999997</c:v>
                </c:pt>
                <c:pt idx="7">
                  <c:v>1459.605</c:v>
                </c:pt>
                <c:pt idx="8">
                  <c:v>1799.6599999999999</c:v>
                </c:pt>
                <c:pt idx="9">
                  <c:v>3812.2999999999997</c:v>
                </c:pt>
                <c:pt idx="10">
                  <c:v>1151.245</c:v>
                </c:pt>
                <c:pt idx="11">
                  <c:v>1021.0149999999999</c:v>
                </c:pt>
                <c:pt idx="12">
                  <c:v>2293.64</c:v>
                </c:pt>
                <c:pt idx="13">
                  <c:v>1498.83</c:v>
                </c:pt>
                <c:pt idx="14">
                  <c:v>441.995</c:v>
                </c:pt>
                <c:pt idx="15">
                  <c:v>541.605</c:v>
                </c:pt>
                <c:pt idx="16">
                  <c:v>1391.025</c:v>
                </c:pt>
                <c:pt idx="17">
                  <c:v>844.9749999999999</c:v>
                </c:pt>
                <c:pt idx="18">
                  <c:v>487.53999999999996</c:v>
                </c:pt>
                <c:pt idx="19">
                  <c:v>1688.275</c:v>
                </c:pt>
                <c:pt idx="20">
                  <c:v>155.305</c:v>
                </c:pt>
                <c:pt idx="21">
                  <c:v>1735.8849999999998</c:v>
                </c:pt>
                <c:pt idx="22">
                  <c:v>586.3449999999999</c:v>
                </c:pt>
                <c:pt idx="23">
                  <c:v>815.6949999999999</c:v>
                </c:pt>
                <c:pt idx="24">
                  <c:v>2030.38</c:v>
                </c:pt>
                <c:pt idx="25">
                  <c:v>1681.2649999999999</c:v>
                </c:pt>
                <c:pt idx="26">
                  <c:v>2114.895</c:v>
                </c:pt>
                <c:pt idx="27">
                  <c:v>693.3799999999999</c:v>
                </c:pt>
                <c:pt idx="28">
                  <c:v>570.175</c:v>
                </c:pt>
              </c:numCache>
            </c:num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2028</c:v>
                </c:pt>
                <c:pt idx="1">
                  <c:v>1245</c:v>
                </c:pt>
                <c:pt idx="2">
                  <c:v>1535</c:v>
                </c:pt>
                <c:pt idx="3">
                  <c:v>810</c:v>
                </c:pt>
                <c:pt idx="4">
                  <c:v>210</c:v>
                </c:pt>
                <c:pt idx="5">
                  <c:v>3585</c:v>
                </c:pt>
                <c:pt idx="6">
                  <c:v>120</c:v>
                </c:pt>
                <c:pt idx="7">
                  <c:v>1346</c:v>
                </c:pt>
                <c:pt idx="8">
                  <c:v>1685</c:v>
                </c:pt>
                <c:pt idx="9">
                  <c:v>3589</c:v>
                </c:pt>
                <c:pt idx="10">
                  <c:v>1082</c:v>
                </c:pt>
                <c:pt idx="11">
                  <c:v>1001</c:v>
                </c:pt>
                <c:pt idx="12">
                  <c:v>2255</c:v>
                </c:pt>
                <c:pt idx="13">
                  <c:v>1490</c:v>
                </c:pt>
                <c:pt idx="14">
                  <c:v>450</c:v>
                </c:pt>
                <c:pt idx="15">
                  <c:v>552</c:v>
                </c:pt>
                <c:pt idx="16">
                  <c:v>1396</c:v>
                </c:pt>
                <c:pt idx="17">
                  <c:v>925</c:v>
                </c:pt>
                <c:pt idx="18">
                  <c:v>505</c:v>
                </c:pt>
                <c:pt idx="19">
                  <c:v>1876</c:v>
                </c:pt>
                <c:pt idx="20">
                  <c:v>202</c:v>
                </c:pt>
                <c:pt idx="21">
                  <c:v>1972</c:v>
                </c:pt>
                <c:pt idx="22">
                  <c:v>716</c:v>
                </c:pt>
                <c:pt idx="23">
                  <c:v>950</c:v>
                </c:pt>
                <c:pt idx="24">
                  <c:v>2510</c:v>
                </c:pt>
                <c:pt idx="25">
                  <c:v>2094</c:v>
                </c:pt>
                <c:pt idx="26">
                  <c:v>2665</c:v>
                </c:pt>
                <c:pt idx="27">
                  <c:v>1225</c:v>
                </c:pt>
                <c:pt idx="28">
                  <c:v>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136.58407297830374</c:v>
                </c:pt>
                <c:pt idx="1">
                  <c:v>114.09203480589021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126.5595238095238</c:v>
                </c:pt>
                <c:pt idx="5">
                  <c:v>111.60069735006972</c:v>
                </c:pt>
                <c:pt idx="6">
                  <c:v>121.32499999999997</c:v>
                </c:pt>
                <c:pt idx="7">
                  <c:v>108.44019316493313</c:v>
                </c:pt>
                <c:pt idx="8">
                  <c:v>106.8047477744807</c:v>
                </c:pt>
                <c:pt idx="9">
                  <c:v>106.22178879910837</c:v>
                </c:pt>
                <c:pt idx="10">
                  <c:v>106.39972273567466</c:v>
                </c:pt>
                <c:pt idx="11">
                  <c:v>101.99950049950048</c:v>
                </c:pt>
                <c:pt idx="12">
                  <c:v>101.71352549889134</c:v>
                </c:pt>
                <c:pt idx="13">
                  <c:v>100.59261744966443</c:v>
                </c:pt>
                <c:pt idx="14">
                  <c:v>98.22111111111111</c:v>
                </c:pt>
                <c:pt idx="15">
                  <c:v>98.11684782608697</c:v>
                </c:pt>
                <c:pt idx="16">
                  <c:v>99.64362464183381</c:v>
                </c:pt>
                <c:pt idx="17">
                  <c:v>91.34864864864863</c:v>
                </c:pt>
                <c:pt idx="18">
                  <c:v>96.54257425742574</c:v>
                </c:pt>
                <c:pt idx="19">
                  <c:v>89.99333688699362</c:v>
                </c:pt>
                <c:pt idx="20">
                  <c:v>76.88366336633663</c:v>
                </c:pt>
                <c:pt idx="21">
                  <c:v>88.02662271805272</c:v>
                </c:pt>
                <c:pt idx="22">
                  <c:v>81.8917597765363</c:v>
                </c:pt>
                <c:pt idx="23">
                  <c:v>85.86263157894736</c:v>
                </c:pt>
                <c:pt idx="24">
                  <c:v>80.89163346613546</c:v>
                </c:pt>
                <c:pt idx="25">
                  <c:v>80.2896370582617</c:v>
                </c:pt>
                <c:pt idx="26">
                  <c:v>79.35816135084428</c:v>
                </c:pt>
                <c:pt idx="27">
                  <c:v>56.60244897959183</c:v>
                </c:pt>
                <c:pt idx="28">
                  <c:v>74.63023560209423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111.28404540730916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100.53479201324765</c:v>
                </c:pt>
                <c:pt idx="16">
                  <c:v>100.54560159272768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93.27565646093761</c:v>
                </c:pt>
                <c:pt idx="21">
                  <c:v>93.41118109614357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bl_PK" displayName="Tbl_PK" ref="A6:U66" headerRowCount="1" totalsRowShown="0">
  <autoFilter ref="A6:U66"/>
  <tableColumns count="21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  <tableColumn id="19" name="目標まで&#10;あと"/>
    <tableColumn id="20" name="目標到達で&#10;増やせる件数"/>
    <tableColumn id="21" name="目標到達で&#10;減らせる人件費(円)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KP" displayName="Tbl_KP" ref="A6:U66" headerRowCount="1" totalsRowShown="0">
  <autoFilter ref="A6:U66"/>
  <tableColumns count="21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  <tableColumn id="19" name="目標まで&#10;あと"/>
    <tableColumn id="20" name="目標到達で&#10;増やせる件数"/>
    <tableColumn id="21" name="目標到達で&#10;減らせる人件費(円)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131.7530864197531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184.93506493506493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114.71400394477318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153.47441323585994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105.33333333333334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148.98360655737704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104.24962852897475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138.5109489051095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102.25407166123779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136.7843137254902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101.5261044176707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131.24004550625713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100.70240295748616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115.79809004092772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94.91223181944831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115.03868230596457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ピッキング!$W$10+梱包!$W$10</f>
        <v>45716</v>
      </c>
      <c r="C11" s="67"/>
      <c r="D11" s="67"/>
      <c r="E11" s="67"/>
      <c r="F11" s="82">
        <f>IFERROR((ピッキング!$W$14+梱包!$W$14)/(ピッキング!$W$12+梱包!$W$12)*100,"")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92.95238095238096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99.61489088575097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90.84563758389262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93.78509196515006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89.57322175732219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89.35311572700297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87.58132956152758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81.15942028985508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82.47154471544717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IFERROR(ピッキング!$W$13/ピッキング!$W$12,"")</f>
        <v>0.33557881551953839</v>
      </c>
      <c r="C16" s="67"/>
      <c r="D16" s="67"/>
      <c r="E16" s="67"/>
      <c r="F16" s="77">
        <f>IFERROR((ピッキング!$W$12+梱包!$W$12)/60,"")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81.09977827050999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82.37681159420289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75.45263157894738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74.86033519553072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73.91763463569166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64.31532449881074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73.85927505330491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51.82519280205655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71.95675675675676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71.07368421052632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67.99188640973631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66.76172607879926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56.75392670157068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52.27722772277228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481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ピッキング!$W$5</f>
        <v>29</v>
      </c>
      <c r="D153" s="26">
        <f>梱包!$W$5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ピッキング!$W$10</f>
        <v>21249</v>
      </c>
      <c r="D154" s="26">
        <f>梱包!$W$10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ピッキング!$W$11</f>
        <v>9094</v>
      </c>
      <c r="D155" s="26">
        <f>梱包!$W$11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ピッキング!$W$16</f>
        <v>2.3365955575104462</v>
      </c>
      <c r="D156" s="27">
        <f>梱包!$W$16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IFERROR(ピッキング!$W$12/60,"")</f>
        <v>679.7166666666667</v>
      </c>
      <c r="D157" s="28">
        <f>IFERROR(梱包!$W$12/60,"")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IFERROR(ピッキング!$W$13/60,"")</f>
        <v>228.0985138888889</v>
      </c>
      <c r="D158" s="28">
        <f>IFERROR(梱包!$W$13/60,"")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ピッキング!$W$15</f>
        <v>0.33826072522746486</v>
      </c>
      <c r="D159" s="30">
        <f>梱包!$W$15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ピッキング!$W$17</f>
        <v>115.15741917266695</v>
      </c>
      <c r="D160" s="22">
        <f>梱包!$W$17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ピッキング!$W$3</f>
        <v>102.59731598413305</v>
      </c>
      <c r="D161" s="31">
        <f>梱包!$W$3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486</v>
      </c>
      <c r="C162" s="26">
        <f>ピッキング!$W$6</f>
        <v>7</v>
      </c>
      <c r="D162" s="26">
        <f>梱包!$W$6</f>
        <v>8</v>
      </c>
      <c r="E162" s="64" t="s">
        <v>487</v>
      </c>
      <c r="F162" s="65"/>
      <c r="G162" s="65"/>
      <c r="H162" s="65"/>
      <c r="I162" s="65"/>
      <c r="J162" s="65"/>
    </row>
    <row r="163" spans="2:10" x14ac:dyDescent="0.15">
      <c r="B163" s="25" t="s">
        <v>488</v>
      </c>
      <c r="C163" s="26">
        <f>ピッキング!$W$7</f>
        <v>3</v>
      </c>
      <c r="D163" s="26">
        <f>梱包!$W$7</f>
        <v>3</v>
      </c>
      <c r="E163" s="64" t="s">
        <v>489</v>
      </c>
      <c r="F163" s="65"/>
      <c r="G163" s="65"/>
      <c r="H163" s="65"/>
      <c r="I163" s="65"/>
      <c r="J163" s="65"/>
    </row>
    <row r="164" spans="2:10" x14ac:dyDescent="0.15">
      <c r="B164" s="25" t="s">
        <v>490</v>
      </c>
      <c r="C164" s="26">
        <f>ピッキング!$W$8</f>
        <v>4</v>
      </c>
      <c r="D164" s="26">
        <f>梱包!$W$8</f>
        <v>4</v>
      </c>
      <c r="E164" s="64" t="s">
        <v>491</v>
      </c>
      <c r="F164" s="65"/>
      <c r="G164" s="65"/>
      <c r="H164" s="65"/>
      <c r="I164" s="65"/>
      <c r="J164" s="65"/>
    </row>
    <row r="165" spans="2:10" x14ac:dyDescent="0.15">
      <c r="B165" s="25" t="s">
        <v>492</v>
      </c>
      <c r="C165" s="26">
        <f>ピッキング!$W$9</f>
        <v>15</v>
      </c>
      <c r="D165" s="26">
        <f>梱包!$W$9</f>
        <v>4</v>
      </c>
      <c r="E165" s="64" t="s">
        <v>493</v>
      </c>
      <c r="F165" s="65"/>
      <c r="G165" s="65"/>
      <c r="H165" s="65"/>
      <c r="I165" s="65"/>
      <c r="J165" s="65"/>
    </row>
    <row r="166" spans="2:10" x14ac:dyDescent="0.15">
      <c r="B166" s="3" t="s">
        <v>110</v>
      </c>
    </row>
    <row r="234" spans="2:2" x14ac:dyDescent="0.15">
      <c r="B234" s="3" t="s">
        <v>494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Y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12" customWidth="1"/>
    <col min="20" max="20" width="14" customWidth="1"/>
    <col min="21" max="21" width="16" customWidth="1"/>
    <col min="22" max="22" width="22" customWidth="1"/>
    <col min="23" max="23" width="12" customWidth="1"/>
    <col min="24" max="24" width="13" hidden="1" customWidth="1"/>
    <col min="25" max="25" width="9" hidden="1" customWidth="1"/>
  </cols>
  <sheetData>
    <row r="2" spans="1:25" ht="17.25" x14ac:dyDescent="0.2">
      <c r="B2" s="44" t="s">
        <v>169</v>
      </c>
      <c r="V2" s="9" t="s">
        <v>170</v>
      </c>
    </row>
    <row r="3" spans="1:25" ht="14.25" x14ac:dyDescent="0.15">
      <c r="B3" s="3" t="s">
        <v>171</v>
      </c>
      <c r="V3" s="45" t="s">
        <v>102</v>
      </c>
      <c r="W3" s="46">
        <f>IFERROR(SUM(X7:X66)/SUMIF(I7:I66,"&gt;0",C7:C66),"")</f>
        <v>102.59731598413305</v>
      </c>
    </row>
    <row r="4" spans="1:25" x14ac:dyDescent="0.15">
      <c r="B4" s="3" t="s">
        <v>172</v>
      </c>
      <c r="V4" s="47" t="s">
        <v>173</v>
      </c>
      <c r="W4" s="21"/>
    </row>
    <row r="5" spans="1:25" x14ac:dyDescent="0.15">
      <c r="B5" s="7" t="s">
        <v>124</v>
      </c>
      <c r="V5" s="47" t="s">
        <v>87</v>
      </c>
      <c r="W5" s="26">
        <f>COUNT(L7:L66)</f>
        <v>29</v>
      </c>
    </row>
    <row r="6" spans="1:25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20" t="inlineStr">
        <is>
          <t>目標まで
あと</t>
        </is>
      </c>
      <c r="T6" s="20" t="inlineStr">
        <is>
          <t>目標到達で
増やせる件数</t>
        </is>
      </c>
      <c r="U6" s="20" t="inlineStr">
        <is>
          <t>目標到達で
減らせる人件費(円)</t>
        </is>
      </c>
      <c r="V6" s="47" t="inlineStr">
        <is>
          <t>◎ 達成</t>
        </is>
      </c>
      <c r="W6" s="26">
        <f>COUNTIF(O7:O66,"◎達成")</f>
        <v>7</v>
      </c>
    </row>
    <row r="7" spans="1:25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IF(K7="","",IF(AND(K7&lt;&gt;"",ISNUMBER(入力!$F$10),入力!$F$10&gt;0),$W$3+(設定!$D$14/(設定!$D$14+設定!$D$15/入力!$F$10))*(K7-$W$3),K7))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50" t="str">
        <f>IF(Y7="","",IF(Y7&lt;=0,"達成済み",IF(Y7&lt;60,Y7&amp;"秒",INT(Y7/60)&amp;"分"&amp;TEXT(MOD(Y7,60),"00")&amp;"秒")))</f>
        <v>達成済み</v>
      </c>
      <c r="T7" s="26">
        <f>IF(C7="","",D7/設定!$C$26-C7)</f>
        <v>-186.5</v>
      </c>
      <c r="U7" s="26">
        <f>IF(C7="","",(D7-C7*設定!$C$26)/60*設定!$C$28)</f>
        <v>-7460.000000000002</v>
      </c>
      <c r="V7" s="47" t="inlineStr">
        <is>
          <t>○ あと一歩</t>
        </is>
      </c>
      <c r="W7" s="26">
        <f>COUNTIF(O7:O66,"○あと一歩")</f>
        <v>3</v>
      </c>
      <c r="X7">
        <f t="shared" ref="X7:X38" si="8">IF(K7="",0,K7*C7)</f>
        <v>198593.24211045363</v>
      </c>
      <c r="Y7">
        <f>IF(C7="","",ROUND(G7-設定!$C$26*60,0))</f>
        <v>-12.0</v>
      </c>
    </row>
    <row r="8" spans="1:25" x14ac:dyDescent="0.15">
      <c r="A8" s="48">
        <f t="shared" si="0"/>
        <v>6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IF(K8="","",IF(AND(K8&lt;&gt;"",ISNUMBER(入力!$F$11),入力!$F$11&gt;0),$W$3+(設定!$D$14/(設定!$D$14+設定!$D$15/入力!$F$11))*(K8-$W$3),K8))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50" t="str">
        <f>IF(Y8="","",IF(Y8&lt;=0,"達成済み",IF(Y8&lt;60,Y8&amp;"秒",INT(Y8/60)&amp;"分"&amp;TEXT(MOD(Y8,60),"00")&amp;"秒")))</f>
        <v>達成済み</v>
      </c>
      <c r="T8" s="26">
        <f>IF(C8="","",D8/設定!$C$26-C8)</f>
        <v>-11.875</v>
      </c>
      <c r="U8" s="26">
        <f>IF(C8="","",(D8-C8*設定!$C$26)/60*設定!$C$28)</f>
        <v>-475.0</v>
      </c>
      <c r="V8" s="47" t="inlineStr">
        <is>
          <t>△ 要改善</t>
        </is>
      </c>
      <c r="W8" s="26">
        <f>COUNTIF(O7:O66,"△要改善")</f>
        <v>4</v>
      </c>
      <c r="X8">
        <f t="shared" si="8"/>
        <v>90132.707496653267</v>
      </c>
      <c r="Y8">
        <f>IF(C8="","",ROUND(G8-設定!$C$26*60,0))</f>
        <v>-1.0</v>
      </c>
    </row>
    <row r="9" spans="1:25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IF(K9="","",IF(AND(K9&lt;&gt;"",ISNUMBER(入力!$F$12),入力!$F$12&gt;0),$W$3+(設定!$D$14/(設定!$D$14+設定!$D$15/入力!$F$12))*(K9-$W$3),K9))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50" t="str">
        <f>IF(Y9="","",IF(Y9&lt;=0,"達成済み",IF(Y9&lt;60,Y9&amp;"秒",INT(Y9/60)&amp;"分"&amp;TEXT(MOD(Y9,60),"00")&amp;"秒")))</f>
        <v>達成済み</v>
      </c>
      <c r="T9" s="26">
        <f>IF(C9="","",D9/設定!$C$26-C9)</f>
        <v>-21.625</v>
      </c>
      <c r="U9" s="26">
        <f>IF(C9="","",(D9-C9*設定!$C$26)/60*設定!$C$28)</f>
        <v>-865.0000000000035</v>
      </c>
      <c r="V9" s="47" t="inlineStr">
        <is>
          <t>✕ 要支援</t>
        </is>
      </c>
      <c r="W9" s="26">
        <f>COUNTIF(O7:O66,"✕要支援")</f>
        <v>15</v>
      </c>
      <c r="X9">
        <f t="shared" si="8"/>
        <v>126181.20488599347</v>
      </c>
      <c r="Y9">
        <f>IF(C9="","",ROUND(G9-設定!$C$26*60,0))</f>
        <v>-2.0</v>
      </c>
    </row>
    <row r="10" spans="1:25" x14ac:dyDescent="0.15">
      <c r="A10" s="48">
        <f t="shared" si="0"/>
        <v>1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IF(K10="","",IF(AND(K10&lt;&gt;"",ISNUMBER(入力!$F$13),入力!$F$13&gt;0),$W$3+(設定!$D$14/(設定!$D$14+設定!$D$15/入力!$F$13))*(K10-$W$3),K10))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50" t="str">
        <f>IF(Y10="","",IF(Y10&lt;=0,"達成済み",IF(Y10&lt;60,Y10&amp;"秒",INT(Y10/60)&amp;"分"&amp;TEXT(MOD(Y10,60),"00")&amp;"秒")))</f>
        <v>達成済み</v>
      </c>
      <c r="T10" s="26">
        <f>IF(C10="","",D10/設定!$C$26-C10)</f>
        <v>-160.75</v>
      </c>
      <c r="U10" s="26">
        <f>IF(C10="","",(D10-C10*設定!$C$26)/60*設定!$C$28)</f>
        <v>-6430.000000000001</v>
      </c>
      <c r="V10" s="47" t="s">
        <v>89</v>
      </c>
      <c r="W10" s="26">
        <f>SUMIF(I7:I66,"&gt;0",C7:C66)</f>
        <v>21249</v>
      </c>
      <c r="X10">
        <f t="shared" si="8"/>
        <v>87912.246913580238</v>
      </c>
      <c r="Y10">
        <f>IF(C10="","",ROUND(G10-設定!$C$26*60,0))</f>
        <v>-23.0</v>
      </c>
    </row>
    <row r="11" spans="1:25" x14ac:dyDescent="0.15">
      <c r="A11" s="48">
        <f t="shared" si="0"/>
        <v>9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IF(K11="","",IF(AND(K11&lt;&gt;"",ISNUMBER(入力!$F$14),入力!$F$14&gt;0),$W$3+(設定!$D$14/(設定!$D$14+設定!$D$15/入力!$F$14))*(K11-$W$3),K11))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50" t="str">
        <f>IF(Y11="","",IF(Y11&lt;=0,"達成済み",IF(Y11&lt;60,Y11&amp;"秒",INT(Y11/60)&amp;"分"&amp;TEXT(MOD(Y11,60),"00")&amp;"秒")))</f>
        <v>7秒</v>
      </c>
      <c r="T11" s="26">
        <f>IF(C11="","",D11/設定!$C$26-C11)</f>
        <v>9.25</v>
      </c>
      <c r="U11" s="26">
        <f>IF(C11="","",(D11-C11*設定!$C$26)/60*設定!$C$28)</f>
        <v>369.9999999999996</v>
      </c>
      <c r="V11" s="47" t="s">
        <v>91</v>
      </c>
      <c r="W11" s="26">
        <f>SUMIF(I7:I66,"&gt;0",E7:E66)</f>
        <v>9094</v>
      </c>
      <c r="X11">
        <f t="shared" si="8"/>
        <v>15440.261904761903</v>
      </c>
      <c r="Y11">
        <f>IF(C11="","",ROUND(G11-設定!$C$26*60,0))</f>
        <v>7.0</v>
      </c>
    </row>
    <row r="12" spans="1:25" x14ac:dyDescent="0.15">
      <c r="A12" s="48">
        <f t="shared" si="0"/>
        <v>11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IF(K12="","",IF(AND(K12&lt;&gt;"",ISNUMBER(入力!$F$15),入力!$F$15&gt;0),$W$3+(設定!$D$14/(設定!$D$14+設定!$D$15/入力!$F$15))*(K12-$W$3),K12))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50" t="str">
        <f>IF(Y12="","",IF(Y12&lt;=0,"達成済み",IF(Y12&lt;60,Y12&amp;"秒",INT(Y12/60)&amp;"分"&amp;TEXT(MOD(Y12,60),"00")&amp;"秒")))</f>
        <v>11秒</v>
      </c>
      <c r="T12" s="26">
        <f>IF(C12="","",D12/設定!$C$26-C12)</f>
        <v>233.625</v>
      </c>
      <c r="U12" s="26">
        <f>IF(C12="","",(D12-C12*設定!$C$26)/60*設定!$C$28)</f>
        <v>9344.999999999993</v>
      </c>
      <c r="V12" s="47" t="s">
        <v>186</v>
      </c>
      <c r="W12" s="26">
        <f>SUMIF(I7:I66,"&gt;0",D7:D66)</f>
        <v>40783</v>
      </c>
      <c r="X12">
        <f t="shared" si="8"/>
        <v>223982.59958158992</v>
      </c>
      <c r="Y12">
        <f>IF(C12="","",ROUND(G12-設定!$C$26*60,0))</f>
        <v>11.0</v>
      </c>
    </row>
    <row r="13" spans="1:25" x14ac:dyDescent="0.15">
      <c r="A13" s="48">
        <f t="shared" si="0"/>
        <v>3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IF(K13="","",IF(AND(K13&lt;&gt;"",ISNUMBER(入力!$F$16),入力!$F$16&gt;0),$W$3+(設定!$D$14/(設定!$D$14+設定!$D$15/入力!$F$16))*(K13-$W$3),K13))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50" t="str">
        <f>IF(Y13="","",IF(Y13&lt;=0,"達成済み",IF(Y13&lt;60,Y13&amp;"秒",INT(Y13/60)&amp;"分"&amp;TEXT(MOD(Y13,60),"00")&amp;"秒")))</f>
        <v>達成済み</v>
      </c>
      <c r="T13" s="26">
        <f>IF(C13="","",D13/設定!$C$26-C13)</f>
        <v>-4.0</v>
      </c>
      <c r="U13" s="26">
        <f>IF(C13="","",(D13-C13*設定!$C$26)/60*設定!$C$28)</f>
        <v>-160.00000000000014</v>
      </c>
      <c r="V13" s="47" t="s">
        <v>187</v>
      </c>
      <c r="W13" s="26">
        <f>SUMIF(I7:I66,"&gt;0",H7:H66)</f>
        <v>13685.910833333333</v>
      </c>
      <c r="X13">
        <f t="shared" si="8"/>
        <v>9584.6749999999975</v>
      </c>
      <c r="Y13">
        <f>IF(C13="","",ROUND(G13-設定!$C$26*60,0))</f>
        <v>-5.0</v>
      </c>
    </row>
    <row r="14" spans="1:25" x14ac:dyDescent="0.15">
      <c r="A14" s="48">
        <f t="shared" si="0"/>
        <v>4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IF(K14="","",IF(AND(K14&lt;&gt;"",ISNUMBER(入力!$F$17),入力!$F$17&gt;0),$W$3+(設定!$D$14/(設定!$D$14+設定!$D$15/入力!$F$17))*(K14-$W$3),K14))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50" t="str">
        <f>IF(Y14="","",IF(Y14&lt;=0,"達成済み",IF(Y14&lt;60,Y14&amp;"秒",INT(Y14/60)&amp;"分"&amp;TEXT(MOD(Y14,60),"00")&amp;"秒")))</f>
        <v>達成済み</v>
      </c>
      <c r="T14" s="26">
        <f>IF(C14="","",D14/設定!$C$26-C14)</f>
        <v>-35.75</v>
      </c>
      <c r="U14" s="26">
        <f>IF(C14="","",(D14-C14*設定!$C$26)/60*設定!$C$28)</f>
        <v>-1430.0000000000011</v>
      </c>
      <c r="V14" s="47" t="s">
        <v>188</v>
      </c>
      <c r="W14" s="26">
        <f>SUM(I7:I66)</f>
        <v>40459.650833333326</v>
      </c>
      <c r="X14">
        <f t="shared" si="8"/>
        <v>95102.049405646365</v>
      </c>
      <c r="Y14">
        <f>IF(C14="","",ROUND(G14-設定!$C$26*60,0))</f>
        <v>-4.0</v>
      </c>
    </row>
    <row r="15" spans="1:25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IF(K15="","",IF(AND(K15&lt;&gt;"",ISNUMBER(入力!$F$18),入力!$F$18&gt;0),$W$3+(設定!$D$14/(設定!$D$14+設定!$D$15/入力!$F$18))*(K15-$W$3),K15))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50" t="str">
        <f>IF(Y15="","",IF(Y15&lt;=0,"達成済み",IF(Y15&lt;60,Y15&amp;"秒",INT(Y15/60)&amp;"分"&amp;TEXT(MOD(Y15,60),"00")&amp;"秒")))</f>
        <v>11秒</v>
      </c>
      <c r="T15" s="26">
        <f>IF(C15="","",D15/設定!$C$26-C15)</f>
        <v>112.125</v>
      </c>
      <c r="U15" s="26">
        <f>IF(C15="","",(D15-C15*設定!$C$26)/60*設定!$C$28)</f>
        <v>4484.999999999996</v>
      </c>
      <c r="V15" s="47" t="s">
        <v>50</v>
      </c>
      <c r="W15" s="23">
        <f>IFERROR(W13/W14,"")</f>
        <v>0.33826072522746486</v>
      </c>
      <c r="X15">
        <f t="shared" si="8"/>
        <v>100503.26765578635</v>
      </c>
      <c r="Y15">
        <f>IF(C15="","",ROUND(G15-設定!$C$26*60,0))</f>
        <v>11.0</v>
      </c>
    </row>
    <row r="16" spans="1:25" x14ac:dyDescent="0.15">
      <c r="A16" s="48">
        <f t="shared" si="0"/>
        <v>8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IF(K16="","",IF(AND(K16&lt;&gt;"",ISNUMBER(入力!$F$19),入力!$F$19&gt;0),$W$3+(設定!$D$14/(設定!$D$14+設定!$D$15/入力!$F$19))*(K16-$W$3),K16))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50" t="str">
        <f>IF(Y16="","",IF(Y16&lt;=0,"達成済み",IF(Y16&lt;60,Y16&amp;"秒",INT(Y16/60)&amp;"分"&amp;TEXT(MOD(Y16,60),"00")&amp;"秒")))</f>
        <v>5秒</v>
      </c>
      <c r="T16" s="26">
        <f>IF(C16="","",D16/設定!$C$26-C16)</f>
        <v>114.125</v>
      </c>
      <c r="U16" s="26">
        <f>IF(C16="","",(D16-C16*設定!$C$26)/60*設定!$C$28)</f>
        <v>4564.999999999997</v>
      </c>
      <c r="V16" s="47" t="s">
        <v>93</v>
      </c>
      <c r="W16" s="27">
        <f>IFERROR(W10/W11,"")</f>
        <v>2.3365955575104462</v>
      </c>
      <c r="X16">
        <f t="shared" si="8"/>
        <v>226146.18835330172</v>
      </c>
      <c r="Y16">
        <f>IF(C16="","",ROUND(G16-設定!$C$26*60,0))</f>
        <v>5.0</v>
      </c>
    </row>
    <row r="17" spans="1:25" x14ac:dyDescent="0.15">
      <c r="A17" s="48">
        <f t="shared" si="0"/>
        <v>7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IF(K17="","",IF(AND(K17&lt;&gt;"",ISNUMBER(入力!$F$20),入力!$F$20&gt;0),$W$3+(設定!$D$14/(設定!$D$14+設定!$D$15/入力!$F$20))*(K17-$W$3),K17))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50" t="str">
        <f>IF(Y17="","",IF(Y17&lt;=0,"達成済み",IF(Y17&lt;60,Y17&amp;"秒",INT(Y17/60)&amp;"分"&amp;TEXT(MOD(Y17,60),"00")&amp;"秒")))</f>
        <v>達成済み</v>
      </c>
      <c r="T17" s="26">
        <f>IF(C17="","",D17/設定!$C$26-C17)</f>
        <v>-4.75</v>
      </c>
      <c r="U17" s="26">
        <f>IF(C17="","",(D17-C17*設定!$C$26)/60*設定!$C$28)</f>
        <v>-190.00000000000344</v>
      </c>
      <c r="V17" s="47" t="s">
        <v>100</v>
      </c>
      <c r="W17" s="22">
        <f>IFERROR(W12*60/W10,"")</f>
        <v>115.15741917266695</v>
      </c>
      <c r="X17">
        <f t="shared" si="8"/>
        <v>72458.211182994448</v>
      </c>
      <c r="Y17">
        <f>IF(C17="","",ROUND(G17-設定!$C$26*60,0))</f>
        <v>-1.0</v>
      </c>
    </row>
    <row r="18" spans="1:25" x14ac:dyDescent="0.15">
      <c r="A18" s="48">
        <f t="shared" si="0"/>
        <v>18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IF(K18="","",IF(AND(K18&lt;&gt;"",ISNUMBER(入力!$F$21),入力!$F$21&gt;0),$W$3+(設定!$D$14/(設定!$D$14+設定!$D$15/入力!$F$21))*(K18-$W$3),K18))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S18" s="50" t="str">
        <f>IF(Y18="","",IF(Y18&lt;=0,"達成済み",IF(Y18&lt;60,Y18&amp;"秒",INT(Y18/60)&amp;"分"&amp;TEXT(MOD(Y18,60),"00")&amp;"秒")))</f>
        <v>32秒</v>
      </c>
      <c r="T18" s="26">
        <f>IF(C18="","",D18/設定!$C$26-C18)</f>
        <v>157.625</v>
      </c>
      <c r="U18" s="26">
        <f>IF(C18="","",(D18-C18*設定!$C$26)/60*設定!$C$28)</f>
        <v>6304.999999999998</v>
      </c>
      <c r="V18" s="47" t="inlineStr">
        <is>
          <t>1件あたり 目標まで(秒)</t>
        </is>
      </c>
      <c r="W18" s="22">
        <f>IFERROR(W17-設定!$C$26*60,"")</f>
        <v>19.157419172667005</v>
      </c>
      <c r="X18">
        <f t="shared" si="8"/>
        <v>47735.766233766226</v>
      </c>
      <c r="Y18">
        <f>IF(C18="","",ROUND(G18-設定!$C$26*60,0))</f>
        <v>32.0</v>
      </c>
    </row>
    <row r="19" spans="1:25" x14ac:dyDescent="0.15">
      <c r="A19" s="48">
        <f t="shared" si="0"/>
        <v>14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IF(K19="","",IF(AND(K19&lt;&gt;"",ISNUMBER(入力!$F$22),入力!$F$22&gt;0),$W$3+(設定!$D$14/(設定!$D$14+設定!$D$15/入力!$F$22))*(K19-$W$3),K19))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S19" s="50" t="str">
        <f>IF(Y19="","",IF(Y19&lt;=0,"達成済み",IF(Y19&lt;60,Y19&amp;"秒",INT(Y19/60)&amp;"分"&amp;TEXT(MOD(Y19,60),"00")&amp;"秒")))</f>
        <v>22秒</v>
      </c>
      <c r="T19" s="26">
        <f>IF(C19="","",D19/設定!$C$26-C19)</f>
        <v>266.375</v>
      </c>
      <c r="U19" s="26">
        <f>IF(C19="","",(D19-C19*設定!$C$26)/60*設定!$C$28)</f>
        <v>10654.999999999995</v>
      </c>
      <c r="V19" s="47" t="inlineStr">
        <is>
          <t>目標到達で増やせる件数</t>
        </is>
      </c>
      <c r="W19" s="26">
        <f>IFERROR(W12/設定!$C$26-W10,"")</f>
        <v>4240.375</v>
      </c>
      <c r="X19">
        <f t="shared" si="8"/>
        <v>116258.5596452328</v>
      </c>
      <c r="Y19">
        <f>IF(C19="","",ROUND(G19-設定!$C$26*60,0))</f>
        <v>22.0</v>
      </c>
    </row>
    <row r="20" spans="1:25" x14ac:dyDescent="0.15">
      <c r="A20" s="48">
        <f t="shared" si="0"/>
        <v>10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IF(K20="","",IF(AND(K20&lt;&gt;"",ISNUMBER(入力!$F$23),入力!$F$23&gt;0),$W$3+(設定!$D$14/(設定!$D$14+設定!$D$15/入力!$F$23))*(K20-$W$3),K20))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S20" s="50" t="str">
        <f>IF(Y20="","",IF(Y20&lt;=0,"達成済み",IF(Y20&lt;60,Y20&amp;"秒",INT(Y20/60)&amp;"分"&amp;TEXT(MOD(Y20,60),"00")&amp;"秒")))</f>
        <v>10秒</v>
      </c>
      <c r="T20" s="26">
        <f>IF(C20="","",D20/設定!$C$26-C20)</f>
        <v>85.25</v>
      </c>
      <c r="U20" s="26">
        <f>IF(C20="","",(D20-C20*設定!$C$26)/60*設定!$C$28)</f>
        <v>3409.999999999997</v>
      </c>
      <c r="V20" s="47" t="inlineStr">
        <is>
          <t>目標到達で減らせる人件費(円)</t>
        </is>
      </c>
      <c r="W20" s="26">
        <f>IFERROR((W12-W10*設定!$C$26)/60*設定!$C$28,"")</f>
        <v>169614.99999999997</v>
      </c>
      <c r="X20">
        <f t="shared" si="8"/>
        <v>85101.35436241611</v>
      </c>
      <c r="Y20">
        <f>IF(C20="","",ROUND(G20-設定!$C$26*60,0))</f>
        <v>10.0</v>
      </c>
    </row>
    <row r="21" spans="1:25" x14ac:dyDescent="0.15">
      <c r="A21" s="48">
        <f t="shared" si="0"/>
        <v>16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IF(K21="","",IF(AND(K21&lt;&gt;"",ISNUMBER(入力!$F$24),入力!$F$24&gt;0),$W$3+(設定!$D$14/(設定!$D$14+設定!$D$15/入力!$F$24))*(K21-$W$3),K21))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S21" s="50" t="str">
        <f>IF(Y21="","",IF(Y21&lt;=0,"達成済み",IF(Y21&lt;60,Y21&amp;"秒",INT(Y21/60)&amp;"分"&amp;TEXT(MOD(Y21,60),"00")&amp;"秒")))</f>
        <v>28秒</v>
      </c>
      <c r="T21" s="26">
        <f>IF(C21="","",D21/設定!$C$26-C21)</f>
        <v>63.25</v>
      </c>
      <c r="U21" s="26">
        <f>IF(C21="","",(D21-C21*設定!$C$26)/60*設定!$C$28)</f>
        <v>2530.0</v>
      </c>
      <c r="X21">
        <f t="shared" si="8"/>
        <v>21412.202222222222</v>
      </c>
      <c r="Y21">
        <f>IF(C21="","",ROUND(G21-設定!$C$26*60,0))</f>
        <v>28.0</v>
      </c>
    </row>
    <row r="22" spans="1:25" x14ac:dyDescent="0.15">
      <c r="A22" s="48">
        <f t="shared" si="0"/>
        <v>13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IF(K22="","",IF(AND(K22&lt;&gt;"",ISNUMBER(入力!$F$25),入力!$F$25&gt;0),$W$3+(設定!$D$14/(設定!$D$14+設定!$D$15/入力!$F$25))*(K22-$W$3),K22))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S22" s="50" t="str">
        <f>IF(Y22="","",IF(Y22&lt;=0,"達成済み",IF(Y22&lt;60,Y22&amp;"秒",INT(Y22/60)&amp;"分"&amp;TEXT(MOD(Y22,60),"00")&amp;"秒")))</f>
        <v>22秒</v>
      </c>
      <c r="T22" s="26">
        <f>IF(C22="","",D22/設定!$C$26-C22)</f>
        <v>65.0</v>
      </c>
      <c r="U22" s="26">
        <f>IF(C22="","",(D22-C22*設定!$C$26)/60*設定!$C$28)</f>
        <v>2600.0</v>
      </c>
      <c r="X22">
        <f t="shared" si="8"/>
        <v>27472.717391304352</v>
      </c>
      <c r="Y22">
        <f>IF(C22="","",ROUND(G22-設定!$C$26*60,0))</f>
        <v>22.0</v>
      </c>
    </row>
    <row r="23" spans="1:25" x14ac:dyDescent="0.15">
      <c r="A23" s="48">
        <f t="shared" si="0"/>
        <v>15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IF(K23="","",IF(AND(K23&lt;&gt;"",ISNUMBER(入力!$F$26),入力!$F$26&gt;0),$W$3+(設定!$D$14/(設定!$D$14+設定!$D$15/入力!$F$26))*(K23-$W$3),K23))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S23" s="50" t="str">
        <f>IF(Y23="","",IF(Y23&lt;=0,"達成済み",IF(Y23&lt;60,Y23&amp;"秒",INT(Y23/60)&amp;"分"&amp;TEXT(MOD(Y23,60),"00")&amp;"秒")))</f>
        <v>25秒</v>
      </c>
      <c r="T23" s="26">
        <f>IF(C23="","",D23/設定!$C$26-C23)</f>
        <v>181.5</v>
      </c>
      <c r="U23" s="26">
        <f>IF(C23="","",(D23-C23*設定!$C$26)/60*設定!$C$28)</f>
        <v>7259.999999999997</v>
      </c>
      <c r="X23">
        <f t="shared" si="8"/>
        <v>68853.744627507156</v>
      </c>
      <c r="Y23">
        <f>IF(C23="","",ROUND(G23-設定!$C$26*60,0))</f>
        <v>25.0</v>
      </c>
    </row>
    <row r="24" spans="1:25" x14ac:dyDescent="0.15">
      <c r="A24" s="48">
        <f t="shared" si="0"/>
        <v>21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IF(K24="","",IF(AND(K24&lt;&gt;"",ISNUMBER(入力!$F$27),入力!$F$27&gt;0),$W$3+(設定!$D$14/(設定!$D$14+設定!$D$15/入力!$F$27))*(K24-$W$3),K24))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S24" s="50" t="str">
        <f>IF(Y24="","",IF(Y24&lt;=0,"達成済み",IF(Y24&lt;60,Y24&amp;"秒",INT(Y24/60)&amp;"分"&amp;TEXT(MOD(Y24,60),"00")&amp;"秒")))</f>
        <v>37秒</v>
      </c>
      <c r="T24" s="26">
        <f>IF(C24="","",D24/設定!$C$26-C24)</f>
        <v>162.125</v>
      </c>
      <c r="U24" s="26">
        <f>IF(C24="","",(D24-C24*設定!$C$26)/60*設定!$C$28)</f>
        <v>6485.0</v>
      </c>
      <c r="X24">
        <f t="shared" si="8"/>
        <v>38001.03783783783</v>
      </c>
      <c r="Y24">
        <f>IF(C24="","",ROUND(G24-設定!$C$26*60,0))</f>
        <v>37.0</v>
      </c>
    </row>
    <row r="25" spans="1:25" x14ac:dyDescent="0.15">
      <c r="A25" s="48">
        <f t="shared" si="0"/>
        <v>20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IF(K25="","",IF(AND(K25&lt;&gt;"",ISNUMBER(入力!$F$28),入力!$F$28&gt;0),$W$3+(設定!$D$14/(設定!$D$14+設定!$D$15/入力!$F$28))*(K25-$W$3),K25))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S25" s="50" t="str">
        <f>IF(Y25="","",IF(Y25&lt;=0,"達成済み",IF(Y25&lt;60,Y25&amp;"秒",INT(Y25/60)&amp;"分"&amp;TEXT(MOD(Y25,60),"00")&amp;"秒")))</f>
        <v>35秒</v>
      </c>
      <c r="T25" s="26">
        <f>IF(C25="","",D25/設定!$C$26-C25)</f>
        <v>84.625</v>
      </c>
      <c r="U25" s="26">
        <f>IF(C25="","",(D25-C25*設定!$C$26)/60*設定!$C$28)</f>
        <v>3384.9999999999995</v>
      </c>
      <c r="X25">
        <f t="shared" si="8"/>
        <v>22301.334653465346</v>
      </c>
      <c r="Y25">
        <f>IF(C25="","",ROUND(G25-設定!$C$26*60,0))</f>
        <v>35.0</v>
      </c>
    </row>
    <row r="26" spans="1:25" x14ac:dyDescent="0.15">
      <c r="A26" s="48">
        <f t="shared" si="0"/>
        <v>19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IF(K26="","",IF(AND(K26&lt;&gt;"",ISNUMBER(入力!$F$29),入力!$F$29&gt;0),$W$3+(設定!$D$14/(設定!$D$14+設定!$D$15/入力!$F$29))*(K26-$W$3),K26))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S26" s="50" t="str">
        <f>IF(Y26="","",IF(Y26&lt;=0,"達成済み",IF(Y26&lt;60,Y26&amp;"秒",INT(Y26/60)&amp;"分"&amp;TEXT(MOD(Y26,60),"00")&amp;"秒")))</f>
        <v>34秒</v>
      </c>
      <c r="T26" s="26">
        <f>IF(C26="","",D26/設定!$C$26-C26)</f>
        <v>306.5</v>
      </c>
      <c r="U26" s="26">
        <f>IF(C26="","",(D26-C26*設定!$C$26)/60*設定!$C$28)</f>
        <v>12259.999999999995</v>
      </c>
      <c r="X26">
        <f t="shared" si="8"/>
        <v>77934.229744136479</v>
      </c>
      <c r="Y26">
        <f>IF(C26="","",ROUND(G26-設定!$C$26*60,0))</f>
        <v>34.0</v>
      </c>
    </row>
    <row r="27" spans="1:25" x14ac:dyDescent="0.15">
      <c r="A27" s="48">
        <f t="shared" si="0"/>
        <v>28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IF(K27="","",IF(AND(K27&lt;&gt;"",ISNUMBER(入力!$F$30),入力!$F$30&gt;0),$W$3+(設定!$D$14/(設定!$D$14+設定!$D$15/入力!$F$30))*(K27-$W$3),K27))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S27" s="50" t="str">
        <f>IF(Y27="","",IF(Y27&lt;=0,"達成済み",IF(Y27&lt;60,Y27&amp;"秒",INT(Y27/60)&amp;"分"&amp;TEXT(MOD(Y27,60),"00")&amp;"秒")))</f>
        <v>1分28秒</v>
      </c>
      <c r="T27" s="26">
        <f>IF(C27="","",D27/設定!$C$26-C27)</f>
        <v>60.25</v>
      </c>
      <c r="U27" s="26">
        <f>IF(C27="","",(D27-C27*設定!$C$26)/60*設定!$C$28)</f>
        <v>2409.9999999999995</v>
      </c>
      <c r="X27">
        <f t="shared" si="8"/>
        <v>5074.3217821782182</v>
      </c>
      <c r="Y27">
        <f>IF(C27="","",ROUND(G27-設定!$C$26*60,0))</f>
        <v>88.0</v>
      </c>
    </row>
    <row r="28" spans="1:25" x14ac:dyDescent="0.15">
      <c r="A28" s="48">
        <f t="shared" si="0"/>
        <v>24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IF(K28="","",IF(AND(K28&lt;&gt;"",ISNUMBER(入力!$F$31),入力!$F$31&gt;0),$W$3+(設定!$D$14/(設定!$D$14+設定!$D$15/入力!$F$31))*(K28-$W$3),K28))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S28" s="50" t="str">
        <f>IF(Y28="","",IF(Y28&lt;=0,"達成済み",IF(Y28&lt;60,Y28&amp;"秒",INT(Y28/60)&amp;"分"&amp;TEXT(MOD(Y28,60),"00")&amp;"秒")))</f>
        <v>45秒</v>
      </c>
      <c r="T28" s="26">
        <f>IF(C28="","",D28/設定!$C$26-C28)</f>
        <v>394.5</v>
      </c>
      <c r="U28" s="26">
        <f>IF(C28="","",(D28-C28*設定!$C$26)/60*設定!$C$28)</f>
        <v>15779.999999999996</v>
      </c>
      <c r="X28">
        <f t="shared" si="8"/>
        <v>73766.309837728186</v>
      </c>
      <c r="Y28">
        <f>IF(C28="","",ROUND(G28-設定!$C$26*60,0))</f>
        <v>45.0</v>
      </c>
    </row>
    <row r="29" spans="1:25" x14ac:dyDescent="0.15">
      <c r="A29" s="48">
        <f t="shared" si="0"/>
        <v>17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IF(K29="","",IF(AND(K29&lt;&gt;"",ISNUMBER(入力!$F$32),入力!$F$32&gt;0),$W$3+(設定!$D$14/(設定!$D$14+設定!$D$15/入力!$F$32))*(K29-$W$3),K29))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S29" s="50" t="str">
        <f>IF(Y29="","",IF(Y29&lt;=0,"達成済み",IF(Y29&lt;60,Y29&amp;"秒",INT(Y29/60)&amp;"分"&amp;TEXT(MOD(Y29,60),"00")&amp;"秒")))</f>
        <v>32秒</v>
      </c>
      <c r="T29" s="26">
        <f>IF(C29="","",D29/設定!$C$26-C29)</f>
        <v>112.5</v>
      </c>
      <c r="U29" s="26">
        <f>IF(C29="","",(D29-C29*設定!$C$26)/60*設定!$C$28)</f>
        <v>4500.0</v>
      </c>
      <c r="X29">
        <f t="shared" si="8"/>
        <v>27433.739525139663</v>
      </c>
      <c r="Y29">
        <f>IF(C29="","",ROUND(G29-設定!$C$26*60,0))</f>
        <v>32.0</v>
      </c>
    </row>
    <row r="30" spans="1:25" x14ac:dyDescent="0.15">
      <c r="A30" s="48">
        <f t="shared" si="0"/>
        <v>22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IF(K30="","",IF(AND(K30&lt;&gt;"",ISNUMBER(入力!$F$33),入力!$F$33&gt;0),$W$3+(設定!$D$14/(設定!$D$14+設定!$D$15/入力!$F$33))*(K30-$W$3),K30))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S30" s="50" t="str">
        <f>IF(Y30="","",IF(Y30&lt;=0,"達成済み",IF(Y30&lt;60,Y30&amp;"秒",INT(Y30/60)&amp;"分"&amp;TEXT(MOD(Y30,60),"00")&amp;"秒")))</f>
        <v>39秒</v>
      </c>
      <c r="T30" s="26">
        <f>IF(C30="","",D30/設定!$C$26-C30)</f>
        <v>171.75</v>
      </c>
      <c r="U30" s="26">
        <f>IF(C30="","",(D30-C30*設定!$C$26)/60*設定!$C$28)</f>
        <v>6869.999999999999</v>
      </c>
      <c r="X30">
        <f t="shared" si="8"/>
        <v>36234.030526315786</v>
      </c>
      <c r="Y30">
        <f>IF(C30="","",ROUND(G30-設定!$C$26*60,0))</f>
        <v>39.0</v>
      </c>
    </row>
    <row r="31" spans="1:25" x14ac:dyDescent="0.15">
      <c r="A31" s="48">
        <f t="shared" si="0"/>
        <v>23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IF(K31="","",IF(AND(K31&lt;&gt;"",ISNUMBER(入力!$F$34),入力!$F$34&gt;0),$W$3+(設定!$D$14/(設定!$D$14+設定!$D$15/入力!$F$34))*(K31-$W$3),K31))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S31" s="50" t="str">
        <f>IF(Y31="","",IF(Y31&lt;=0,"達成済み",IF(Y31&lt;60,Y31&amp;"秒",INT(Y31/60)&amp;"分"&amp;TEXT(MOD(Y31,60),"00")&amp;"秒")))</f>
        <v>42秒</v>
      </c>
      <c r="T31" s="26">
        <f>IF(C31="","",D31/設定!$C$26-C31)</f>
        <v>478.75</v>
      </c>
      <c r="U31" s="26">
        <f>IF(C31="","",(D31-C31*設定!$C$26)/60*設定!$C$28)</f>
        <v>19150.0</v>
      </c>
      <c r="X31">
        <f t="shared" si="8"/>
        <v>88171.880478087653</v>
      </c>
      <c r="Y31">
        <f>IF(C31="","",ROUND(G31-設定!$C$26*60,0))</f>
        <v>42.0</v>
      </c>
    </row>
    <row r="32" spans="1:25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IF(K32="","",IF(AND(K32&lt;&gt;"",ISNUMBER(入力!$F$35),入力!$F$35&gt;0),$W$3+(設定!$D$14/(設定!$D$14+設定!$D$15/入力!$F$35))*(K32-$W$3),K32))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S32" s="50" t="str">
        <f>IF(Y32="","",IF(Y32&lt;=0,"達成済み",IF(Y32&lt;60,Y32&amp;"秒",INT(Y32/60)&amp;"分"&amp;TEXT(MOD(Y32,60),"00")&amp;"秒")))</f>
        <v>50秒</v>
      </c>
      <c r="T32" s="26">
        <f>IF(C32="","",D32/設定!$C$26-C32)</f>
        <v>450.75</v>
      </c>
      <c r="U32" s="26">
        <f>IF(C32="","",(D32-C32*設定!$C$26)/60*設定!$C$28)</f>
        <v>18029.999999999996</v>
      </c>
      <c r="X32">
        <f t="shared" si="8"/>
        <v>68888.508595988547</v>
      </c>
      <c r="Y32">
        <f>IF(C32="","",ROUND(G32-設定!$C$26*60,0))</f>
        <v>50.0</v>
      </c>
    </row>
    <row r="33" spans="1:25" x14ac:dyDescent="0.15">
      <c r="A33" s="48">
        <f t="shared" si="0"/>
        <v>25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IF(K33="","",IF(AND(K33&lt;&gt;"",ISNUMBER(入力!$F$36),入力!$F$36&gt;0),$W$3+(設定!$D$14/(設定!$D$14+設定!$D$15/入力!$F$36))*(K33-$W$3),K33))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S33" s="50" t="str">
        <f>IF(Y33="","",IF(Y33&lt;=0,"達成済み",IF(Y33&lt;60,Y33&amp;"秒",INT(Y33/60)&amp;"分"&amp;TEXT(MOD(Y33,60),"00")&amp;"秒")))</f>
        <v>48秒</v>
      </c>
      <c r="T33" s="26">
        <f>IF(C33="","",D33/設定!$C$26-C33)</f>
        <v>553.625</v>
      </c>
      <c r="U33" s="26">
        <f>IF(C33="","",(D33-C33*設定!$C$26)/60*設定!$C$28)</f>
        <v>22144.999999999996</v>
      </c>
      <c r="X33">
        <f t="shared" si="8"/>
        <v>88246.275422138846</v>
      </c>
      <c r="Y33">
        <f>IF(C33="","",ROUND(G33-設定!$C$26*60,0))</f>
        <v>48.0</v>
      </c>
    </row>
    <row r="34" spans="1:25" x14ac:dyDescent="0.15">
      <c r="A34" s="48">
        <f t="shared" si="0"/>
        <v>29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IF(K34="","",IF(AND(K34&lt;&gt;"",ISNUMBER(入力!$F$37),入力!$F$37&gt;0),$W$3+(設定!$D$14/(設定!$D$14+設定!$D$15/入力!$F$37))*(K34-$W$3),K34))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S34" s="50" t="str">
        <f>IF(Y34="","",IF(Y34&lt;=0,"達成済み",IF(Y34&lt;60,Y34&amp;"秒",INT(Y34/60)&amp;"分"&amp;TEXT(MOD(Y34,60),"00")&amp;"秒")))</f>
        <v>1分43秒</v>
      </c>
      <c r="T34" s="26">
        <f>IF(C34="","",D34/設定!$C$26-C34)</f>
        <v>395.625</v>
      </c>
      <c r="U34" s="26">
        <f>IF(C34="","",(D34-C34*設定!$C$26)/60*設定!$C$28)</f>
        <v>15825.000000000002</v>
      </c>
      <c r="X34">
        <f t="shared" si="8"/>
        <v>20942.906122448978</v>
      </c>
      <c r="Y34">
        <f>IF(C34="","",ROUND(G34-設定!$C$26*60,0))</f>
        <v>103.0</v>
      </c>
    </row>
    <row r="35" spans="1:25" x14ac:dyDescent="0.15">
      <c r="A35" s="48">
        <f t="shared" si="0"/>
        <v>27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IF(K35="","",IF(AND(K35&lt;&gt;"",ISNUMBER(入力!$F$38),入力!$F$38&gt;0),$W$3+(設定!$D$14/(設定!$D$14+設定!$D$15/入力!$F$38))*(K35-$W$3),K35))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S35" s="50" t="str">
        <f>IF(Y35="","",IF(Y35&lt;=0,"達成済み",IF(Y35&lt;60,Y35&amp;"秒",INT(Y35/60)&amp;"分"&amp;TEXT(MOD(Y35,60),"00")&amp;"秒")))</f>
        <v>1分13秒</v>
      </c>
      <c r="T35" s="26">
        <f>IF(C35="","",D35/設定!$C$26-C35)</f>
        <v>206.5</v>
      </c>
      <c r="U35" s="26">
        <f>IF(C35="","",(D35-C35*設定!$C$26)/60*設定!$C$28)</f>
        <v>8259.999999999998</v>
      </c>
      <c r="X35">
        <f t="shared" si="8"/>
        <v>20224.793848167537</v>
      </c>
      <c r="Y35">
        <f>IF(C35="","",ROUND(G35-設定!$C$26*60,0))</f>
        <v>73.0</v>
      </c>
    </row>
    <row r="36" spans="1:25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IF(K36="","",IF(AND(K36&lt;&gt;"",ISNUMBER(入力!$F$39),入力!$F$39&gt;0),$W$3+(設定!$D$14/(設定!$D$14+設定!$D$15/入力!$F$39))*(K36-$W$3),K36))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S36" s="50" t="str">
        <f>IF(Y36="","",IF(Y36&lt;=0,"達成済み",IF(Y36&lt;60,Y36&amp;"秒",INT(Y36/60)&amp;"分"&amp;TEXT(MOD(Y36,60),"00")&amp;"秒")))</f>
        <v/>
      </c>
      <c r="T36" s="26" t="str">
        <f>IF(C36="","",D36/設定!$C$26-C36)</f>
        <v/>
      </c>
      <c r="U36" s="26" t="str">
        <f>IF(C36="","",(D36-C36*設定!$C$26)/60*設定!$C$28)</f>
        <v/>
      </c>
      <c r="X36">
        <f t="shared" si="8"/>
        <v>0</v>
      </c>
      <c r="Y36" t="str">
        <f>IF(C36="","",ROUND(G36-設定!$C$26*60,0))</f>
        <v/>
      </c>
    </row>
    <row r="37" spans="1:25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IF(K37="","",IF(AND(K37&lt;&gt;"",ISNUMBER(入力!$F$40),入力!$F$40&gt;0),$W$3+(設定!$D$14/(設定!$D$14+設定!$D$15/入力!$F$40))*(K37-$W$3),K37))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S37" s="50" t="str">
        <f>IF(Y37="","",IF(Y37&lt;=0,"達成済み",IF(Y37&lt;60,Y37&amp;"秒",INT(Y37/60)&amp;"分"&amp;TEXT(MOD(Y37,60),"00")&amp;"秒")))</f>
        <v/>
      </c>
      <c r="T37" s="26" t="str">
        <f>IF(C37="","",D37/設定!$C$26-C37)</f>
        <v/>
      </c>
      <c r="U37" s="26" t="str">
        <f>IF(C37="","",(D37-C37*設定!$C$26)/60*設定!$C$28)</f>
        <v/>
      </c>
      <c r="X37">
        <f t="shared" si="8"/>
        <v>0</v>
      </c>
      <c r="Y37" t="str">
        <f>IF(C37="","",ROUND(G37-設定!$C$26*60,0))</f>
        <v/>
      </c>
    </row>
    <row r="38" spans="1:25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IF(K38="","",IF(AND(K38&lt;&gt;"",ISNUMBER(入力!$F$41),入力!$F$41&gt;0),$W$3+(設定!$D$14/(設定!$D$14+設定!$D$15/入力!$F$41))*(K38-$W$3),K38))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S38" s="50" t="str">
        <f>IF(Y38="","",IF(Y38&lt;=0,"達成済み",IF(Y38&lt;60,Y38&amp;"秒",INT(Y38/60)&amp;"分"&amp;TEXT(MOD(Y38,60),"00")&amp;"秒")))</f>
        <v/>
      </c>
      <c r="T38" s="26" t="str">
        <f>IF(C38="","",D38/設定!$C$26-C38)</f>
        <v/>
      </c>
      <c r="U38" s="26" t="str">
        <f>IF(C38="","",(D38-C38*設定!$C$26)/60*設定!$C$28)</f>
        <v/>
      </c>
      <c r="X38">
        <f t="shared" si="8"/>
        <v>0</v>
      </c>
      <c r="Y38" t="str">
        <f>IF(C38="","",ROUND(G38-設定!$C$26*60,0))</f>
        <v/>
      </c>
    </row>
    <row r="39" spans="1:25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IF(K39="","",IF(AND(K39&lt;&gt;"",ISNUMBER(入力!$F$42),入力!$F$42&gt;0),$W$3+(設定!$D$14/(設定!$D$14+設定!$D$15/入力!$F$42))*(K39-$W$3),K39))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S39" s="50" t="str">
        <f>IF(Y39="","",IF(Y39&lt;=0,"達成済み",IF(Y39&lt;60,Y39&amp;"秒",INT(Y39/60)&amp;"分"&amp;TEXT(MOD(Y39,60),"00")&amp;"秒")))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X39">
        <f t="shared" ref="X39:X66" si="17">IF(K39="",0,K39*C39)</f>
        <v>0</v>
      </c>
      <c r="Y39" t="str">
        <f>IF(C39="","",ROUND(G39-設定!$C$26*60,0))</f>
        <v/>
      </c>
    </row>
    <row r="40" spans="1:25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IF(K40="","",IF(AND(K40&lt;&gt;"",ISNUMBER(入力!$F$43),入力!$F$43&gt;0),$W$3+(設定!$D$14/(設定!$D$14+設定!$D$15/入力!$F$43))*(K40-$W$3),K40))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S40" s="50" t="str">
        <f>IF(Y40="","",IF(Y40&lt;=0,"達成済み",IF(Y40&lt;60,Y40&amp;"秒",INT(Y40/60)&amp;"分"&amp;TEXT(MOD(Y40,60),"00")&amp;"秒")))</f>
        <v/>
      </c>
      <c r="T40" s="26" t="str">
        <f>IF(C40="","",D40/設定!$C$26-C40)</f>
        <v/>
      </c>
      <c r="U40" s="26" t="str">
        <f>IF(C40="","",(D40-C40*設定!$C$26)/60*設定!$C$28)</f>
        <v/>
      </c>
      <c r="X40">
        <f t="shared" si="17"/>
        <v>0</v>
      </c>
      <c r="Y40" t="str">
        <f>IF(C40="","",ROUND(G40-設定!$C$26*60,0))</f>
        <v/>
      </c>
    </row>
    <row r="41" spans="1:25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IF(K41="","",IF(AND(K41&lt;&gt;"",ISNUMBER(入力!$F$44),入力!$F$44&gt;0),$W$3+(設定!$D$14/(設定!$D$14+設定!$D$15/入力!$F$44))*(K41-$W$3),K41))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S41" s="50" t="str">
        <f>IF(Y41="","",IF(Y41&lt;=0,"達成済み",IF(Y41&lt;60,Y41&amp;"秒",INT(Y41/60)&amp;"分"&amp;TEXT(MOD(Y41,60),"00")&amp;"秒")))</f>
        <v/>
      </c>
      <c r="T41" s="26" t="str">
        <f>IF(C41="","",D41/設定!$C$26-C41)</f>
        <v/>
      </c>
      <c r="U41" s="26" t="str">
        <f>IF(C41="","",(D41-C41*設定!$C$26)/60*設定!$C$28)</f>
        <v/>
      </c>
      <c r="X41">
        <f t="shared" si="17"/>
        <v>0</v>
      </c>
      <c r="Y41" t="str">
        <f>IF(C41="","",ROUND(G41-設定!$C$26*60,0))</f>
        <v/>
      </c>
    </row>
    <row r="42" spans="1:25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IF(K42="","",IF(AND(K42&lt;&gt;"",ISNUMBER(入力!$F$45),入力!$F$45&gt;0),$W$3+(設定!$D$14/(設定!$D$14+設定!$D$15/入力!$F$45))*(K42-$W$3),K42))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S42" s="50" t="str">
        <f>IF(Y42="","",IF(Y42&lt;=0,"達成済み",IF(Y42&lt;60,Y42&amp;"秒",INT(Y42/60)&amp;"分"&amp;TEXT(MOD(Y42,60),"00")&amp;"秒")))</f>
        <v/>
      </c>
      <c r="T42" s="26" t="str">
        <f>IF(C42="","",D42/設定!$C$26-C42)</f>
        <v/>
      </c>
      <c r="U42" s="26" t="str">
        <f>IF(C42="","",(D42-C42*設定!$C$26)/60*設定!$C$28)</f>
        <v/>
      </c>
      <c r="X42">
        <f t="shared" si="17"/>
        <v>0</v>
      </c>
      <c r="Y42" t="str">
        <f>IF(C42="","",ROUND(G42-設定!$C$26*60,0))</f>
        <v/>
      </c>
    </row>
    <row r="43" spans="1:25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IF(K43="","",IF(AND(K43&lt;&gt;"",ISNUMBER(入力!$F$46),入力!$F$46&gt;0),$W$3+(設定!$D$14/(設定!$D$14+設定!$D$15/入力!$F$46))*(K43-$W$3),K43))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S43" s="50" t="str">
        <f>IF(Y43="","",IF(Y43&lt;=0,"達成済み",IF(Y43&lt;60,Y43&amp;"秒",INT(Y43/60)&amp;"分"&amp;TEXT(MOD(Y43,60),"00")&amp;"秒")))</f>
        <v/>
      </c>
      <c r="T43" s="26" t="str">
        <f>IF(C43="","",D43/設定!$C$26-C43)</f>
        <v/>
      </c>
      <c r="U43" s="26" t="str">
        <f>IF(C43="","",(D43-C43*設定!$C$26)/60*設定!$C$28)</f>
        <v/>
      </c>
      <c r="X43">
        <f t="shared" si="17"/>
        <v>0</v>
      </c>
      <c r="Y43" t="str">
        <f>IF(C43="","",ROUND(G43-設定!$C$26*60,0))</f>
        <v/>
      </c>
    </row>
    <row r="44" spans="1:25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IF(K44="","",IF(AND(K44&lt;&gt;"",ISNUMBER(入力!$F$47),入力!$F$47&gt;0),$W$3+(設定!$D$14/(設定!$D$14+設定!$D$15/入力!$F$47))*(K44-$W$3),K44))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S44" s="50" t="str">
        <f>IF(Y44="","",IF(Y44&lt;=0,"達成済み",IF(Y44&lt;60,Y44&amp;"秒",INT(Y44/60)&amp;"分"&amp;TEXT(MOD(Y44,60),"00")&amp;"秒")))</f>
        <v/>
      </c>
      <c r="T44" s="26" t="str">
        <f>IF(C44="","",D44/設定!$C$26-C44)</f>
        <v/>
      </c>
      <c r="U44" s="26" t="str">
        <f>IF(C44="","",(D44-C44*設定!$C$26)/60*設定!$C$28)</f>
        <v/>
      </c>
      <c r="X44">
        <f t="shared" si="17"/>
        <v>0</v>
      </c>
      <c r="Y44" t="str">
        <f>IF(C44="","",ROUND(G44-設定!$C$26*60,0))</f>
        <v/>
      </c>
    </row>
    <row r="45" spans="1:25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IF(K45="","",IF(AND(K45&lt;&gt;"",ISNUMBER(入力!$F$48),入力!$F$48&gt;0),$W$3+(設定!$D$14/(設定!$D$14+設定!$D$15/入力!$F$48))*(K45-$W$3),K45))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S45" s="50" t="str">
        <f>IF(Y45="","",IF(Y45&lt;=0,"達成済み",IF(Y45&lt;60,Y45&amp;"秒",INT(Y45/60)&amp;"分"&amp;TEXT(MOD(Y45,60),"00")&amp;"秒")))</f>
        <v/>
      </c>
      <c r="T45" s="26" t="str">
        <f>IF(C45="","",D45/設定!$C$26-C45)</f>
        <v/>
      </c>
      <c r="U45" s="26" t="str">
        <f>IF(C45="","",(D45-C45*設定!$C$26)/60*設定!$C$28)</f>
        <v/>
      </c>
      <c r="X45">
        <f t="shared" si="17"/>
        <v>0</v>
      </c>
      <c r="Y45" t="str">
        <f>IF(C45="","",ROUND(G45-設定!$C$26*60,0))</f>
        <v/>
      </c>
    </row>
    <row r="46" spans="1:25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IF(K46="","",IF(AND(K46&lt;&gt;"",ISNUMBER(入力!$F$49),入力!$F$49&gt;0),$W$3+(設定!$D$14/(設定!$D$14+設定!$D$15/入力!$F$49))*(K46-$W$3),K46))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S46" s="50" t="str">
        <f>IF(Y46="","",IF(Y46&lt;=0,"達成済み",IF(Y46&lt;60,Y46&amp;"秒",INT(Y46/60)&amp;"分"&amp;TEXT(MOD(Y46,60),"00")&amp;"秒")))</f>
        <v/>
      </c>
      <c r="T46" s="26" t="str">
        <f>IF(C46="","",D46/設定!$C$26-C46)</f>
        <v/>
      </c>
      <c r="U46" s="26" t="str">
        <f>IF(C46="","",(D46-C46*設定!$C$26)/60*設定!$C$28)</f>
        <v/>
      </c>
      <c r="X46">
        <f t="shared" si="17"/>
        <v>0</v>
      </c>
      <c r="Y46" t="str">
        <f>IF(C46="","",ROUND(G46-設定!$C$26*60,0))</f>
        <v/>
      </c>
    </row>
    <row r="47" spans="1:25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IF(K47="","",IF(AND(K47&lt;&gt;"",ISNUMBER(入力!$F$50),入力!$F$50&gt;0),$W$3+(設定!$D$14/(設定!$D$14+設定!$D$15/入力!$F$50))*(K47-$W$3),K47))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S47" s="50" t="str">
        <f>IF(Y47="","",IF(Y47&lt;=0,"達成済み",IF(Y47&lt;60,Y47&amp;"秒",INT(Y47/60)&amp;"分"&amp;TEXT(MOD(Y47,60),"00")&amp;"秒")))</f>
        <v/>
      </c>
      <c r="T47" s="26" t="str">
        <f>IF(C47="","",D47/設定!$C$26-C47)</f>
        <v/>
      </c>
      <c r="U47" s="26" t="str">
        <f>IF(C47="","",(D47-C47*設定!$C$26)/60*設定!$C$28)</f>
        <v/>
      </c>
      <c r="X47">
        <f t="shared" si="17"/>
        <v>0</v>
      </c>
      <c r="Y47" t="str">
        <f>IF(C47="","",ROUND(G47-設定!$C$26*60,0))</f>
        <v/>
      </c>
    </row>
    <row r="48" spans="1:25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IF(K48="","",IF(AND(K48&lt;&gt;"",ISNUMBER(入力!$F$51),入力!$F$51&gt;0),$W$3+(設定!$D$14/(設定!$D$14+設定!$D$15/入力!$F$51))*(K48-$W$3),K48))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S48" s="50" t="str">
        <f>IF(Y48="","",IF(Y48&lt;=0,"達成済み",IF(Y48&lt;60,Y48&amp;"秒",INT(Y48/60)&amp;"分"&amp;TEXT(MOD(Y48,60),"00")&amp;"秒")))</f>
        <v/>
      </c>
      <c r="T48" s="26" t="str">
        <f>IF(C48="","",D48/設定!$C$26-C48)</f>
        <v/>
      </c>
      <c r="U48" s="26" t="str">
        <f>IF(C48="","",(D48-C48*設定!$C$26)/60*設定!$C$28)</f>
        <v/>
      </c>
      <c r="X48">
        <f t="shared" si="17"/>
        <v>0</v>
      </c>
      <c r="Y48" t="str">
        <f>IF(C48="","",ROUND(G48-設定!$C$26*60,0))</f>
        <v/>
      </c>
    </row>
    <row r="49" spans="1:25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IF(K49="","",IF(AND(K49&lt;&gt;"",ISNUMBER(入力!$F$52),入力!$F$52&gt;0),$W$3+(設定!$D$14/(設定!$D$14+設定!$D$15/入力!$F$52))*(K49-$W$3),K49))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S49" s="50" t="str">
        <f>IF(Y49="","",IF(Y49&lt;=0,"達成済み",IF(Y49&lt;60,Y49&amp;"秒",INT(Y49/60)&amp;"分"&amp;TEXT(MOD(Y49,60),"00")&amp;"秒")))</f>
        <v/>
      </c>
      <c r="T49" s="26" t="str">
        <f>IF(C49="","",D49/設定!$C$26-C49)</f>
        <v/>
      </c>
      <c r="U49" s="26" t="str">
        <f>IF(C49="","",(D49-C49*設定!$C$26)/60*設定!$C$28)</f>
        <v/>
      </c>
      <c r="X49">
        <f t="shared" si="17"/>
        <v>0</v>
      </c>
      <c r="Y49" t="str">
        <f>IF(C49="","",ROUND(G49-設定!$C$26*60,0))</f>
        <v/>
      </c>
    </row>
    <row r="50" spans="1:25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IF(K50="","",IF(AND(K50&lt;&gt;"",ISNUMBER(入力!$F$53),入力!$F$53&gt;0),$W$3+(設定!$D$14/(設定!$D$14+設定!$D$15/入力!$F$53))*(K50-$W$3),K50))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S50" s="50" t="str">
        <f>IF(Y50="","",IF(Y50&lt;=0,"達成済み",IF(Y50&lt;60,Y50&amp;"秒",INT(Y50/60)&amp;"分"&amp;TEXT(MOD(Y50,60),"00")&amp;"秒")))</f>
        <v/>
      </c>
      <c r="T50" s="26" t="str">
        <f>IF(C50="","",D50/設定!$C$26-C50)</f>
        <v/>
      </c>
      <c r="U50" s="26" t="str">
        <f>IF(C50="","",(D50-C50*設定!$C$26)/60*設定!$C$28)</f>
        <v/>
      </c>
      <c r="X50">
        <f t="shared" si="17"/>
        <v>0</v>
      </c>
      <c r="Y50" t="str">
        <f>IF(C50="","",ROUND(G50-設定!$C$26*60,0))</f>
        <v/>
      </c>
    </row>
    <row r="51" spans="1:25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IF(K51="","",IF(AND(K51&lt;&gt;"",ISNUMBER(入力!$F$54),入力!$F$54&gt;0),$W$3+(設定!$D$14/(設定!$D$14+設定!$D$15/入力!$F$54))*(K51-$W$3),K51))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S51" s="50" t="str">
        <f>IF(Y51="","",IF(Y51&lt;=0,"達成済み",IF(Y51&lt;60,Y51&amp;"秒",INT(Y51/60)&amp;"分"&amp;TEXT(MOD(Y51,60),"00")&amp;"秒")))</f>
        <v/>
      </c>
      <c r="T51" s="26" t="str">
        <f>IF(C51="","",D51/設定!$C$26-C51)</f>
        <v/>
      </c>
      <c r="U51" s="26" t="str">
        <f>IF(C51="","",(D51-C51*設定!$C$26)/60*設定!$C$28)</f>
        <v/>
      </c>
      <c r="X51">
        <f t="shared" si="17"/>
        <v>0</v>
      </c>
      <c r="Y51" t="str">
        <f>IF(C51="","",ROUND(G51-設定!$C$26*60,0))</f>
        <v/>
      </c>
    </row>
    <row r="52" spans="1:25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IF(K52="","",IF(AND(K52&lt;&gt;"",ISNUMBER(入力!$F$55),入力!$F$55&gt;0),$W$3+(設定!$D$14/(設定!$D$14+設定!$D$15/入力!$F$55))*(K52-$W$3),K52))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S52" s="50" t="str">
        <f>IF(Y52="","",IF(Y52&lt;=0,"達成済み",IF(Y52&lt;60,Y52&amp;"秒",INT(Y52/60)&amp;"分"&amp;TEXT(MOD(Y52,60),"00")&amp;"秒")))</f>
        <v/>
      </c>
      <c r="T52" s="26" t="str">
        <f>IF(C52="","",D52/設定!$C$26-C52)</f>
        <v/>
      </c>
      <c r="U52" s="26" t="str">
        <f>IF(C52="","",(D52-C52*設定!$C$26)/60*設定!$C$28)</f>
        <v/>
      </c>
      <c r="X52">
        <f t="shared" si="17"/>
        <v>0</v>
      </c>
      <c r="Y52" t="str">
        <f>IF(C52="","",ROUND(G52-設定!$C$26*60,0))</f>
        <v/>
      </c>
    </row>
    <row r="53" spans="1:25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IF(K53="","",IF(AND(K53&lt;&gt;"",ISNUMBER(入力!$F$56),入力!$F$56&gt;0),$W$3+(設定!$D$14/(設定!$D$14+設定!$D$15/入力!$F$56))*(K53-$W$3),K53))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S53" s="50" t="str">
        <f>IF(Y53="","",IF(Y53&lt;=0,"達成済み",IF(Y53&lt;60,Y53&amp;"秒",INT(Y53/60)&amp;"分"&amp;TEXT(MOD(Y53,60),"00")&amp;"秒")))</f>
        <v/>
      </c>
      <c r="T53" s="26" t="str">
        <f>IF(C53="","",D53/設定!$C$26-C53)</f>
        <v/>
      </c>
      <c r="U53" s="26" t="str">
        <f>IF(C53="","",(D53-C53*設定!$C$26)/60*設定!$C$28)</f>
        <v/>
      </c>
      <c r="X53">
        <f t="shared" si="17"/>
        <v>0</v>
      </c>
      <c r="Y53" t="str">
        <f>IF(C53="","",ROUND(G53-設定!$C$26*60,0))</f>
        <v/>
      </c>
    </row>
    <row r="54" spans="1:25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IF(K54="","",IF(AND(K54&lt;&gt;"",ISNUMBER(入力!$F$57),入力!$F$57&gt;0),$W$3+(設定!$D$14/(設定!$D$14+設定!$D$15/入力!$F$57))*(K54-$W$3),K54))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S54" s="50" t="str">
        <f>IF(Y54="","",IF(Y54&lt;=0,"達成済み",IF(Y54&lt;60,Y54&amp;"秒",INT(Y54/60)&amp;"分"&amp;TEXT(MOD(Y54,60),"00")&amp;"秒")))</f>
        <v/>
      </c>
      <c r="T54" s="26" t="str">
        <f>IF(C54="","",D54/設定!$C$26-C54)</f>
        <v/>
      </c>
      <c r="U54" s="26" t="str">
        <f>IF(C54="","",(D54-C54*設定!$C$26)/60*設定!$C$28)</f>
        <v/>
      </c>
      <c r="X54">
        <f t="shared" si="17"/>
        <v>0</v>
      </c>
      <c r="Y54" t="str">
        <f>IF(C54="","",ROUND(G54-設定!$C$26*60,0))</f>
        <v/>
      </c>
    </row>
    <row r="55" spans="1:25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IF(K55="","",IF(AND(K55&lt;&gt;"",ISNUMBER(入力!$F$58),入力!$F$58&gt;0),$W$3+(設定!$D$14/(設定!$D$14+設定!$D$15/入力!$F$58))*(K55-$W$3),K55))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S55" s="50" t="str">
        <f>IF(Y55="","",IF(Y55&lt;=0,"達成済み",IF(Y55&lt;60,Y55&amp;"秒",INT(Y55/60)&amp;"分"&amp;TEXT(MOD(Y55,60),"00")&amp;"秒")))</f>
        <v/>
      </c>
      <c r="T55" s="26" t="str">
        <f>IF(C55="","",D55/設定!$C$26-C55)</f>
        <v/>
      </c>
      <c r="U55" s="26" t="str">
        <f>IF(C55="","",(D55-C55*設定!$C$26)/60*設定!$C$28)</f>
        <v/>
      </c>
      <c r="X55">
        <f t="shared" si="17"/>
        <v>0</v>
      </c>
      <c r="Y55" t="str">
        <f>IF(C55="","",ROUND(G55-設定!$C$26*60,0))</f>
        <v/>
      </c>
    </row>
    <row r="56" spans="1:25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IF(K56="","",IF(AND(K56&lt;&gt;"",ISNUMBER(入力!$F$59),入力!$F$59&gt;0),$W$3+(設定!$D$14/(設定!$D$14+設定!$D$15/入力!$F$59))*(K56-$W$3),K56))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S56" s="50" t="str">
        <f>IF(Y56="","",IF(Y56&lt;=0,"達成済み",IF(Y56&lt;60,Y56&amp;"秒",INT(Y56/60)&amp;"分"&amp;TEXT(MOD(Y56,60),"00")&amp;"秒")))</f>
        <v/>
      </c>
      <c r="T56" s="26" t="str">
        <f>IF(C56="","",D56/設定!$C$26-C56)</f>
        <v/>
      </c>
      <c r="U56" s="26" t="str">
        <f>IF(C56="","",(D56-C56*設定!$C$26)/60*設定!$C$28)</f>
        <v/>
      </c>
      <c r="X56">
        <f t="shared" si="17"/>
        <v>0</v>
      </c>
      <c r="Y56" t="str">
        <f>IF(C56="","",ROUND(G56-設定!$C$26*60,0))</f>
        <v/>
      </c>
    </row>
    <row r="57" spans="1:25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IF(K57="","",IF(AND(K57&lt;&gt;"",ISNUMBER(入力!$F$60),入力!$F$60&gt;0),$W$3+(設定!$D$14/(設定!$D$14+設定!$D$15/入力!$F$60))*(K57-$W$3),K57))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S57" s="50" t="str">
        <f>IF(Y57="","",IF(Y57&lt;=0,"達成済み",IF(Y57&lt;60,Y57&amp;"秒",INT(Y57/60)&amp;"分"&amp;TEXT(MOD(Y57,60),"00")&amp;"秒")))</f>
        <v/>
      </c>
      <c r="T57" s="26" t="str">
        <f>IF(C57="","",D57/設定!$C$26-C57)</f>
        <v/>
      </c>
      <c r="U57" s="26" t="str">
        <f>IF(C57="","",(D57-C57*設定!$C$26)/60*設定!$C$28)</f>
        <v/>
      </c>
      <c r="X57">
        <f t="shared" si="17"/>
        <v>0</v>
      </c>
      <c r="Y57" t="str">
        <f>IF(C57="","",ROUND(G57-設定!$C$26*60,0))</f>
        <v/>
      </c>
    </row>
    <row r="58" spans="1:25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IF(K58="","",IF(AND(K58&lt;&gt;"",ISNUMBER(入力!$F$61),入力!$F$61&gt;0),$W$3+(設定!$D$14/(設定!$D$14+設定!$D$15/入力!$F$61))*(K58-$W$3),K58))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S58" s="50" t="str">
        <f>IF(Y58="","",IF(Y58&lt;=0,"達成済み",IF(Y58&lt;60,Y58&amp;"秒",INT(Y58/60)&amp;"分"&amp;TEXT(MOD(Y58,60),"00")&amp;"秒")))</f>
        <v/>
      </c>
      <c r="T58" s="26" t="str">
        <f>IF(C58="","",D58/設定!$C$26-C58)</f>
        <v/>
      </c>
      <c r="U58" s="26" t="str">
        <f>IF(C58="","",(D58-C58*設定!$C$26)/60*設定!$C$28)</f>
        <v/>
      </c>
      <c r="X58">
        <f t="shared" si="17"/>
        <v>0</v>
      </c>
      <c r="Y58" t="str">
        <f>IF(C58="","",ROUND(G58-設定!$C$26*60,0))</f>
        <v/>
      </c>
    </row>
    <row r="59" spans="1:25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IF(K59="","",IF(AND(K59&lt;&gt;"",ISNUMBER(入力!$F$62),入力!$F$62&gt;0),$W$3+(設定!$D$14/(設定!$D$14+設定!$D$15/入力!$F$62))*(K59-$W$3),K59))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S59" s="50" t="str">
        <f>IF(Y59="","",IF(Y59&lt;=0,"達成済み",IF(Y59&lt;60,Y59&amp;"秒",INT(Y59/60)&amp;"分"&amp;TEXT(MOD(Y59,60),"00")&amp;"秒")))</f>
        <v/>
      </c>
      <c r="T59" s="26" t="str">
        <f>IF(C59="","",D59/設定!$C$26-C59)</f>
        <v/>
      </c>
      <c r="U59" s="26" t="str">
        <f>IF(C59="","",(D59-C59*設定!$C$26)/60*設定!$C$28)</f>
        <v/>
      </c>
      <c r="X59">
        <f t="shared" si="17"/>
        <v>0</v>
      </c>
      <c r="Y59" t="str">
        <f>IF(C59="","",ROUND(G59-設定!$C$26*60,0))</f>
        <v/>
      </c>
    </row>
    <row r="60" spans="1:25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IF(K60="","",IF(AND(K60&lt;&gt;"",ISNUMBER(入力!$F$63),入力!$F$63&gt;0),$W$3+(設定!$D$14/(設定!$D$14+設定!$D$15/入力!$F$63))*(K60-$W$3),K60))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S60" s="50" t="str">
        <f>IF(Y60="","",IF(Y60&lt;=0,"達成済み",IF(Y60&lt;60,Y60&amp;"秒",INT(Y60/60)&amp;"分"&amp;TEXT(MOD(Y60,60),"00")&amp;"秒")))</f>
        <v/>
      </c>
      <c r="T60" s="26" t="str">
        <f>IF(C60="","",D60/設定!$C$26-C60)</f>
        <v/>
      </c>
      <c r="U60" s="26" t="str">
        <f>IF(C60="","",(D60-C60*設定!$C$26)/60*設定!$C$28)</f>
        <v/>
      </c>
      <c r="X60">
        <f t="shared" si="17"/>
        <v>0</v>
      </c>
      <c r="Y60" t="str">
        <f>IF(C60="","",ROUND(G60-設定!$C$26*60,0))</f>
        <v/>
      </c>
    </row>
    <row r="61" spans="1:25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IF(K61="","",IF(AND(K61&lt;&gt;"",ISNUMBER(入力!$F$64),入力!$F$64&gt;0),$W$3+(設定!$D$14/(設定!$D$14+設定!$D$15/入力!$F$64))*(K61-$W$3),K61))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S61" s="50" t="str">
        <f>IF(Y61="","",IF(Y61&lt;=0,"達成済み",IF(Y61&lt;60,Y61&amp;"秒",INT(Y61/60)&amp;"分"&amp;TEXT(MOD(Y61,60),"00")&amp;"秒")))</f>
        <v/>
      </c>
      <c r="T61" s="26" t="str">
        <f>IF(C61="","",D61/設定!$C$26-C61)</f>
        <v/>
      </c>
      <c r="U61" s="26" t="str">
        <f>IF(C61="","",(D61-C61*設定!$C$26)/60*設定!$C$28)</f>
        <v/>
      </c>
      <c r="X61">
        <f t="shared" si="17"/>
        <v>0</v>
      </c>
      <c r="Y61" t="str">
        <f>IF(C61="","",ROUND(G61-設定!$C$26*60,0))</f>
        <v/>
      </c>
    </row>
    <row r="62" spans="1:25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IF(K62="","",IF(AND(K62&lt;&gt;"",ISNUMBER(入力!$F$65),入力!$F$65&gt;0),$W$3+(設定!$D$14/(設定!$D$14+設定!$D$15/入力!$F$65))*(K62-$W$3),K62))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S62" s="50" t="str">
        <f>IF(Y62="","",IF(Y62&lt;=0,"達成済み",IF(Y62&lt;60,Y62&amp;"秒",INT(Y62/60)&amp;"分"&amp;TEXT(MOD(Y62,60),"00")&amp;"秒")))</f>
        <v/>
      </c>
      <c r="T62" s="26" t="str">
        <f>IF(C62="","",D62/設定!$C$26-C62)</f>
        <v/>
      </c>
      <c r="U62" s="26" t="str">
        <f>IF(C62="","",(D62-C62*設定!$C$26)/60*設定!$C$28)</f>
        <v/>
      </c>
      <c r="X62">
        <f t="shared" si="17"/>
        <v>0</v>
      </c>
      <c r="Y62" t="str">
        <f>IF(C62="","",ROUND(G62-設定!$C$26*60,0))</f>
        <v/>
      </c>
    </row>
    <row r="63" spans="1:25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IF(K63="","",IF(AND(K63&lt;&gt;"",ISNUMBER(入力!$F$66),入力!$F$66&gt;0),$W$3+(設定!$D$14/(設定!$D$14+設定!$D$15/入力!$F$66))*(K63-$W$3),K63))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S63" s="50" t="str">
        <f>IF(Y63="","",IF(Y63&lt;=0,"達成済み",IF(Y63&lt;60,Y63&amp;"秒",INT(Y63/60)&amp;"分"&amp;TEXT(MOD(Y63,60),"00")&amp;"秒")))</f>
        <v/>
      </c>
      <c r="T63" s="26" t="str">
        <f>IF(C63="","",D63/設定!$C$26-C63)</f>
        <v/>
      </c>
      <c r="U63" s="26" t="str">
        <f>IF(C63="","",(D63-C63*設定!$C$26)/60*設定!$C$28)</f>
        <v/>
      </c>
      <c r="X63">
        <f t="shared" si="17"/>
        <v>0</v>
      </c>
      <c r="Y63" t="str">
        <f>IF(C63="","",ROUND(G63-設定!$C$26*60,0))</f>
        <v/>
      </c>
    </row>
    <row r="64" spans="1:25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IF(K64="","",IF(AND(K64&lt;&gt;"",ISNUMBER(入力!$F$67),入力!$F$67&gt;0),$W$3+(設定!$D$14/(設定!$D$14+設定!$D$15/入力!$F$67))*(K64-$W$3),K64))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S64" s="50" t="str">
        <f>IF(Y64="","",IF(Y64&lt;=0,"達成済み",IF(Y64&lt;60,Y64&amp;"秒",INT(Y64/60)&amp;"分"&amp;TEXT(MOD(Y64,60),"00")&amp;"秒")))</f>
        <v/>
      </c>
      <c r="T64" s="26" t="str">
        <f>IF(C64="","",D64/設定!$C$26-C64)</f>
        <v/>
      </c>
      <c r="U64" s="26" t="str">
        <f>IF(C64="","",(D64-C64*設定!$C$26)/60*設定!$C$28)</f>
        <v/>
      </c>
      <c r="X64">
        <f t="shared" si="17"/>
        <v>0</v>
      </c>
      <c r="Y64" t="str">
        <f>IF(C64="","",ROUND(G64-設定!$C$26*60,0))</f>
        <v/>
      </c>
    </row>
    <row r="65" spans="1:25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IF(K65="","",IF(AND(K65&lt;&gt;"",ISNUMBER(入力!$F$68),入力!$F$68&gt;0),$W$3+(設定!$D$14/(設定!$D$14+設定!$D$15/入力!$F$68))*(K65-$W$3),K65))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S65" s="50" t="str">
        <f>IF(Y65="","",IF(Y65&lt;=0,"達成済み",IF(Y65&lt;60,Y65&amp;"秒",INT(Y65/60)&amp;"分"&amp;TEXT(MOD(Y65,60),"00")&amp;"秒")))</f>
        <v/>
      </c>
      <c r="T65" s="26" t="str">
        <f>IF(C65="","",D65/設定!$C$26-C65)</f>
        <v/>
      </c>
      <c r="U65" s="26" t="str">
        <f>IF(C65="","",(D65-C65*設定!$C$26)/60*設定!$C$28)</f>
        <v/>
      </c>
      <c r="X65">
        <f t="shared" si="17"/>
        <v>0</v>
      </c>
      <c r="Y65" t="str">
        <f>IF(C65="","",ROUND(G65-設定!$C$26*60,0))</f>
        <v/>
      </c>
    </row>
    <row r="66" spans="1:25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IF(K66="","",IF(AND(K66&lt;&gt;"",ISNUMBER(入力!$F$69),入力!$F$69&gt;0),$W$3+(設定!$D$14/(設定!$D$14+設定!$D$15/入力!$F$69))*(K66-$W$3),K66))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S66" s="50" t="str">
        <f>IF(Y66="","",IF(Y66&lt;=0,"達成済み",IF(Y66&lt;60,Y66&amp;"秒",INT(Y66/60)&amp;"分"&amp;TEXT(MOD(Y66,60),"00")&amp;"秒")))</f>
        <v/>
      </c>
      <c r="T66" s="26" t="str">
        <f>IF(C66="","",D66/設定!$C$26-C66)</f>
        <v/>
      </c>
      <c r="U66" s="26" t="str">
        <f>IF(C66="","",(D66-C66*設定!$C$26)/60*設定!$C$28)</f>
        <v/>
      </c>
      <c r="X66">
        <f t="shared" si="17"/>
        <v>0</v>
      </c>
      <c r="Y66" t="str">
        <f>IF(C66="","",ROUND(G66-設定!$C$26*60,0))</f>
        <v/>
      </c>
    </row>
  </sheetData>
  <phoneticPr fontId="34"/>
  <conditionalFormatting sqref="A7:U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Y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12" customWidth="1"/>
    <col min="20" max="20" width="14" customWidth="1"/>
    <col min="21" max="21" width="16" customWidth="1"/>
    <col min="22" max="22" width="22" customWidth="1"/>
    <col min="23" max="23" width="12" customWidth="1"/>
    <col min="24" max="24" width="13" hidden="1" customWidth="1"/>
    <col min="25" max="25" width="9" hidden="1" customWidth="1"/>
  </cols>
  <sheetData>
    <row r="2" spans="1:25" ht="17.25" x14ac:dyDescent="0.2">
      <c r="B2" s="51" t="s">
        <v>189</v>
      </c>
      <c r="V2" s="9" t="s">
        <v>170</v>
      </c>
    </row>
    <row r="3" spans="1:25" ht="14.25" x14ac:dyDescent="0.15">
      <c r="B3" s="3" t="s">
        <v>171</v>
      </c>
      <c r="V3" s="45" t="s">
        <v>102</v>
      </c>
      <c r="W3" s="46">
        <f>IFERROR(SUM(X7:X66)/SUMIF(I7:I66,"&gt;0",C7:C66),"")</f>
        <v>109.44372058095747</v>
      </c>
    </row>
    <row r="4" spans="1:25" x14ac:dyDescent="0.15">
      <c r="B4" s="3" t="s">
        <v>172</v>
      </c>
      <c r="V4" s="47" t="s">
        <v>173</v>
      </c>
      <c r="W4" s="21"/>
    </row>
    <row r="5" spans="1:25" x14ac:dyDescent="0.15">
      <c r="B5" s="7" t="s">
        <v>124</v>
      </c>
      <c r="V5" s="47" t="s">
        <v>87</v>
      </c>
      <c r="W5" s="26">
        <f>COUNT(L7:L66)</f>
        <v>19</v>
      </c>
    </row>
    <row r="6" spans="1:25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20" t="inlineStr">
        <is>
          <t>目標まで
あと</t>
        </is>
      </c>
      <c r="T6" s="20" t="inlineStr">
        <is>
          <t>目標到達で
増やせる件数</t>
        </is>
      </c>
      <c r="U6" s="20" t="inlineStr">
        <is>
          <t>目標到達で
減らせる人件費(円)</t>
        </is>
      </c>
      <c r="V6" s="47" t="inlineStr">
        <is>
          <t>◎ 達成</t>
        </is>
      </c>
      <c r="W6" s="26">
        <f>COUNTIF(O7:O66,"◎達成")</f>
        <v>8</v>
      </c>
    </row>
    <row r="7" spans="1:25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IF(K7="","",IF(AND(K7&lt;&gt;"",ISNUMBER(入力!$J$10),入力!$J$10&gt;0),$W$3+(設定!$D$17/(設定!$D$17+設定!$D$18/入力!$J$10))*(K7-$W$3),K7))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50" t="str">
        <f>IF(Y7="","",IF(Y7&lt;=0,"達成済み",IF(Y7&lt;60,Y7&amp;"秒",INT(Y7/60)&amp;"分"&amp;TEXT(MOD(Y7,60),"00")&amp;"秒")))</f>
        <v>達成済み</v>
      </c>
      <c r="T7" s="26">
        <f>IF(C7="","",D7/設定!$C$27-C7)</f>
        <v>-868.625</v>
      </c>
      <c r="U7" s="26">
        <f>IF(C7="","",(D7-C7*設定!$C$27)/60*設定!$C$28)</f>
        <v>-34745.00000000001</v>
      </c>
      <c r="V7" s="47" t="inlineStr">
        <is>
          <t>○ あと一歩</t>
        </is>
      </c>
      <c r="W7" s="26">
        <f>COUNTIF(O7:O66,"○あと一歩")</f>
        <v>3</v>
      </c>
      <c r="X7">
        <f t="shared" ref="X7:X38" si="8">IF(K7="",0,K7*C7)</f>
        <v>373142.34090034623</v>
      </c>
      <c r="Y7">
        <f>IF(C7="","",ROUND(G7-設定!$C$27*60,0))</f>
        <v>-33.0</v>
      </c>
    </row>
    <row r="8" spans="1:25" x14ac:dyDescent="0.15">
      <c r="A8" s="48">
        <f t="shared" si="0"/>
        <v>13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IF(K8="","",IF(AND(K8&lt;&gt;"",ISNUMBER(入力!$J$11),入力!$J$11&gt;0),$W$3+(設定!$D$17/(設定!$D$17+設定!$D$18/入力!$J$11))*(K8-$W$3),K8))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50" t="str">
        <f>IF(Y8="","",IF(Y8&lt;=0,"達成済み",IF(Y8&lt;60,Y8&amp;"秒",INT(Y8/60)&amp;"分"&amp;TEXT(MOD(Y8,60),"00")&amp;"秒")))</f>
        <v>20秒</v>
      </c>
      <c r="T8" s="26">
        <f>IF(C8="","",D8/設定!$C$27-C8)</f>
        <v>134.75</v>
      </c>
      <c r="U8" s="26">
        <f>IF(C8="","",(D8-C8*設定!$C$27)/60*設定!$C$28)</f>
        <v>5389.999999999998</v>
      </c>
      <c r="V8" s="47" t="inlineStr">
        <is>
          <t>△ 要改善</t>
        </is>
      </c>
      <c r="W8" s="26">
        <f>COUNTIF(O7:O66,"△要改善")</f>
        <v>4</v>
      </c>
      <c r="X8">
        <f t="shared" si="8"/>
        <v>59928.377506775061</v>
      </c>
      <c r="Y8">
        <f>IF(C8="","",ROUND(G8-設定!$C$27*60,0))</f>
        <v>20.0</v>
      </c>
    </row>
    <row r="9" spans="1:25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IF(K9="","",IF(AND(K9&lt;&gt;"",ISNUMBER(入力!$J$12),入力!$J$12&gt;0),$W$3+(設定!$D$17/(設定!$D$17+設定!$D$18/入力!$J$12))*(K9-$W$3),K9))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50" t="str">
        <f>IF(Y9="","",IF(Y9&lt;=0,"達成済み",IF(Y9&lt;60,Y9&amp;"秒",INT(Y9/60)&amp;"分"&amp;TEXT(MOD(Y9,60),"00")&amp;"秒")))</f>
        <v>達成済み</v>
      </c>
      <c r="T9" s="26">
        <f>IF(C9="","",D9/設定!$C$27-C9)</f>
        <v>-703.5</v>
      </c>
      <c r="U9" s="26">
        <f>IF(C9="","",(D9-C9*設定!$C$27)/60*設定!$C$28)</f>
        <v>-28140.000000000007</v>
      </c>
      <c r="V9" s="47" t="inlineStr">
        <is>
          <t>✕ 要支援</t>
        </is>
      </c>
      <c r="W9" s="26">
        <f>COUNTIF(O7:O66,"✕要支援")</f>
        <v>4</v>
      </c>
      <c r="X9">
        <f t="shared" si="8"/>
        <v>347630.92156862747</v>
      </c>
      <c r="Y9">
        <f>IF(C9="","",ROUND(G9-設定!$C$27*60,0))</f>
        <v>-26.0</v>
      </c>
    </row>
    <row r="10" spans="1:25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IF(K10="","",IF(AND(K10&lt;&gt;"",ISNUMBER(入力!$J$13),入力!$J$13&gt;0),$W$3+(設定!$D$17/(設定!$D$17+設定!$D$18/入力!$J$13))*(K10-$W$3),K10))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50" t="str">
        <f>IF(Y10="","",IF(Y10&lt;=0,"達成済み",IF(Y10&lt;60,Y10&amp;"秒",INT(Y10/60)&amp;"分"&amp;TEXT(MOD(Y10,60),"00")&amp;"秒")))</f>
        <v>達成済み</v>
      </c>
      <c r="T10" s="26">
        <f>IF(C10="","",D10/設定!$C$27-C10)</f>
        <v>-93.375</v>
      </c>
      <c r="U10" s="26">
        <f>IF(C10="","",(D10-C10*設定!$C$27)/60*設定!$C$28)</f>
        <v>-3735.000000000001</v>
      </c>
      <c r="V10" s="47" t="s">
        <v>89</v>
      </c>
      <c r="W10" s="26">
        <f>SUMIF(I7:I66,"&gt;0",C7:C66)</f>
        <v>24467</v>
      </c>
      <c r="X10">
        <f t="shared" si="8"/>
        <v>37635.276502732238</v>
      </c>
      <c r="Y10">
        <f>IF(C10="","",ROUND(G10-設定!$C$27*60,0))</f>
        <v>-32.0</v>
      </c>
    </row>
    <row r="11" spans="1:25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IF(K11="","",IF(AND(K11&lt;&gt;"",ISNUMBER(入力!$J$14),入力!$J$14&gt;0),$W$3+(設定!$D$17/(設定!$D$17+設定!$D$18/入力!$J$14))*(K11-$W$3),K11))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50" t="str">
        <f>IF(Y11="","",IF(Y11&lt;=0,"達成済み",IF(Y11&lt;60,Y11&amp;"秒",INT(Y11/60)&amp;"分"&amp;TEXT(MOD(Y11,60),"00")&amp;"秒")))</f>
        <v/>
      </c>
      <c r="T11" s="26" t="str">
        <f>IF(C11="","",D11/設定!$C$27-C11)</f>
        <v/>
      </c>
      <c r="U11" s="26" t="str">
        <f>IF(C11="","",(D11-C11*設定!$C$27)/60*設定!$C$28)</f>
        <v/>
      </c>
      <c r="V11" s="47" t="s">
        <v>91</v>
      </c>
      <c r="W11" s="26">
        <f>SUMIF(I7:I66,"&gt;0",E7:E66)</f>
        <v>7099</v>
      </c>
      <c r="X11">
        <f t="shared" si="8"/>
        <v>0</v>
      </c>
      <c r="Y11" t="str">
        <f>IF(C11="","",ROUND(G11-設定!$C$27*60,0))</f>
        <v/>
      </c>
    </row>
    <row r="12" spans="1:25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IF(K12="","",IF(AND(K12&lt;&gt;"",ISNUMBER(入力!$J$15),入力!$J$15&gt;0),$W$3+(設定!$D$17/(設定!$D$17+設定!$D$18/入力!$J$15))*(K12-$W$3),K12))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50" t="str">
        <f>IF(Y12="","",IF(Y12&lt;=0,"達成済み",IF(Y12&lt;60,Y12&amp;"秒",INT(Y12/60)&amp;"分"&amp;TEXT(MOD(Y12,60),"00")&amp;"秒")))</f>
        <v>21秒</v>
      </c>
      <c r="T12" s="26">
        <f>IF(C12="","",D12/設定!$C$27-C12)</f>
        <v>304.0</v>
      </c>
      <c r="U12" s="26">
        <f>IF(C12="","",(D12-C12*設定!$C$27)/60*設定!$C$28)</f>
        <v>12160.000000000002</v>
      </c>
      <c r="V12" s="47" t="s">
        <v>186</v>
      </c>
      <c r="W12" s="26">
        <f>SUMIF(I7:I66,"&gt;0",D7:D66)</f>
        <v>38887</v>
      </c>
      <c r="X12">
        <f t="shared" si="8"/>
        <v>114143.97022946857</v>
      </c>
      <c r="Y12">
        <f>IF(C12="","",ROUND(G12-設定!$C$27*60,0))</f>
        <v>21.0</v>
      </c>
    </row>
    <row r="13" spans="1:25" x14ac:dyDescent="0.15">
      <c r="A13" s="48">
        <f t="shared" si="0"/>
        <v>15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IF(K13="","",IF(AND(K13&lt;&gt;"",ISNUMBER(入力!$J$16),入力!$J$16&gt;0),$W$3+(設定!$D$17/(設定!$D$17+設定!$D$18/入力!$J$16))*(K13-$W$3),K13))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50" t="str">
        <f>IF(Y13="","",IF(Y13&lt;=0,"達成済み",IF(Y13&lt;60,Y13&amp;"秒",INT(Y13/60)&amp;"分"&amp;TEXT(MOD(Y13,60),"00")&amp;"秒")))</f>
        <v>21秒</v>
      </c>
      <c r="T13" s="26">
        <f>IF(C13="","",D13/設定!$C$27-C13)</f>
        <v>81.25</v>
      </c>
      <c r="U13" s="26">
        <f>IF(C13="","",(D13-C13*設定!$C$27)/60*設定!$C$28)</f>
        <v>3250.0</v>
      </c>
      <c r="V13" s="47" t="s">
        <v>187</v>
      </c>
      <c r="W13" s="26">
        <f>SUMIF(I7:I66,"&gt;0",H7:H66)</f>
        <v>10896.964999999998</v>
      </c>
      <c r="X13">
        <f t="shared" si="8"/>
        <v>30672.174657534248</v>
      </c>
      <c r="Y13">
        <f>IF(C13="","",ROUND(G13-設定!$C$27*60,0))</f>
        <v>21.0</v>
      </c>
    </row>
    <row r="14" spans="1:25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IF(K14="","",IF(AND(K14&lt;&gt;"",ISNUMBER(入力!$J$17),入力!$J$17&gt;0),$W$3+(設定!$D$17/(設定!$D$17+設定!$D$18/入力!$J$17))*(K14-$W$3),K14))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50" t="str">
        <f>IF(Y14="","",IF(Y14&lt;=0,"達成済み",IF(Y14&lt;60,Y14&amp;"秒",INT(Y14/60)&amp;"分"&amp;TEXT(MOD(Y14,60),"00")&amp;"秒")))</f>
        <v>達成済み</v>
      </c>
      <c r="T14" s="26">
        <f>IF(C14="","",D14/設定!$C$27-C14)</f>
        <v>-376.625</v>
      </c>
      <c r="U14" s="26">
        <f>IF(C14="","",(D14-C14*設定!$C$27)/60*設定!$C$28)</f>
        <v>-15065.000000000011</v>
      </c>
      <c r="V14" s="47" t="s">
        <v>188</v>
      </c>
      <c r="W14" s="26">
        <f>SUM(I7:I66)</f>
        <v>39237.906666666662</v>
      </c>
      <c r="X14">
        <f t="shared" si="8"/>
        <v>348979.78882788448</v>
      </c>
      <c r="Y14">
        <f>IF(C14="","",ROUND(G14-設定!$C$27*60,0))</f>
        <v>-13.0</v>
      </c>
    </row>
    <row r="15" spans="1:25" x14ac:dyDescent="0.15">
      <c r="A15" s="48">
        <f t="shared" si="0"/>
        <v>10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IF(K15="","",IF(AND(K15&lt;&gt;"",ISNUMBER(入力!$J$18),入力!$J$18&gt;0),$W$3+(設定!$D$17/(設定!$D$17+設定!$D$18/入力!$J$18))*(K15-$W$3),K15))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50" t="str">
        <f>IF(Y15="","",IF(Y15&lt;=0,"達成済み",IF(Y15&lt;60,Y15&amp;"秒",INT(Y15/60)&amp;"分"&amp;TEXT(MOD(Y15,60),"00")&amp;"秒")))</f>
        <v>6秒</v>
      </c>
      <c r="T15" s="26">
        <f>IF(C15="","",D15/設定!$C$27-C15)</f>
        <v>160.5</v>
      </c>
      <c r="U15" s="26">
        <f>IF(C15="","",(D15-C15*設定!$C$27)/60*設定!$C$28)</f>
        <v>6419.999999999994</v>
      </c>
      <c r="V15" s="47" t="s">
        <v>50</v>
      </c>
      <c r="W15" s="23">
        <f>IFERROR(W13/W14,"")</f>
        <v>0.2777152484859029</v>
      </c>
      <c r="X15">
        <f t="shared" si="8"/>
        <v>227337.89601484346</v>
      </c>
      <c r="Y15">
        <f>IF(C15="","",ROUND(G15-設定!$C$27*60,0))</f>
        <v>6.0</v>
      </c>
    </row>
    <row r="16" spans="1:25" x14ac:dyDescent="0.15">
      <c r="A16" s="48">
        <f t="shared" si="0"/>
        <v>12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IF(K16="","",IF(AND(K16&lt;&gt;"",ISNUMBER(入力!$J$19),入力!$J$19&gt;0),$W$3+(設定!$D$17/(設定!$D$17+設定!$D$18/入力!$J$19))*(K16-$W$3),K16))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50" t="str">
        <f>IF(Y16="","",IF(Y16&lt;=0,"達成済み",IF(Y16&lt;60,Y16&amp;"秒",INT(Y16/60)&amp;"分"&amp;TEXT(MOD(Y16,60),"00")&amp;"秒")))</f>
        <v>14秒</v>
      </c>
      <c r="T16" s="26">
        <f>IF(C16="","",D16/設定!$C$27-C16)</f>
        <v>219.5</v>
      </c>
      <c r="U16" s="26">
        <f>IF(C16="","",(D16-C16*設定!$C$27)/60*設定!$C$28)</f>
        <v>8779.999999999995</v>
      </c>
      <c r="V16" s="47" t="s">
        <v>93</v>
      </c>
      <c r="W16" s="27">
        <f>IFERROR(W10/W11,"")</f>
        <v>3.4465417664459781</v>
      </c>
      <c r="X16">
        <f t="shared" si="8"/>
        <v>131172.47312588399</v>
      </c>
      <c r="Y16">
        <f>IF(C16="","",ROUND(G16-設定!$C$27*60,0))</f>
        <v>14.0</v>
      </c>
    </row>
    <row r="17" spans="1:25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IF(K17="","",IF(AND(K17&lt;&gt;"",ISNUMBER(入力!$J$20),入力!$J$20&gt;0),$W$3+(設定!$D$17/(設定!$D$17+設定!$D$18/入力!$J$20))*(K17-$W$3),K17))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50" t="str">
        <f>IF(Y17="","",IF(Y17&lt;=0,"達成済み",IF(Y17&lt;60,Y17&amp;"秒",INT(Y17/60)&amp;"分"&amp;TEXT(MOD(Y17,60),"00")&amp;"秒")))</f>
        <v>達成済み</v>
      </c>
      <c r="T17" s="26">
        <f>IF(C17="","",D17/設定!$C$27-C17)</f>
        <v>-408.75</v>
      </c>
      <c r="U17" s="26">
        <f>IF(C17="","",(D17-C17*設定!$C$27)/60*設定!$C$28)</f>
        <v>-16350.0</v>
      </c>
      <c r="V17" s="47" t="s">
        <v>100</v>
      </c>
      <c r="W17" s="22">
        <f>IFERROR(W12*60/W10,"")</f>
        <v>95.361916050190047</v>
      </c>
      <c r="X17">
        <f t="shared" si="8"/>
        <v>153045.51731601733</v>
      </c>
      <c r="Y17">
        <f>IF(C17="","",ROUND(G17-設定!$C$27*60,0))</f>
        <v>-44.0</v>
      </c>
    </row>
    <row r="18" spans="1:25" x14ac:dyDescent="0.15">
      <c r="A18" s="48">
        <f t="shared" si="0"/>
        <v>6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IF(K18="","",IF(AND(K18&lt;&gt;"",ISNUMBER(入力!$J$21),入力!$J$21&gt;0),$W$3+(設定!$D$17/(設定!$D$17+設定!$D$18/入力!$J$21))*(K18-$W$3),K18))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S18" s="50" t="str">
        <f>IF(Y18="","",IF(Y18&lt;=0,"達成済み",IF(Y18&lt;60,Y18&amp;"秒",INT(Y18/60)&amp;"分"&amp;TEXT(MOD(Y18,60),"00")&amp;"秒")))</f>
        <v>達成済み</v>
      </c>
      <c r="T18" s="26">
        <f>IF(C18="","",D18/設定!$C$27-C18)</f>
        <v>-343.25</v>
      </c>
      <c r="U18" s="26">
        <f>IF(C18="","",(D18-C18*設定!$C$27)/60*設定!$C$28)</f>
        <v>-13730.000000000007</v>
      </c>
      <c r="V18" s="47" t="inlineStr">
        <is>
          <t>1件あたり 目標まで(秒)</t>
        </is>
      </c>
      <c r="W18" s="22">
        <f>IFERROR(W17-設定!$C$27*60,"")</f>
        <v>-0.6380839498098965</v>
      </c>
      <c r="X18">
        <f t="shared" si="8"/>
        <v>196436.54569586649</v>
      </c>
      <c r="Y18">
        <f>IF(C18="","",ROUND(G18-設定!$C$27*60,0))</f>
        <v>-23.0</v>
      </c>
    </row>
    <row r="19" spans="1:25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IF(K19="","",IF(AND(K19&lt;&gt;"",ISNUMBER(入力!$J$22),入力!$J$22&gt;0),$W$3+(設定!$D$17/(設定!$D$17+設定!$D$18/入力!$J$22))*(K19-$W$3),K19))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S19" s="50" t="str">
        <f>IF(Y19="","",IF(Y19&lt;=0,"達成済み",IF(Y19&lt;60,Y19&amp;"秒",INT(Y19/60)&amp;"分"&amp;TEXT(MOD(Y19,60),"00")&amp;"秒")))</f>
        <v>31秒</v>
      </c>
      <c r="T19" s="26">
        <f>IF(C19="","",D19/設定!$C$27-C19)</f>
        <v>72.875</v>
      </c>
      <c r="U19" s="26">
        <f>IF(C19="","",(D19-C19*設定!$C$27)/60*設定!$C$28)</f>
        <v>2914.999999999999</v>
      </c>
      <c r="V19" s="47" t="inlineStr">
        <is>
          <t>目標到達で増やせる件数</t>
        </is>
      </c>
      <c r="W19" s="26">
        <f>IFERROR(W12/設定!$C$27-W10,"")</f>
        <v>-162.625</v>
      </c>
      <c r="X19">
        <f t="shared" si="8"/>
        <v>14986.621754385964</v>
      </c>
      <c r="Y19">
        <f>IF(C19="","",ROUND(G19-設定!$C$27*60,0))</f>
        <v>31.0</v>
      </c>
    </row>
    <row r="20" spans="1:25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IF(K20="","",IF(AND(K20&lt;&gt;"",ISNUMBER(入力!$J$23),入力!$J$23&gt;0),$W$3+(設定!$D$17/(設定!$D$17+設定!$D$18/入力!$J$23))*(K20-$W$3),K20))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S20" s="50" t="str">
        <f>IF(Y20="","",IF(Y20&lt;=0,"達成済み",IF(Y20&lt;60,Y20&amp;"秒",INT(Y20/60)&amp;"分"&amp;TEXT(MOD(Y20,60),"00")&amp;"秒")))</f>
        <v/>
      </c>
      <c r="T20" s="26" t="str">
        <f>IF(C20="","",D20/設定!$C$27-C20)</f>
        <v/>
      </c>
      <c r="U20" s="26" t="str">
        <f>IF(C20="","",(D20-C20*設定!$C$27)/60*設定!$C$28)</f>
        <v/>
      </c>
      <c r="V20" s="47" t="inlineStr">
        <is>
          <t>目標到達で減らせる人件費(円)</t>
        </is>
      </c>
      <c r="W20" s="26">
        <f>IFERROR((W12-W10*設定!$C$27)/60*設定!$C$28,"")</f>
        <v>-6505.000000000109</v>
      </c>
      <c r="X20">
        <f t="shared" si="8"/>
        <v>0</v>
      </c>
      <c r="Y20" t="str">
        <f>IF(C20="","",ROUND(G20-設定!$C$27*60,0))</f>
        <v/>
      </c>
    </row>
    <row r="21" spans="1:25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IF(K21="","",IF(AND(K21&lt;&gt;"",ISNUMBER(入力!$J$24),入力!$J$24&gt;0),$W$3+(設定!$D$17/(設定!$D$17+設定!$D$18/入力!$J$24))*(K21-$W$3),K21))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S21" s="50" t="str">
        <f>IF(Y21="","",IF(Y21&lt;=0,"達成済み",IF(Y21&lt;60,Y21&amp;"秒",INT(Y21/60)&amp;"分"&amp;TEXT(MOD(Y21,60),"00")&amp;"秒")))</f>
        <v>1分29秒</v>
      </c>
      <c r="T21" s="26">
        <f>IF(C21="","",D21/設定!$C$27-C21)</f>
        <v>585.625</v>
      </c>
      <c r="U21" s="26">
        <f>IF(C21="","",(D21-C21*設定!$C$27)/60*設定!$C$28)</f>
        <v>23425.0</v>
      </c>
      <c r="X21">
        <f t="shared" si="8"/>
        <v>32934.748071979433</v>
      </c>
      <c r="Y21">
        <f>IF(C21="","",ROUND(G21-設定!$C$27*60,0))</f>
        <v>89.0</v>
      </c>
    </row>
    <row r="22" spans="1:25" x14ac:dyDescent="0.15">
      <c r="A22" s="48">
        <f t="shared" si="0"/>
        <v>4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IF(K22="","",IF(AND(K22&lt;&gt;"",ISNUMBER(入力!$J$25),入力!$J$25&gt;0),$W$3+(設定!$D$17/(設定!$D$17+設定!$D$18/入力!$J$25))*(K22-$W$3),K22))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S22" s="50" t="str">
        <f>IF(Y22="","",IF(Y22&lt;=0,"達成済み",IF(Y22&lt;60,Y22&amp;"秒",INT(Y22/60)&amp;"分"&amp;TEXT(MOD(Y22,60),"00")&amp;"秒")))</f>
        <v>達成済み</v>
      </c>
      <c r="T22" s="26">
        <f>IF(C22="","",D22/設定!$C$27-C22)</f>
        <v>-164.875</v>
      </c>
      <c r="U22" s="26">
        <f>IF(C22="","",(D22-C22*設定!$C$27)/60*設定!$C$28)</f>
        <v>-6595.000000000001</v>
      </c>
      <c r="X22">
        <f t="shared" si="8"/>
        <v>69031.404136253026</v>
      </c>
      <c r="Y22">
        <f>IF(C22="","",ROUND(G22-設定!$C$27*60,0))</f>
        <v>-27.0</v>
      </c>
    </row>
    <row r="23" spans="1:25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IF(K23="","",IF(AND(K23&lt;&gt;"",ISNUMBER(入力!$J$26),入力!$J$26&gt;0),$W$3+(設定!$D$17/(設定!$D$17+設定!$D$18/入力!$J$26))*(K23-$W$3),K23))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S23" s="50" t="str">
        <f>IF(Y23="","",IF(Y23&lt;=0,"達成済み",IF(Y23&lt;60,Y23&amp;"秒",INT(Y23/60)&amp;"分"&amp;TEXT(MOD(Y23,60),"00")&amp;"秒")))</f>
        <v>34秒</v>
      </c>
      <c r="T23" s="26">
        <f>IF(C23="","",D23/設定!$C$27-C23)</f>
        <v>617.5</v>
      </c>
      <c r="U23" s="26">
        <f>IF(C23="","",(D23-C23*設定!$C$27)/60*設定!$C$28)</f>
        <v>24699.999999999996</v>
      </c>
      <c r="X23">
        <f t="shared" si="8"/>
        <v>125701.71154523053</v>
      </c>
      <c r="Y23">
        <f>IF(C23="","",ROUND(G23-設定!$C$27*60,0))</f>
        <v>34.0</v>
      </c>
    </row>
    <row r="24" spans="1:25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IF(K24="","",IF(AND(K24&lt;&gt;"",ISNUMBER(入力!$J$27),入力!$J$27&gt;0),$W$3+(設定!$D$17/(設定!$D$17+設定!$D$18/入力!$J$27))*(K24-$W$3),K24))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S24" s="50" t="str">
        <f>IF(Y24="","",IF(Y24&lt;=0,"達成済み",IF(Y24&lt;60,Y24&amp;"秒",INT(Y24/60)&amp;"分"&amp;TEXT(MOD(Y24,60),"00")&amp;"秒")))</f>
        <v/>
      </c>
      <c r="T24" s="26" t="str">
        <f>IF(C24="","",D24/設定!$C$27-C24)</f>
        <v/>
      </c>
      <c r="U24" s="26" t="str">
        <f>IF(C24="","",(D24-C24*設定!$C$27)/60*設定!$C$28)</f>
        <v/>
      </c>
      <c r="X24">
        <f t="shared" si="8"/>
        <v>0</v>
      </c>
      <c r="Y24" t="str">
        <f>IF(C24="","",ROUND(G24-設定!$C$27*60,0))</f>
        <v/>
      </c>
    </row>
    <row r="25" spans="1:25" x14ac:dyDescent="0.15">
      <c r="A25" s="48">
        <f t="shared" si="0"/>
        <v>11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IF(K25="","",IF(AND(K25&lt;&gt;"",ISNUMBER(入力!$J$28),入力!$J$28&gt;0),$W$3+(設定!$D$17/(設定!$D$17+設定!$D$18/入力!$J$28))*(K25-$W$3),K25))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S25" s="50" t="str">
        <f>IF(Y25="","",IF(Y25&lt;=0,"達成済み",IF(Y25&lt;60,Y25&amp;"秒",INT(Y25/60)&amp;"分"&amp;TEXT(MOD(Y25,60),"00")&amp;"秒")))</f>
        <v>10秒</v>
      </c>
      <c r="T25" s="26">
        <f>IF(C25="","",D25/設定!$C$27-C25)</f>
        <v>105.0</v>
      </c>
      <c r="U25" s="26">
        <f>IF(C25="","",(D25-C25*設定!$C$27)/60*設定!$C$28)</f>
        <v>4200.0</v>
      </c>
      <c r="X25">
        <f t="shared" si="8"/>
        <v>102247.15909090909</v>
      </c>
      <c r="Y25">
        <f>IF(C25="","",ROUND(G25-設定!$C$27*60,0))</f>
        <v>10.0</v>
      </c>
    </row>
    <row r="26" spans="1:25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IF(K26="","",IF(AND(K26&lt;&gt;"",ISNUMBER(入力!$J$29),入力!$J$29&gt;0),$W$3+(設定!$D$17/(設定!$D$17+設定!$D$18/入力!$J$29))*(K26-$W$3),K26))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S26" s="50" t="str">
        <f>IF(Y26="","",IF(Y26&lt;=0,"達成済み",IF(Y26&lt;60,Y26&amp;"秒",INT(Y26/60)&amp;"分"&amp;TEXT(MOD(Y26,60),"00")&amp;"秒")))</f>
        <v/>
      </c>
      <c r="T26" s="26" t="str">
        <f>IF(C26="","",D26/設定!$C$27-C26)</f>
        <v/>
      </c>
      <c r="U26" s="26" t="str">
        <f>IF(C26="","",(D26-C26*設定!$C$27)/60*設定!$C$28)</f>
        <v/>
      </c>
      <c r="X26">
        <f t="shared" si="8"/>
        <v>0</v>
      </c>
      <c r="Y26" t="str">
        <f>IF(C26="","",ROUND(G26-設定!$C$27*60,0))</f>
        <v/>
      </c>
    </row>
    <row r="27" spans="1:25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IF(K27="","",IF(AND(K27&lt;&gt;"",ISNUMBER(入力!$J$30),入力!$J$30&gt;0),$W$3+(設定!$D$17/(設定!$D$17+設定!$D$18/入力!$J$30))*(K27-$W$3),K27))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S27" s="50" t="str">
        <f>IF(Y27="","",IF(Y27&lt;=0,"達成済み",IF(Y27&lt;60,Y27&amp;"秒",INT(Y27/60)&amp;"分"&amp;TEXT(MOD(Y27,60),"00")&amp;"秒")))</f>
        <v/>
      </c>
      <c r="T27" s="26" t="str">
        <f>IF(C27="","",D27/設定!$C$27-C27)</f>
        <v/>
      </c>
      <c r="U27" s="26" t="str">
        <f>IF(C27="","",(D27-C27*設定!$C$27)/60*設定!$C$28)</f>
        <v/>
      </c>
      <c r="X27">
        <f t="shared" si="8"/>
        <v>0</v>
      </c>
      <c r="Y27" t="str">
        <f>IF(C27="","",ROUND(G27-設定!$C$27*60,0))</f>
        <v/>
      </c>
    </row>
    <row r="28" spans="1:25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IF(K28="","",IF(AND(K28&lt;&gt;"",ISNUMBER(入力!$J$31),入力!$J$31&gt;0),$W$3+(設定!$D$17/(設定!$D$17+設定!$D$18/入力!$J$31))*(K28-$W$3),K28))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S28" s="50" t="str">
        <f>IF(Y28="","",IF(Y28&lt;=0,"達成済み",IF(Y28&lt;60,Y28&amp;"秒",INT(Y28/60)&amp;"分"&amp;TEXT(MOD(Y28,60),"00")&amp;"秒")))</f>
        <v/>
      </c>
      <c r="T28" s="26" t="str">
        <f>IF(C28="","",D28/設定!$C$27-C28)</f>
        <v/>
      </c>
      <c r="U28" s="26" t="str">
        <f>IF(C28="","",(D28-C28*設定!$C$27)/60*設定!$C$28)</f>
        <v/>
      </c>
      <c r="X28">
        <f t="shared" si="8"/>
        <v>0</v>
      </c>
      <c r="Y28" t="str">
        <f>IF(C28="","",ROUND(G28-設定!$C$27*60,0))</f>
        <v/>
      </c>
    </row>
    <row r="29" spans="1:25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IF(K29="","",IF(AND(K29&lt;&gt;"",ISNUMBER(入力!$J$32),入力!$J$32&gt;0),$W$3+(設定!$D$17/(設定!$D$17+設定!$D$18/入力!$J$32))*(K29-$W$3),K29))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S29" s="50" t="str">
        <f>IF(Y29="","",IF(Y29&lt;=0,"達成済み",IF(Y29&lt;60,Y29&amp;"秒",INT(Y29/60)&amp;"分"&amp;TEXT(MOD(Y29,60),"00")&amp;"秒")))</f>
        <v>達成済み</v>
      </c>
      <c r="T29" s="26">
        <f>IF(C29="","",D29/設定!$C$27-C29)</f>
        <v>3.75</v>
      </c>
      <c r="U29" s="26">
        <f>IF(C29="","",(D29-C29*設定!$C$27)/60*設定!$C$28)</f>
        <v>150.0</v>
      </c>
      <c r="X29">
        <f t="shared" si="8"/>
        <v>97954.954000855781</v>
      </c>
      <c r="Y29">
        <f>IF(C29="","",ROUND(G29-設定!$C$27*60,0))</f>
        <v>0.0</v>
      </c>
    </row>
    <row r="30" spans="1:25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IF(K30="","",IF(AND(K30&lt;&gt;"",ISNUMBER(入力!$J$33),入力!$J$33&gt;0),$W$3+(設定!$D$17/(設定!$D$17+設定!$D$18/入力!$J$33))*(K30-$W$3),K30))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S30" s="50" t="str">
        <f>IF(Y30="","",IF(Y30&lt;=0,"達成済み",IF(Y30&lt;60,Y30&amp;"秒",INT(Y30/60)&amp;"分"&amp;TEXT(MOD(Y30,60),"00")&amp;"秒")))</f>
        <v>53秒</v>
      </c>
      <c r="T30" s="26">
        <f>IF(C30="","",D30/設定!$C$27-C30)</f>
        <v>656.375</v>
      </c>
      <c r="U30" s="26">
        <f>IF(C30="","",(D30-C30*設定!$C$27)/60*設定!$C$28)</f>
        <v>26254.999999999996</v>
      </c>
      <c r="X30">
        <f t="shared" si="8"/>
        <v>77727.213500962738</v>
      </c>
      <c r="Y30">
        <f>IF(C30="","",ROUND(G30-設定!$C$27*60,0))</f>
        <v>53.0</v>
      </c>
    </row>
    <row r="31" spans="1:25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IF(K31="","",IF(AND(K31&lt;&gt;"",ISNUMBER(入力!$J$34),入力!$J$34&gt;0),$W$3+(設定!$D$17/(設定!$D$17+設定!$D$18/入力!$J$34))*(K31-$W$3),K31))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S31" s="50" t="str">
        <f>IF(Y31="","",IF(Y31&lt;=0,"達成済み",IF(Y31&lt;60,Y31&amp;"秒",INT(Y31/60)&amp;"分"&amp;TEXT(MOD(Y31,60),"00")&amp;"秒")))</f>
        <v/>
      </c>
      <c r="T31" s="26" t="str">
        <f>IF(C31="","",D31/設定!$C$27-C31)</f>
        <v/>
      </c>
      <c r="U31" s="26" t="str">
        <f>IF(C31="","",(D31-C31*設定!$C$27)/60*設定!$C$28)</f>
        <v/>
      </c>
      <c r="X31">
        <f t="shared" si="8"/>
        <v>0</v>
      </c>
      <c r="Y31" t="str">
        <f>IF(C31="","",ROUND(G31-設定!$C$27*60,0))</f>
        <v/>
      </c>
    </row>
    <row r="32" spans="1:25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IF(K32="","",IF(AND(K32&lt;&gt;"",ISNUMBER(入力!$J$35),入力!$J$35&gt;0),$W$3+(設定!$D$17/(設定!$D$17+設定!$D$18/入力!$J$35))*(K32-$W$3),K32))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S32" s="50" t="str">
        <f>IF(Y32="","",IF(Y32&lt;=0,"達成済み",IF(Y32&lt;60,Y32&amp;"秒",INT(Y32/60)&amp;"分"&amp;TEXT(MOD(Y32,60),"00")&amp;"秒")))</f>
        <v/>
      </c>
      <c r="T32" s="26" t="str">
        <f>IF(C32="","",D32/設定!$C$27-C32)</f>
        <v/>
      </c>
      <c r="U32" s="26" t="str">
        <f>IF(C32="","",(D32-C32*設定!$C$27)/60*設定!$C$28)</f>
        <v/>
      </c>
      <c r="X32">
        <f t="shared" si="8"/>
        <v>0</v>
      </c>
      <c r="Y32" t="str">
        <f>IF(C32="","",ROUND(G32-設定!$C$27*60,0))</f>
        <v/>
      </c>
    </row>
    <row r="33" spans="1:25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IF(K33="","",IF(AND(K33&lt;&gt;"",ISNUMBER(入力!$J$36),入力!$J$36&gt;0),$W$3+(設定!$D$17/(設定!$D$17+設定!$D$18/入力!$J$36))*(K33-$W$3),K33))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S33" s="50" t="str">
        <f>IF(Y33="","",IF(Y33&lt;=0,"達成済み",IF(Y33&lt;60,Y33&amp;"秒",INT(Y33/60)&amp;"分"&amp;TEXT(MOD(Y33,60),"00")&amp;"秒")))</f>
        <v/>
      </c>
      <c r="T33" s="26" t="str">
        <f>IF(C33="","",D33/設定!$C$27-C33)</f>
        <v/>
      </c>
      <c r="U33" s="26" t="str">
        <f>IF(C33="","",(D33-C33*設定!$C$27)/60*設定!$C$28)</f>
        <v/>
      </c>
      <c r="X33">
        <f t="shared" si="8"/>
        <v>0</v>
      </c>
      <c r="Y33" t="str">
        <f>IF(C33="","",ROUND(G33-設定!$C$27*60,0))</f>
        <v/>
      </c>
    </row>
    <row r="34" spans="1:25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IF(K34="","",IF(AND(K34&lt;&gt;"",ISNUMBER(入力!$J$37),入力!$J$37&gt;0),$W$3+(設定!$D$17/(設定!$D$17+設定!$D$18/入力!$J$37))*(K34-$W$3),K34))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S34" s="50" t="str">
        <f>IF(Y34="","",IF(Y34&lt;=0,"達成済み",IF(Y34&lt;60,Y34&amp;"秒",INT(Y34/60)&amp;"分"&amp;TEXT(MOD(Y34,60),"00")&amp;"秒")))</f>
        <v/>
      </c>
      <c r="T34" s="26" t="str">
        <f>IF(C34="","",D34/設定!$C$27-C34)</f>
        <v/>
      </c>
      <c r="U34" s="26" t="str">
        <f>IF(C34="","",(D34-C34*設定!$C$27)/60*設定!$C$28)</f>
        <v/>
      </c>
      <c r="X34">
        <f t="shared" si="8"/>
        <v>0</v>
      </c>
      <c r="Y34" t="str">
        <f>IF(C34="","",ROUND(G34-設定!$C$27*60,0))</f>
        <v/>
      </c>
    </row>
    <row r="35" spans="1:25" x14ac:dyDescent="0.15">
      <c r="A35" s="48">
        <f t="shared" si="0"/>
        <v>7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IF(K35="","",IF(AND(K35&lt;&gt;"",ISNUMBER(入力!$J$38),入力!$J$38&gt;0),$W$3+(設定!$D$17/(設定!$D$17+設定!$D$18/入力!$J$38))*(K35-$W$3),K35))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S35" s="50" t="str">
        <f>IF(Y35="","",IF(Y35&lt;=0,"達成済み",IF(Y35&lt;60,Y35&amp;"秒",INT(Y35/60)&amp;"分"&amp;TEXT(MOD(Y35,60),"00")&amp;"秒")))</f>
        <v>達成済み</v>
      </c>
      <c r="T35" s="26">
        <f>IF(C35="","",D35/設定!$C$27-C35)</f>
        <v>-144.75</v>
      </c>
      <c r="U35" s="26">
        <f>IF(C35="","",(D35-C35*設定!$C$27)/60*設定!$C$28)</f>
        <v>-5790.000000000003</v>
      </c>
      <c r="X35">
        <f t="shared" si="8"/>
        <v>137050.41700773078</v>
      </c>
      <c r="Y35">
        <f>IF(C35="","",ROUND(G35-設定!$C$27*60,0))</f>
        <v>-13.0</v>
      </c>
    </row>
    <row r="36" spans="1:25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IF(K36="","",IF(AND(K36&lt;&gt;"",ISNUMBER(入力!$J$39),入力!$J$39&gt;0),$W$3+(設定!$D$17/(設定!$D$17+設定!$D$18/入力!$J$39))*(K36-$W$3),K36))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S36" s="50" t="str">
        <f>IF(Y36="","",IF(Y36&lt;=0,"達成済み",IF(Y36&lt;60,Y36&amp;"秒",INT(Y36/60)&amp;"分"&amp;TEXT(MOD(Y36,60),"00")&amp;"秒")))</f>
        <v/>
      </c>
      <c r="T36" s="26" t="str">
        <f>IF(C36="","",D36/設定!$C$27-C36)</f>
        <v/>
      </c>
      <c r="U36" s="26" t="str">
        <f>IF(C36="","",(D36-C36*設定!$C$27)/60*設定!$C$28)</f>
        <v/>
      </c>
      <c r="X36">
        <f t="shared" si="8"/>
        <v>0</v>
      </c>
      <c r="Y36" t="str">
        <f>IF(C36="","",ROUND(G36-設定!$C$27*60,0))</f>
        <v/>
      </c>
    </row>
    <row r="37" spans="1:25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IF(K37="","",IF(AND(K37&lt;&gt;"",ISNUMBER(入力!$J$40),入力!$J$40&gt;0),$W$3+(設定!$D$17/(設定!$D$17+設定!$D$18/入力!$J$40))*(K37-$W$3),K37))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S37" s="50" t="str">
        <f>IF(Y37="","",IF(Y37&lt;=0,"達成済み",IF(Y37&lt;60,Y37&amp;"秒",INT(Y37/60)&amp;"分"&amp;TEXT(MOD(Y37,60),"00")&amp;"秒")))</f>
        <v/>
      </c>
      <c r="T37" s="26" t="str">
        <f>IF(C37="","",D37/設定!$C$27-C37)</f>
        <v/>
      </c>
      <c r="U37" s="26" t="str">
        <f>IF(C37="","",(D37-C37*設定!$C$27)/60*設定!$C$28)</f>
        <v/>
      </c>
      <c r="X37">
        <f t="shared" si="8"/>
        <v>0</v>
      </c>
      <c r="Y37" t="str">
        <f>IF(C37="","",ROUND(G37-設定!$C$27*60,0))</f>
        <v/>
      </c>
    </row>
    <row r="38" spans="1:25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IF(K38="","",IF(AND(K38&lt;&gt;"",ISNUMBER(入力!$J$41),入力!$J$41&gt;0),$W$3+(設定!$D$17/(設定!$D$17+設定!$D$18/入力!$J$41))*(K38-$W$3),K38))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S38" s="50" t="str">
        <f>IF(Y38="","",IF(Y38&lt;=0,"達成済み",IF(Y38&lt;60,Y38&amp;"秒",INT(Y38/60)&amp;"分"&amp;TEXT(MOD(Y38,60),"00")&amp;"秒")))</f>
        <v/>
      </c>
      <c r="T38" s="26" t="str">
        <f>IF(C38="","",D38/設定!$C$27-C38)</f>
        <v/>
      </c>
      <c r="U38" s="26" t="str">
        <f>IF(C38="","",(D38-C38*設定!$C$27)/60*設定!$C$28)</f>
        <v/>
      </c>
      <c r="X38">
        <f t="shared" si="8"/>
        <v>0</v>
      </c>
      <c r="Y38" t="str">
        <f>IF(C38="","",ROUND(G38-設定!$C$27*60,0))</f>
        <v/>
      </c>
    </row>
    <row r="39" spans="1:25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IF(K39="","",IF(AND(K39&lt;&gt;"",ISNUMBER(入力!$J$42),入力!$J$42&gt;0),$W$3+(設定!$D$17/(設定!$D$17+設定!$D$18/入力!$J$42))*(K39-$W$3),K39))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S39" s="50" t="str">
        <f>IF(Y39="","",IF(Y39&lt;=0,"達成済み",IF(Y39&lt;60,Y39&amp;"秒",INT(Y39/60)&amp;"分"&amp;TEXT(MOD(Y39,60),"00")&amp;"秒")))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X39">
        <f t="shared" ref="X39:X66" si="17">IF(K39="",0,K39*C39)</f>
        <v>0</v>
      </c>
      <c r="Y39" t="str">
        <f>IF(C39="","",ROUND(G39-設定!$C$27*60,0))</f>
        <v/>
      </c>
    </row>
    <row r="40" spans="1:25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IF(K40="","",IF(AND(K40&lt;&gt;"",ISNUMBER(入力!$J$43),入力!$J$43&gt;0),$W$3+(設定!$D$17/(設定!$D$17+設定!$D$18/入力!$J$43))*(K40-$W$3),K40))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S40" s="50" t="str">
        <f>IF(Y40="","",IF(Y40&lt;=0,"達成済み",IF(Y40&lt;60,Y40&amp;"秒",INT(Y40/60)&amp;"分"&amp;TEXT(MOD(Y40,60),"00")&amp;"秒")))</f>
        <v/>
      </c>
      <c r="T40" s="26" t="str">
        <f>IF(C40="","",D40/設定!$C$27-C40)</f>
        <v/>
      </c>
      <c r="U40" s="26" t="str">
        <f>IF(C40="","",(D40-C40*設定!$C$27)/60*設定!$C$28)</f>
        <v/>
      </c>
      <c r="X40">
        <f t="shared" si="17"/>
        <v>0</v>
      </c>
      <c r="Y40" t="str">
        <f>IF(C40="","",ROUND(G40-設定!$C$27*60,0))</f>
        <v/>
      </c>
    </row>
    <row r="41" spans="1:25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IF(K41="","",IF(AND(K41&lt;&gt;"",ISNUMBER(入力!$J$44),入力!$J$44&gt;0),$W$3+(設定!$D$17/(設定!$D$17+設定!$D$18/入力!$J$44))*(K41-$W$3),K41))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S41" s="50" t="str">
        <f>IF(Y41="","",IF(Y41&lt;=0,"達成済み",IF(Y41&lt;60,Y41&amp;"秒",INT(Y41/60)&amp;"分"&amp;TEXT(MOD(Y41,60),"00")&amp;"秒")))</f>
        <v/>
      </c>
      <c r="T41" s="26" t="str">
        <f>IF(C41="","",D41/設定!$C$27-C41)</f>
        <v/>
      </c>
      <c r="U41" s="26" t="str">
        <f>IF(C41="","",(D41-C41*設定!$C$27)/60*設定!$C$28)</f>
        <v/>
      </c>
      <c r="X41">
        <f t="shared" si="17"/>
        <v>0</v>
      </c>
      <c r="Y41" t="str">
        <f>IF(C41="","",ROUND(G41-設定!$C$27*60,0))</f>
        <v/>
      </c>
    </row>
    <row r="42" spans="1:25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IF(K42="","",IF(AND(K42&lt;&gt;"",ISNUMBER(入力!$J$45),入力!$J$45&gt;0),$W$3+(設定!$D$17/(設定!$D$17+設定!$D$18/入力!$J$45))*(K42-$W$3),K42))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S42" s="50" t="str">
        <f>IF(Y42="","",IF(Y42&lt;=0,"達成済み",IF(Y42&lt;60,Y42&amp;"秒",INT(Y42/60)&amp;"分"&amp;TEXT(MOD(Y42,60),"00")&amp;"秒")))</f>
        <v/>
      </c>
      <c r="T42" s="26" t="str">
        <f>IF(C42="","",D42/設定!$C$27-C42)</f>
        <v/>
      </c>
      <c r="U42" s="26" t="str">
        <f>IF(C42="","",(D42-C42*設定!$C$27)/60*設定!$C$28)</f>
        <v/>
      </c>
      <c r="X42">
        <f t="shared" si="17"/>
        <v>0</v>
      </c>
      <c r="Y42" t="str">
        <f>IF(C42="","",ROUND(G42-設定!$C$27*60,0))</f>
        <v/>
      </c>
    </row>
    <row r="43" spans="1:25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IF(K43="","",IF(AND(K43&lt;&gt;"",ISNUMBER(入力!$J$46),入力!$J$46&gt;0),$W$3+(設定!$D$17/(設定!$D$17+設定!$D$18/入力!$J$46))*(K43-$W$3),K43))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S43" s="50" t="str">
        <f>IF(Y43="","",IF(Y43&lt;=0,"達成済み",IF(Y43&lt;60,Y43&amp;"秒",INT(Y43/60)&amp;"分"&amp;TEXT(MOD(Y43,60),"00")&amp;"秒")))</f>
        <v/>
      </c>
      <c r="T43" s="26" t="str">
        <f>IF(C43="","",D43/設定!$C$27-C43)</f>
        <v/>
      </c>
      <c r="U43" s="26" t="str">
        <f>IF(C43="","",(D43-C43*設定!$C$27)/60*設定!$C$28)</f>
        <v/>
      </c>
      <c r="X43">
        <f t="shared" si="17"/>
        <v>0</v>
      </c>
      <c r="Y43" t="str">
        <f>IF(C43="","",ROUND(G43-設定!$C$27*60,0))</f>
        <v/>
      </c>
    </row>
    <row r="44" spans="1:25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IF(K44="","",IF(AND(K44&lt;&gt;"",ISNUMBER(入力!$J$47),入力!$J$47&gt;0),$W$3+(設定!$D$17/(設定!$D$17+設定!$D$18/入力!$J$47))*(K44-$W$3),K44))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S44" s="50" t="str">
        <f>IF(Y44="","",IF(Y44&lt;=0,"達成済み",IF(Y44&lt;60,Y44&amp;"秒",INT(Y44/60)&amp;"分"&amp;TEXT(MOD(Y44,60),"00")&amp;"秒")))</f>
        <v/>
      </c>
      <c r="T44" s="26" t="str">
        <f>IF(C44="","",D44/設定!$C$27-C44)</f>
        <v/>
      </c>
      <c r="U44" s="26" t="str">
        <f>IF(C44="","",(D44-C44*設定!$C$27)/60*設定!$C$28)</f>
        <v/>
      </c>
      <c r="X44">
        <f t="shared" si="17"/>
        <v>0</v>
      </c>
      <c r="Y44" t="str">
        <f>IF(C44="","",ROUND(G44-設定!$C$27*60,0))</f>
        <v/>
      </c>
    </row>
    <row r="45" spans="1:25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IF(K45="","",IF(AND(K45&lt;&gt;"",ISNUMBER(入力!$J$48),入力!$J$48&gt;0),$W$3+(設定!$D$17/(設定!$D$17+設定!$D$18/入力!$J$48))*(K45-$W$3),K45))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S45" s="50" t="str">
        <f>IF(Y45="","",IF(Y45&lt;=0,"達成済み",IF(Y45&lt;60,Y45&amp;"秒",INT(Y45/60)&amp;"分"&amp;TEXT(MOD(Y45,60),"00")&amp;"秒")))</f>
        <v/>
      </c>
      <c r="T45" s="26" t="str">
        <f>IF(C45="","",D45/設定!$C$27-C45)</f>
        <v/>
      </c>
      <c r="U45" s="26" t="str">
        <f>IF(C45="","",(D45-C45*設定!$C$27)/60*設定!$C$28)</f>
        <v/>
      </c>
      <c r="X45">
        <f t="shared" si="17"/>
        <v>0</v>
      </c>
      <c r="Y45" t="str">
        <f>IF(C45="","",ROUND(G45-設定!$C$27*60,0))</f>
        <v/>
      </c>
    </row>
    <row r="46" spans="1:25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IF(K46="","",IF(AND(K46&lt;&gt;"",ISNUMBER(入力!$J$49),入力!$J$49&gt;0),$W$3+(設定!$D$17/(設定!$D$17+設定!$D$18/入力!$J$49))*(K46-$W$3),K46))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S46" s="50" t="str">
        <f>IF(Y46="","",IF(Y46&lt;=0,"達成済み",IF(Y46&lt;60,Y46&amp;"秒",INT(Y46/60)&amp;"分"&amp;TEXT(MOD(Y46,60),"00")&amp;"秒")))</f>
        <v/>
      </c>
      <c r="T46" s="26" t="str">
        <f>IF(C46="","",D46/設定!$C$27-C46)</f>
        <v/>
      </c>
      <c r="U46" s="26" t="str">
        <f>IF(C46="","",(D46-C46*設定!$C$27)/60*設定!$C$28)</f>
        <v/>
      </c>
      <c r="X46">
        <f t="shared" si="17"/>
        <v>0</v>
      </c>
      <c r="Y46" t="str">
        <f>IF(C46="","",ROUND(G46-設定!$C$27*60,0))</f>
        <v/>
      </c>
    </row>
    <row r="47" spans="1:25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IF(K47="","",IF(AND(K47&lt;&gt;"",ISNUMBER(入力!$J$50),入力!$J$50&gt;0),$W$3+(設定!$D$17/(設定!$D$17+設定!$D$18/入力!$J$50))*(K47-$W$3),K47))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S47" s="50" t="str">
        <f>IF(Y47="","",IF(Y47&lt;=0,"達成済み",IF(Y47&lt;60,Y47&amp;"秒",INT(Y47/60)&amp;"分"&amp;TEXT(MOD(Y47,60),"00")&amp;"秒")))</f>
        <v/>
      </c>
      <c r="T47" s="26" t="str">
        <f>IF(C47="","",D47/設定!$C$27-C47)</f>
        <v/>
      </c>
      <c r="U47" s="26" t="str">
        <f>IF(C47="","",(D47-C47*設定!$C$27)/60*設定!$C$28)</f>
        <v/>
      </c>
      <c r="X47">
        <f t="shared" si="17"/>
        <v>0</v>
      </c>
      <c r="Y47" t="str">
        <f>IF(C47="","",ROUND(G47-設定!$C$27*60,0))</f>
        <v/>
      </c>
    </row>
    <row r="48" spans="1:25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IF(K48="","",IF(AND(K48&lt;&gt;"",ISNUMBER(入力!$J$51),入力!$J$51&gt;0),$W$3+(設定!$D$17/(設定!$D$17+設定!$D$18/入力!$J$51))*(K48-$W$3),K48))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S48" s="50" t="str">
        <f>IF(Y48="","",IF(Y48&lt;=0,"達成済み",IF(Y48&lt;60,Y48&amp;"秒",INT(Y48/60)&amp;"分"&amp;TEXT(MOD(Y48,60),"00")&amp;"秒")))</f>
        <v/>
      </c>
      <c r="T48" s="26" t="str">
        <f>IF(C48="","",D48/設定!$C$27-C48)</f>
        <v/>
      </c>
      <c r="U48" s="26" t="str">
        <f>IF(C48="","",(D48-C48*設定!$C$27)/60*設定!$C$28)</f>
        <v/>
      </c>
      <c r="X48">
        <f t="shared" si="17"/>
        <v>0</v>
      </c>
      <c r="Y48" t="str">
        <f>IF(C48="","",ROUND(G48-設定!$C$27*60,0))</f>
        <v/>
      </c>
    </row>
    <row r="49" spans="1:25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IF(K49="","",IF(AND(K49&lt;&gt;"",ISNUMBER(入力!$J$52),入力!$J$52&gt;0),$W$3+(設定!$D$17/(設定!$D$17+設定!$D$18/入力!$J$52))*(K49-$W$3),K49))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S49" s="50" t="str">
        <f>IF(Y49="","",IF(Y49&lt;=0,"達成済み",IF(Y49&lt;60,Y49&amp;"秒",INT(Y49/60)&amp;"分"&amp;TEXT(MOD(Y49,60),"00")&amp;"秒")))</f>
        <v/>
      </c>
      <c r="T49" s="26" t="str">
        <f>IF(C49="","",D49/設定!$C$27-C49)</f>
        <v/>
      </c>
      <c r="U49" s="26" t="str">
        <f>IF(C49="","",(D49-C49*設定!$C$27)/60*設定!$C$28)</f>
        <v/>
      </c>
      <c r="X49">
        <f t="shared" si="17"/>
        <v>0</v>
      </c>
      <c r="Y49" t="str">
        <f>IF(C49="","",ROUND(G49-設定!$C$27*60,0))</f>
        <v/>
      </c>
    </row>
    <row r="50" spans="1:25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IF(K50="","",IF(AND(K50&lt;&gt;"",ISNUMBER(入力!$J$53),入力!$J$53&gt;0),$W$3+(設定!$D$17/(設定!$D$17+設定!$D$18/入力!$J$53))*(K50-$W$3),K50))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S50" s="50" t="str">
        <f>IF(Y50="","",IF(Y50&lt;=0,"達成済み",IF(Y50&lt;60,Y50&amp;"秒",INT(Y50/60)&amp;"分"&amp;TEXT(MOD(Y50,60),"00")&amp;"秒")))</f>
        <v/>
      </c>
      <c r="T50" s="26" t="str">
        <f>IF(C50="","",D50/設定!$C$27-C50)</f>
        <v/>
      </c>
      <c r="U50" s="26" t="str">
        <f>IF(C50="","",(D50-C50*設定!$C$27)/60*設定!$C$28)</f>
        <v/>
      </c>
      <c r="X50">
        <f t="shared" si="17"/>
        <v>0</v>
      </c>
      <c r="Y50" t="str">
        <f>IF(C50="","",ROUND(G50-設定!$C$27*60,0))</f>
        <v/>
      </c>
    </row>
    <row r="51" spans="1:25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IF(K51="","",IF(AND(K51&lt;&gt;"",ISNUMBER(入力!$J$54),入力!$J$54&gt;0),$W$3+(設定!$D$17/(設定!$D$17+設定!$D$18/入力!$J$54))*(K51-$W$3),K51))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S51" s="50" t="str">
        <f>IF(Y51="","",IF(Y51&lt;=0,"達成済み",IF(Y51&lt;60,Y51&amp;"秒",INT(Y51/60)&amp;"分"&amp;TEXT(MOD(Y51,60),"00")&amp;"秒")))</f>
        <v/>
      </c>
      <c r="T51" s="26" t="str">
        <f>IF(C51="","",D51/設定!$C$27-C51)</f>
        <v/>
      </c>
      <c r="U51" s="26" t="str">
        <f>IF(C51="","",(D51-C51*設定!$C$27)/60*設定!$C$28)</f>
        <v/>
      </c>
      <c r="X51">
        <f t="shared" si="17"/>
        <v>0</v>
      </c>
      <c r="Y51" t="str">
        <f>IF(C51="","",ROUND(G51-設定!$C$27*60,0))</f>
        <v/>
      </c>
    </row>
    <row r="52" spans="1:25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IF(K52="","",IF(AND(K52&lt;&gt;"",ISNUMBER(入力!$J$55),入力!$J$55&gt;0),$W$3+(設定!$D$17/(設定!$D$17+設定!$D$18/入力!$J$55))*(K52-$W$3),K52))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S52" s="50" t="str">
        <f>IF(Y52="","",IF(Y52&lt;=0,"達成済み",IF(Y52&lt;60,Y52&amp;"秒",INT(Y52/60)&amp;"分"&amp;TEXT(MOD(Y52,60),"00")&amp;"秒")))</f>
        <v/>
      </c>
      <c r="T52" s="26" t="str">
        <f>IF(C52="","",D52/設定!$C$27-C52)</f>
        <v/>
      </c>
      <c r="U52" s="26" t="str">
        <f>IF(C52="","",(D52-C52*設定!$C$27)/60*設定!$C$28)</f>
        <v/>
      </c>
      <c r="X52">
        <f t="shared" si="17"/>
        <v>0</v>
      </c>
      <c r="Y52" t="str">
        <f>IF(C52="","",ROUND(G52-設定!$C$27*60,0))</f>
        <v/>
      </c>
    </row>
    <row r="53" spans="1:25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IF(K53="","",IF(AND(K53&lt;&gt;"",ISNUMBER(入力!$J$56),入力!$J$56&gt;0),$W$3+(設定!$D$17/(設定!$D$17+設定!$D$18/入力!$J$56))*(K53-$W$3),K53))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S53" s="50" t="str">
        <f>IF(Y53="","",IF(Y53&lt;=0,"達成済み",IF(Y53&lt;60,Y53&amp;"秒",INT(Y53/60)&amp;"分"&amp;TEXT(MOD(Y53,60),"00")&amp;"秒")))</f>
        <v/>
      </c>
      <c r="T53" s="26" t="str">
        <f>IF(C53="","",D53/設定!$C$27-C53)</f>
        <v/>
      </c>
      <c r="U53" s="26" t="str">
        <f>IF(C53="","",(D53-C53*設定!$C$27)/60*設定!$C$28)</f>
        <v/>
      </c>
      <c r="X53">
        <f t="shared" si="17"/>
        <v>0</v>
      </c>
      <c r="Y53" t="str">
        <f>IF(C53="","",ROUND(G53-設定!$C$27*60,0))</f>
        <v/>
      </c>
    </row>
    <row r="54" spans="1:25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IF(K54="","",IF(AND(K54&lt;&gt;"",ISNUMBER(入力!$J$57),入力!$J$57&gt;0),$W$3+(設定!$D$17/(設定!$D$17+設定!$D$18/入力!$J$57))*(K54-$W$3),K54))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S54" s="50" t="str">
        <f>IF(Y54="","",IF(Y54&lt;=0,"達成済み",IF(Y54&lt;60,Y54&amp;"秒",INT(Y54/60)&amp;"分"&amp;TEXT(MOD(Y54,60),"00")&amp;"秒")))</f>
        <v/>
      </c>
      <c r="T54" s="26" t="str">
        <f>IF(C54="","",D54/設定!$C$27-C54)</f>
        <v/>
      </c>
      <c r="U54" s="26" t="str">
        <f>IF(C54="","",(D54-C54*設定!$C$27)/60*設定!$C$28)</f>
        <v/>
      </c>
      <c r="X54">
        <f t="shared" si="17"/>
        <v>0</v>
      </c>
      <c r="Y54" t="str">
        <f>IF(C54="","",ROUND(G54-設定!$C$27*60,0))</f>
        <v/>
      </c>
    </row>
    <row r="55" spans="1:25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IF(K55="","",IF(AND(K55&lt;&gt;"",ISNUMBER(入力!$J$58),入力!$J$58&gt;0),$W$3+(設定!$D$17/(設定!$D$17+設定!$D$18/入力!$J$58))*(K55-$W$3),K55))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S55" s="50" t="str">
        <f>IF(Y55="","",IF(Y55&lt;=0,"達成済み",IF(Y55&lt;60,Y55&amp;"秒",INT(Y55/60)&amp;"分"&amp;TEXT(MOD(Y55,60),"00")&amp;"秒")))</f>
        <v/>
      </c>
      <c r="T55" s="26" t="str">
        <f>IF(C55="","",D55/設定!$C$27-C55)</f>
        <v/>
      </c>
      <c r="U55" s="26" t="str">
        <f>IF(C55="","",(D55-C55*設定!$C$27)/60*設定!$C$28)</f>
        <v/>
      </c>
      <c r="X55">
        <f t="shared" si="17"/>
        <v>0</v>
      </c>
      <c r="Y55" t="str">
        <f>IF(C55="","",ROUND(G55-設定!$C$27*60,0))</f>
        <v/>
      </c>
    </row>
    <row r="56" spans="1:25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IF(K56="","",IF(AND(K56&lt;&gt;"",ISNUMBER(入力!$J$59),入力!$J$59&gt;0),$W$3+(設定!$D$17/(設定!$D$17+設定!$D$18/入力!$J$59))*(K56-$W$3),K56))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S56" s="50" t="str">
        <f>IF(Y56="","",IF(Y56&lt;=0,"達成済み",IF(Y56&lt;60,Y56&amp;"秒",INT(Y56/60)&amp;"分"&amp;TEXT(MOD(Y56,60),"00")&amp;"秒")))</f>
        <v/>
      </c>
      <c r="T56" s="26" t="str">
        <f>IF(C56="","",D56/設定!$C$27-C56)</f>
        <v/>
      </c>
      <c r="U56" s="26" t="str">
        <f>IF(C56="","",(D56-C56*設定!$C$27)/60*設定!$C$28)</f>
        <v/>
      </c>
      <c r="X56">
        <f t="shared" si="17"/>
        <v>0</v>
      </c>
      <c r="Y56" t="str">
        <f>IF(C56="","",ROUND(G56-設定!$C$27*60,0))</f>
        <v/>
      </c>
    </row>
    <row r="57" spans="1:25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IF(K57="","",IF(AND(K57&lt;&gt;"",ISNUMBER(入力!$J$60),入力!$J$60&gt;0),$W$3+(設定!$D$17/(設定!$D$17+設定!$D$18/入力!$J$60))*(K57-$W$3),K57))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S57" s="50" t="str">
        <f>IF(Y57="","",IF(Y57&lt;=0,"達成済み",IF(Y57&lt;60,Y57&amp;"秒",INT(Y57/60)&amp;"分"&amp;TEXT(MOD(Y57,60),"00")&amp;"秒")))</f>
        <v/>
      </c>
      <c r="T57" s="26" t="str">
        <f>IF(C57="","",D57/設定!$C$27-C57)</f>
        <v/>
      </c>
      <c r="U57" s="26" t="str">
        <f>IF(C57="","",(D57-C57*設定!$C$27)/60*設定!$C$28)</f>
        <v/>
      </c>
      <c r="X57">
        <f t="shared" si="17"/>
        <v>0</v>
      </c>
      <c r="Y57" t="str">
        <f>IF(C57="","",ROUND(G57-設定!$C$27*60,0))</f>
        <v/>
      </c>
    </row>
    <row r="58" spans="1:25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IF(K58="","",IF(AND(K58&lt;&gt;"",ISNUMBER(入力!$J$61),入力!$J$61&gt;0),$W$3+(設定!$D$17/(設定!$D$17+設定!$D$18/入力!$J$61))*(K58-$W$3),K58))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S58" s="50" t="str">
        <f>IF(Y58="","",IF(Y58&lt;=0,"達成済み",IF(Y58&lt;60,Y58&amp;"秒",INT(Y58/60)&amp;"分"&amp;TEXT(MOD(Y58,60),"00")&amp;"秒")))</f>
        <v/>
      </c>
      <c r="T58" s="26" t="str">
        <f>IF(C58="","",D58/設定!$C$27-C58)</f>
        <v/>
      </c>
      <c r="U58" s="26" t="str">
        <f>IF(C58="","",(D58-C58*設定!$C$27)/60*設定!$C$28)</f>
        <v/>
      </c>
      <c r="X58">
        <f t="shared" si="17"/>
        <v>0</v>
      </c>
      <c r="Y58" t="str">
        <f>IF(C58="","",ROUND(G58-設定!$C$27*60,0))</f>
        <v/>
      </c>
    </row>
    <row r="59" spans="1:25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IF(K59="","",IF(AND(K59&lt;&gt;"",ISNUMBER(入力!$J$62),入力!$J$62&gt;0),$W$3+(設定!$D$17/(設定!$D$17+設定!$D$18/入力!$J$62))*(K59-$W$3),K59))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S59" s="50" t="str">
        <f>IF(Y59="","",IF(Y59&lt;=0,"達成済み",IF(Y59&lt;60,Y59&amp;"秒",INT(Y59/60)&amp;"分"&amp;TEXT(MOD(Y59,60),"00")&amp;"秒")))</f>
        <v/>
      </c>
      <c r="T59" s="26" t="str">
        <f>IF(C59="","",D59/設定!$C$27-C59)</f>
        <v/>
      </c>
      <c r="U59" s="26" t="str">
        <f>IF(C59="","",(D59-C59*設定!$C$27)/60*設定!$C$28)</f>
        <v/>
      </c>
      <c r="X59">
        <f t="shared" si="17"/>
        <v>0</v>
      </c>
      <c r="Y59" t="str">
        <f>IF(C59="","",ROUND(G59-設定!$C$27*60,0))</f>
        <v/>
      </c>
    </row>
    <row r="60" spans="1:25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IF(K60="","",IF(AND(K60&lt;&gt;"",ISNUMBER(入力!$J$63),入力!$J$63&gt;0),$W$3+(設定!$D$17/(設定!$D$17+設定!$D$18/入力!$J$63))*(K60-$W$3),K60))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S60" s="50" t="str">
        <f>IF(Y60="","",IF(Y60&lt;=0,"達成済み",IF(Y60&lt;60,Y60&amp;"秒",INT(Y60/60)&amp;"分"&amp;TEXT(MOD(Y60,60),"00")&amp;"秒")))</f>
        <v/>
      </c>
      <c r="T60" s="26" t="str">
        <f>IF(C60="","",D60/設定!$C$27-C60)</f>
        <v/>
      </c>
      <c r="U60" s="26" t="str">
        <f>IF(C60="","",(D60-C60*設定!$C$27)/60*設定!$C$28)</f>
        <v/>
      </c>
      <c r="X60">
        <f t="shared" si="17"/>
        <v>0</v>
      </c>
      <c r="Y60" t="str">
        <f>IF(C60="","",ROUND(G60-設定!$C$27*60,0))</f>
        <v/>
      </c>
    </row>
    <row r="61" spans="1:25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IF(K61="","",IF(AND(K61&lt;&gt;"",ISNUMBER(入力!$J$64),入力!$J$64&gt;0),$W$3+(設定!$D$17/(設定!$D$17+設定!$D$18/入力!$J$64))*(K61-$W$3),K61))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S61" s="50" t="str">
        <f>IF(Y61="","",IF(Y61&lt;=0,"達成済み",IF(Y61&lt;60,Y61&amp;"秒",INT(Y61/60)&amp;"分"&amp;TEXT(MOD(Y61,60),"00")&amp;"秒")))</f>
        <v/>
      </c>
      <c r="T61" s="26" t="str">
        <f>IF(C61="","",D61/設定!$C$27-C61)</f>
        <v/>
      </c>
      <c r="U61" s="26" t="str">
        <f>IF(C61="","",(D61-C61*設定!$C$27)/60*設定!$C$28)</f>
        <v/>
      </c>
      <c r="X61">
        <f t="shared" si="17"/>
        <v>0</v>
      </c>
      <c r="Y61" t="str">
        <f>IF(C61="","",ROUND(G61-設定!$C$27*60,0))</f>
        <v/>
      </c>
    </row>
    <row r="62" spans="1:25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IF(K62="","",IF(AND(K62&lt;&gt;"",ISNUMBER(入力!$J$65),入力!$J$65&gt;0),$W$3+(設定!$D$17/(設定!$D$17+設定!$D$18/入力!$J$65))*(K62-$W$3),K62))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S62" s="50" t="str">
        <f>IF(Y62="","",IF(Y62&lt;=0,"達成済み",IF(Y62&lt;60,Y62&amp;"秒",INT(Y62/60)&amp;"分"&amp;TEXT(MOD(Y62,60),"00")&amp;"秒")))</f>
        <v/>
      </c>
      <c r="T62" s="26" t="str">
        <f>IF(C62="","",D62/設定!$C$27-C62)</f>
        <v/>
      </c>
      <c r="U62" s="26" t="str">
        <f>IF(C62="","",(D62-C62*設定!$C$27)/60*設定!$C$28)</f>
        <v/>
      </c>
      <c r="X62">
        <f t="shared" si="17"/>
        <v>0</v>
      </c>
      <c r="Y62" t="str">
        <f>IF(C62="","",ROUND(G62-設定!$C$27*60,0))</f>
        <v/>
      </c>
    </row>
    <row r="63" spans="1:25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IF(K63="","",IF(AND(K63&lt;&gt;"",ISNUMBER(入力!$J$66),入力!$J$66&gt;0),$W$3+(設定!$D$17/(設定!$D$17+設定!$D$18/入力!$J$66))*(K63-$W$3),K63))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S63" s="50" t="str">
        <f>IF(Y63="","",IF(Y63&lt;=0,"達成済み",IF(Y63&lt;60,Y63&amp;"秒",INT(Y63/60)&amp;"分"&amp;TEXT(MOD(Y63,60),"00")&amp;"秒")))</f>
        <v/>
      </c>
      <c r="T63" s="26" t="str">
        <f>IF(C63="","",D63/設定!$C$27-C63)</f>
        <v/>
      </c>
      <c r="U63" s="26" t="str">
        <f>IF(C63="","",(D63-C63*設定!$C$27)/60*設定!$C$28)</f>
        <v/>
      </c>
      <c r="X63">
        <f t="shared" si="17"/>
        <v>0</v>
      </c>
      <c r="Y63" t="str">
        <f>IF(C63="","",ROUND(G63-設定!$C$27*60,0))</f>
        <v/>
      </c>
    </row>
    <row r="64" spans="1:25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IF(K64="","",IF(AND(K64&lt;&gt;"",ISNUMBER(入力!$J$67),入力!$J$67&gt;0),$W$3+(設定!$D$17/(設定!$D$17+設定!$D$18/入力!$J$67))*(K64-$W$3),K64))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S64" s="50" t="str">
        <f>IF(Y64="","",IF(Y64&lt;=0,"達成済み",IF(Y64&lt;60,Y64&amp;"秒",INT(Y64/60)&amp;"分"&amp;TEXT(MOD(Y64,60),"00")&amp;"秒")))</f>
        <v/>
      </c>
      <c r="T64" s="26" t="str">
        <f>IF(C64="","",D64/設定!$C$27-C64)</f>
        <v/>
      </c>
      <c r="U64" s="26" t="str">
        <f>IF(C64="","",(D64-C64*設定!$C$27)/60*設定!$C$28)</f>
        <v/>
      </c>
      <c r="X64">
        <f t="shared" si="17"/>
        <v>0</v>
      </c>
      <c r="Y64" t="str">
        <f>IF(C64="","",ROUND(G64-設定!$C$27*60,0))</f>
        <v/>
      </c>
    </row>
    <row r="65" spans="1:25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IF(K65="","",IF(AND(K65&lt;&gt;"",ISNUMBER(入力!$J$68),入力!$J$68&gt;0),$W$3+(設定!$D$17/(設定!$D$17+設定!$D$18/入力!$J$68))*(K65-$W$3),K65))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S65" s="50" t="str">
        <f>IF(Y65="","",IF(Y65&lt;=0,"達成済み",IF(Y65&lt;60,Y65&amp;"秒",INT(Y65/60)&amp;"分"&amp;TEXT(MOD(Y65,60),"00")&amp;"秒")))</f>
        <v/>
      </c>
      <c r="T65" s="26" t="str">
        <f>IF(C65="","",D65/設定!$C$27-C65)</f>
        <v/>
      </c>
      <c r="U65" s="26" t="str">
        <f>IF(C65="","",(D65-C65*設定!$C$27)/60*設定!$C$28)</f>
        <v/>
      </c>
      <c r="X65">
        <f t="shared" si="17"/>
        <v>0</v>
      </c>
      <c r="Y65" t="str">
        <f>IF(C65="","",ROUND(G65-設定!$C$27*60,0))</f>
        <v/>
      </c>
    </row>
    <row r="66" spans="1:25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IF(K66="","",IF(AND(K66&lt;&gt;"",ISNUMBER(入力!$J$69),入力!$J$69&gt;0),$W$3+(設定!$D$17/(設定!$D$17+設定!$D$18/入力!$J$69))*(K66-$W$3),K66))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S66" s="50" t="str">
        <f>IF(Y66="","",IF(Y66&lt;=0,"達成済み",IF(Y66&lt;60,Y66&amp;"秒",INT(Y66/60)&amp;"分"&amp;TEXT(MOD(Y66,60),"00")&amp;"秒")))</f>
        <v/>
      </c>
      <c r="T66" s="26" t="str">
        <f>IF(C66="","",D66/設定!$C$27-C66)</f>
        <v/>
      </c>
      <c r="U66" s="26" t="str">
        <f>IF(C66="","",(D66-C66*設定!$C$27)/60*設定!$C$28)</f>
        <v/>
      </c>
      <c r="X66">
        <f t="shared" si="17"/>
        <v>0</v>
      </c>
      <c r="Y66" t="str">
        <f>IF(C66="","",ROUND(G66-設定!$C$27*60,0))</f>
        <v/>
      </c>
    </row>
  </sheetData>
  <phoneticPr fontId="34"/>
  <conditionalFormatting sqref="A7:U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IF(C8="","",C8-ピッキング!$W$3)</f>
        <v>24.437291214163963</v>
      </c>
      <c r="F8" s="22">
        <f>IF(D8="","",D8-梱包!$W$3)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IF(C9="","",C9-ピッキング!$W$3)</f>
        <v>7.0113310314659572</v>
      </c>
      <c r="F9" s="22">
        <f>IF(D9="","",D9-梱包!$W$3)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IF(C10="","",C10-ピッキング!$W$3)</f>
        <v>18.079594229522868</v>
      </c>
      <c r="F10" s="22">
        <f>IF(D10="","",D10-梱包!$W$3)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IF(C11="","",C11-ピッキング!$W$3)</f>
        <v>17.145274134618148</v>
      </c>
      <c r="F11" s="22">
        <f>IF(D11="","",D11-梱包!$W$3)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IF(C12="","",C12-ピッキング!$W$3)</f>
        <v>8.6867294231761178</v>
      </c>
      <c r="F12" s="22" t="str">
        <f>IF(D12="","",D12-梱包!$W$3)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IF(C13="","",C13-ピッキング!$W$3)</f>
        <v>6.6607990776026753</v>
      </c>
      <c r="F13" s="22">
        <f>IF(D13="","",D13-梱包!$W$3)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IF(C14="","",C14-ピッキング!$W$3)</f>
        <v>5.5993024581563873</v>
      </c>
      <c r="F14" s="22">
        <f>IF(D14="","",D14-梱包!$W$3)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IF(C15="","",C15-ピッキング!$W$3)</f>
        <v>3.8889665684425268</v>
      </c>
      <c r="F15" s="22">
        <f>IF(D15="","",D15-梱包!$W$3)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IF(C16="","",C16-ピッキング!$W$3)</f>
        <v>2.922596627308053</v>
      </c>
      <c r="F16" s="22">
        <f>IF(D16="","",D16-梱包!$W$3)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IF(C17="","",C17-ピッキング!$W$3)</f>
        <v>2.6814242562379746</v>
      </c>
      <c r="F17" s="22">
        <f>IF(D17="","",D17-梱包!$W$3)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IF(C18="","",C18-ピッキング!$W$3)</f>
        <v>2.2322535269012036</v>
      </c>
      <c r="F18" s="22">
        <f>IF(D18="","",D18-梱包!$W$3)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IF(C19="","",C19-ピッキング!$W$3)</f>
        <v>-0.39790061674973742</v>
      </c>
      <c r="F19" s="22">
        <f>IF(D19="","",D19-梱包!$W$3)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IF(C20="","",C20-ピッキング!$W$3)</f>
        <v>-0.49607990964638304</v>
      </c>
      <c r="F20" s="22">
        <f>IF(D20="","",D20-梱包!$W$3)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IF(C21="","",C21-ピッキング!$W$3)</f>
        <v>-1.0667589950255376</v>
      </c>
      <c r="F21" s="22" t="str">
        <f>IF(D21="","",D21-梱包!$W$3)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IF(C22="","",C22-ピッキング!$W$3)</f>
        <v>-1.8182763534614992</v>
      </c>
      <c r="F22" s="22">
        <f>IF(D22="","",D22-梱包!$W$3)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IF(C23="","",C23-ピッキング!$W$3)</f>
        <v>-2.062523970885394</v>
      </c>
      <c r="F23" s="22">
        <f>IF(D23="","",D23-梱包!$W$3)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IF(C24="","",C24-ピッキング!$W$3)</f>
        <v>-2.051714391405369</v>
      </c>
      <c r="F24" s="22">
        <f>IF(D24="","",D24-梱包!$W$3)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IF(C25="","",C25-ピッキング!$W$3)</f>
        <v>-3.3631863186712252</v>
      </c>
      <c r="F25" s="22" t="str">
        <f>IF(D25="","",D25-梱包!$W$3)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IF(C26="","",C26-ピッキング!$W$3)</f>
        <v>-3.5545167724201434</v>
      </c>
      <c r="F26" s="22">
        <f>IF(D26="","",D26-梱包!$W$3)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IF(C27="","",C27-ピッキング!$W$3)</f>
        <v>-7.946214363132313</v>
      </c>
      <c r="F27" s="22" t="str">
        <f>IF(D27="","",D27-梱包!$W$3)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IF(C28="","",C28-ピッキング!$W$3)</f>
        <v>-9.3216595231954358</v>
      </c>
      <c r="F28" s="22" t="str">
        <f>IF(D28="","",D28-梱包!$W$3)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IF(C29="","",C29-ピッキング!$W$3)</f>
        <v>-9.186134887989482</v>
      </c>
      <c r="F29" s="22" t="str">
        <f>IF(D29="","",D29-梱包!$W$3)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IF(C30="","",C30-ピッキング!$W$3)</f>
        <v>-11.622223393628843</v>
      </c>
      <c r="F30" s="22">
        <f>IF(D30="","",D30-梱包!$W$3)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IF(C31="","",C31-ピッキング!$W$3)</f>
        <v>-11.836996433921215</v>
      </c>
      <c r="F31" s="22">
        <f>IF(D31="","",D31-梱包!$W$3)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IF(C32="","",C32-ピッキング!$W$3)</f>
        <v>-13.684409094684028</v>
      </c>
      <c r="F32" s="22" t="str">
        <f>IF(D32="","",D32-梱包!$W$3)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IF(C33="","",C33-ピッキング!$W$3)</f>
        <v>-14.063939437120581</v>
      </c>
      <c r="F33" s="22" t="str">
        <f>IF(D33="","",D33-梱包!$W$3)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IF(C34="","",C34-ピッキング!$W$3)</f>
        <v>-15.079861717927599</v>
      </c>
      <c r="F34" s="22" t="str">
        <f>IF(D34="","",D34-梱包!$W$3)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IF(C35="","",C35-ピッキング!$W$3)</f>
        <v>-16.67396291004772</v>
      </c>
      <c r="F35" s="22" t="str">
        <f>IF(D35="","",D35-梱包!$W$3)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IF(C36="","",C36-ピッキング!$W$3)</f>
        <v>-17.058830370947391</v>
      </c>
      <c r="F36" s="22">
        <f>IF(D36="","",D36-梱包!$W$3)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IF(C37="","",C37-ピッキング!$W$3)</f>
        <v/>
      </c>
      <c r="F37" s="22" t="str">
        <f>IF(D37="","",D37-梱包!$W$3)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IF(C38="","",C38-ピッキング!$W$3)</f>
        <v/>
      </c>
      <c r="F38" s="22" t="str">
        <f>IF(D38="","",D38-梱包!$W$3)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IF(C39="","",C39-ピッキング!$W$3)</f>
        <v/>
      </c>
      <c r="F39" s="22" t="str">
        <f>IF(D39="","",D39-梱包!$W$3)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IF(C40="","",C40-ピッキング!$W$3)</f>
        <v/>
      </c>
      <c r="F40" s="22" t="str">
        <f>IF(D40="","",D40-梱包!$W$3)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IF(C41="","",C41-ピッキング!$W$3)</f>
        <v/>
      </c>
      <c r="F41" s="22" t="str">
        <f>IF(D41="","",D41-梱包!$W$3)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IF(C42="","",C42-ピッキング!$W$3)</f>
        <v/>
      </c>
      <c r="F42" s="22" t="str">
        <f>IF(D42="","",D42-梱包!$W$3)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IF(C43="","",C43-ピッキング!$W$3)</f>
        <v/>
      </c>
      <c r="F43" s="22" t="str">
        <f>IF(D43="","",D43-梱包!$W$3)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IF(C44="","",C44-ピッキング!$W$3)</f>
        <v/>
      </c>
      <c r="F44" s="22" t="str">
        <f>IF(D44="","",D44-梱包!$W$3)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IF(C45="","",C45-ピッキング!$W$3)</f>
        <v/>
      </c>
      <c r="F45" s="22" t="str">
        <f>IF(D45="","",D45-梱包!$W$3)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IF(C46="","",C46-ピッキング!$W$3)</f>
        <v/>
      </c>
      <c r="F46" s="22" t="str">
        <f>IF(D46="","",D46-梱包!$W$3)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IF(C47="","",C47-ピッキング!$W$3)</f>
        <v/>
      </c>
      <c r="F47" s="22" t="str">
        <f>IF(D47="","",D47-梱包!$W$3)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IF(C48="","",C48-ピッキング!$W$3)</f>
        <v/>
      </c>
      <c r="F48" s="22" t="str">
        <f>IF(D48="","",D48-梱包!$W$3)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IF(C49="","",C49-ピッキング!$W$3)</f>
        <v/>
      </c>
      <c r="F49" s="22" t="str">
        <f>IF(D49="","",D49-梱包!$W$3)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IF(C50="","",C50-ピッキング!$W$3)</f>
        <v/>
      </c>
      <c r="F50" s="22" t="str">
        <f>IF(D50="","",D50-梱包!$W$3)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IF(C51="","",C51-ピッキング!$W$3)</f>
        <v/>
      </c>
      <c r="F51" s="22" t="str">
        <f>IF(D51="","",D51-梱包!$W$3)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IF(C52="","",C52-ピッキング!$W$3)</f>
        <v/>
      </c>
      <c r="F52" s="22" t="str">
        <f>IF(D52="","",D52-梱包!$W$3)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IF(C53="","",C53-ピッキング!$W$3)</f>
        <v/>
      </c>
      <c r="F53" s="22" t="str">
        <f>IF(D53="","",D53-梱包!$W$3)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IF(C54="","",C54-ピッキング!$W$3)</f>
        <v/>
      </c>
      <c r="F54" s="22" t="str">
        <f>IF(D54="","",D54-梱包!$W$3)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IF(C55="","",C55-ピッキング!$W$3)</f>
        <v/>
      </c>
      <c r="F55" s="22" t="str">
        <f>IF(D55="","",D55-梱包!$W$3)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IF(C56="","",C56-ピッキング!$W$3)</f>
        <v/>
      </c>
      <c r="F56" s="22" t="str">
        <f>IF(D56="","",D56-梱包!$W$3)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IF(C57="","",C57-ピッキング!$W$3)</f>
        <v/>
      </c>
      <c r="F57" s="22" t="str">
        <f>IF(D57="","",D57-梱包!$W$3)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IF(C58="","",C58-ピッキング!$W$3)</f>
        <v/>
      </c>
      <c r="F58" s="22" t="str">
        <f>IF(D58="","",D58-梱包!$W$3)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IF(C59="","",C59-ピッキング!$W$3)</f>
        <v/>
      </c>
      <c r="F59" s="22" t="str">
        <f>IF(D59="","",D59-梱包!$W$3)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IF(C60="","",C60-ピッキング!$W$3)</f>
        <v/>
      </c>
      <c r="F60" s="22" t="str">
        <f>IF(D60="","",D60-梱包!$W$3)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IF(C61="","",C61-ピッキング!$W$3)</f>
        <v/>
      </c>
      <c r="F61" s="22" t="str">
        <f>IF(D61="","",D61-梱包!$W$3)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IF(C62="","",C62-ピッキング!$W$3)</f>
        <v/>
      </c>
      <c r="F62" s="22" t="str">
        <f>IF(D62="","",D62-梱包!$W$3)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IF(C63="","",C63-ピッキング!$W$3)</f>
        <v/>
      </c>
      <c r="F63" s="22" t="str">
        <f>IF(D63="","",D63-梱包!$W$3)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IF(C64="","",C64-ピッキング!$W$3)</f>
        <v/>
      </c>
      <c r="F64" s="22" t="str">
        <f>IF(D64="","",D64-梱包!$W$3)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IF(C65="","",C65-ピッキング!$W$3)</f>
        <v/>
      </c>
      <c r="F65" s="22" t="str">
        <f>IF(D65="","",D65-梱包!$W$3)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IF(C66="","",C66-ピッキング!$W$3)</f>
        <v/>
      </c>
      <c r="F66" s="22" t="str">
        <f>IF(D66="","",D66-梱包!$W$3)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IF(C67="","",C67-ピッキング!$W$3)</f>
        <v/>
      </c>
      <c r="F67" s="22" t="str">
        <f>IF(D67="","",D67-梱包!$W$3)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482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8" spans="2:5" x14ac:dyDescent="0.15">
      <c r="B28" s="21" t="inlineStr">
        <is>
          <t>時給換算の単価</t>
        </is>
      </c>
      <c r="C28" s="56">
        <v>1500</v>
      </c>
      <c r="D28" s="21" t="inlineStr">
        <is>
          <t>円/時</t>
        </is>
      </c>
      <c r="E28" s="21" t="inlineStr">
        <is>
          <t>金額の列（ピッキング・梱包シート）はこの単価で計算します。変えると全員の金額が追随します</t>
        </is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483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495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484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485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496</v>
      </c>
      <c r="D32" s="74"/>
      <c r="E32" s="74"/>
      <c r="F32" s="74"/>
      <c r="G32" s="75"/>
    </row>
    <row r="33" spans="2:7" x14ac:dyDescent="0.15">
      <c r="B33" s="29" t="inlineStr">
        <is>
          <t>目標まで あと</t>
        </is>
      </c>
      <c r="C33" s="93" t="inlineStr">
        <is>
          <t>1件あたりの実測秒と、会社目標 96秒（1.6分）との差。到達している人は「達成済み」と出ます。</t>
        </is>
      </c>
      <c r="D33" s="74"/>
      <c r="E33" s="74"/>
      <c r="F33" s="74"/>
      <c r="G33" s="75"/>
    </row>
    <row r="34" spans="2:7" x14ac:dyDescent="0.15">
      <c r="B34" s="29" t="inlineStr">
        <is>
          <t>目標到達で増やせる件数</t>
        </is>
      </c>
      <c r="C34" s="93" t="inlineStr">
        <is>
      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      </is>
      </c>
      <c r="D34" s="74"/>
      <c r="E34" s="74"/>
      <c r="F34" s="74"/>
      <c r="G34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497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6">
    <mergeCell ref="C33:G33"/>
    <mergeCell ref="C34:G34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