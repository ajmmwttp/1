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<sst xmlns="http://schemas.openxmlformats.org/spreadsheetml/2006/main" count="711" uniqueCount="505">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</sst>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">
        <v>30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v>233.2</v>
      </c>
      <c r="AY3" s="6">
        <f>IFERROR(AX3/SUM($AX$3:$AX$5),"")</f>
        <v>0.343244038857816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v>223.1</v>
      </c>
      <c r="AY4" s="6">
        <f>IFERROR(AX4/SUM($AX$3:$AX$5),"")</f>
        <v>0.328377980571092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v>223.1</v>
      </c>
      <c r="AY5" s="6">
        <f>IFERROR(AX5/SUM($AX$3:$AX$5),"")</f>
        <v>0.328377980571092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">
        <v>45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>
        <v>0.29399999999999998</v>
      </c>
      <c r="C12" s="69"/>
      <c r="D12" s="69"/>
      <c r="E12" s="69"/>
      <c r="F12" s="68">
        <v>6.7000000000000004E-2</v>
      </c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">
        <v>48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>
        <v>9.5000000000000001E-2</v>
      </c>
      <c r="C17" s="69"/>
      <c r="D17" s="69"/>
      <c r="E17" s="69"/>
      <c r="F17" s="74">
        <v>0.23799999999999999</v>
      </c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">
        <v>52</v>
      </c>
      <c r="C18" s="69"/>
      <c r="D18" s="69"/>
      <c r="E18" s="69"/>
      <c r="F18" s="72" t="s">
        <v>53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0.343244038857816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">
        <v>80</v>
      </c>
      <c r="D150" s="7" t="s">
        <v>81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">
        <v>104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114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136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IF(AND(ISNUMBER(入力!$F$10),入力!$F$10&gt;0),入力!$F$10,"")</f>
        <v>18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IF(AND(ISNUMBER(入力!$F$11),入力!$F$11&gt;0),入力!$F$11,"")</f>
        <v>11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IF(AND(ISNUMBER(入力!$F$12),入力!$F$12&gt;0),入力!$F$12,"")</f>
        <v>16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IF(AND(ISNUMBER(入力!$F$13),入力!$F$13&gt;0),入力!$F$13,"")</f>
        <v>10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IF(AND(ISNUMBER(入力!$F$14),入力!$F$14&gt;0),入力!$F$14,"")</f>
        <v>4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IF(AND(ISNUMBER(入力!$F$15),入力!$F$15&gt;0),入力!$F$15,"")</f>
        <v>20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IF(AND(ISNUMBER(入力!$F$16),入力!$F$16&gt;0),入力!$F$16,"")</f>
        <v>3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IF(AND(ISNUMBER(入力!$F$17),入力!$F$17&gt;0),入力!$F$17,"")</f>
        <v>14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IF(AND(ISNUMBER(入力!$F$18),入力!$F$18&gt;0),入力!$F$18,"")</f>
        <v>16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IF(AND(ISNUMBER(入力!$F$19),入力!$F$19&gt;0),入力!$F$19,"")</f>
        <v>20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IF(AND(ISNUMBER(入力!$F$20),入力!$F$20&gt;0),入力!$F$20,"")</f>
        <v>10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IF(AND(ISNUMBER(入力!$F$21),入力!$F$21&gt;0),入力!$F$21,"")</f>
        <v>14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IF(AND(ISNUMBER(入力!$F$22),入力!$F$22&gt;0),入力!$F$22,"")</f>
        <v>9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IF(AND(ISNUMBER(入力!$F$23),入力!$F$23&gt;0),入力!$F$23,"")</f>
        <v>8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IF(AND(ISNUMBER(入力!$F$24),入力!$F$24&gt;0),入力!$F$24,"")</f>
        <v>5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IF(AND(ISNUMBER(入力!$F$25),入力!$F$25&gt;0),入力!$F$25,"")</f>
        <v>6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IF(AND(ISNUMBER(入力!$F$26),入力!$F$26&gt;0),入力!$F$26,"")</f>
        <v>16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IF(AND(ISNUMBER(入力!$F$27),入力!$F$27&gt;0),入力!$F$27,"")</f>
        <v>3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IF(AND(ISNUMBER(入力!$F$28),入力!$F$28&gt;0),入力!$F$28,"")</f>
        <v>10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IF(AND(ISNUMBER(入力!$F$29),入力!$F$29&gt;0),入力!$F$29,"")</f>
        <v>12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IF(AND(ISNUMBER(入力!$F$30),入力!$F$30&gt;0),入力!$F$30,"")</f>
        <v>4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IF(AND(ISNUMBER(入力!$F$31),入力!$F$31&gt;0),入力!$F$31,"")</f>
        <v>12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IF(AND(ISNUMBER(入力!$F$32),入力!$F$32&gt;0),入力!$F$32,"")</f>
        <v>9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IF(AND(ISNUMBER(入力!$F$33),入力!$F$33&gt;0),入力!$F$33,"")</f>
        <v>17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IF(AND(ISNUMBER(入力!$F$34),入力!$F$34&gt;0),入力!$F$34,"")</f>
        <v>12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IF(AND(ISNUMBER(入力!$F$36),入力!$F$36&gt;0),入力!$F$36,"")</f>
        <v>13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IF(AND(ISNUMBER(入力!$F$37),入力!$F$37&gt;0),入力!$F$37,"")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IF(AND(ISNUMBER(入力!$F$38),入力!$F$38&gt;0),入力!$F$38,"")</f>
        <v>11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">
        <v>281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0.146320789548666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0.021409773454145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0.19455681220194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6.1303933486651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0.448815252713156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296</v>
      </c>
    </row>
    <row r="149" spans="2:2" x14ac:dyDescent="0.15">
      <c r="B149" s="54" t="s">
        <v>297</v>
      </c>
    </row>
    <row r="150" spans="2:2" x14ac:dyDescent="0.15">
      <c r="B150" s="54" t="s">
        <v>298</v>
      </c>
    </row>
    <row r="151" spans="2:2" x14ac:dyDescent="0.15">
      <c r="B151" s="54"/>
    </row>
    <row r="152" spans="2:2" x14ac:dyDescent="0.15">
      <c r="B152" s="54" t="s">
        <v>299</v>
      </c>
    </row>
    <row r="153" spans="2:2" x14ac:dyDescent="0.15">
      <c r="B153" s="54" t="s">
        <v>300</v>
      </c>
    </row>
    <row r="154" spans="2:2" x14ac:dyDescent="0.15">
      <c r="B154" s="54" t="s">
        <v>301</v>
      </c>
    </row>
    <row r="155" spans="2:2" x14ac:dyDescent="0.15">
      <c r="B155" s="54" t="s">
        <v>302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305</v>
      </c>
      <c r="D7" s="20" t="s">
        <v>306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v>103.4</v>
      </c>
      <c r="D10" s="56">
        <v>109.2</v>
      </c>
      <c r="E10" s="24" t="s">
        <v>320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425.921142159485</v>
      </c>
      <c r="D19" s="57">
        <f>IFERROR(D18/(D10/100),"")</f>
        <v>4.87455666027095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3.04229387256775</v>
      </c>
      <c r="D20" s="46">
        <f>IFERROR(D19/D11,"")</f>
        <v>0.0406213055022579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4.02728711890946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3.4557478278223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3.16997818227871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3.04229387256775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2.88420853673513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2.74132371396334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2.65559282030027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2.48413103297412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359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402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IF($AY3="","",IF($AK3="PKのみ",$AH3,CHOOSE(MOD($AY3-1,6)+1,12,18,24,30,36,42)))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IF($AY35="","",IF($AK35="PKのみ",$AH35,CHOOSE(MOD($AY35-1,6)+1,12,18,24,30,36,42)))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