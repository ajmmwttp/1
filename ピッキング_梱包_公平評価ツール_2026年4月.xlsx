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印刷用!$A$1:$AA$62</definedName>
    <definedName name="_xlnm.Print_Titles" localSheetId="1">印刷用!$4:$4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<sst xmlns="http://schemas.openxmlformats.org/spreadsheetml/2006/main" count="633" uniqueCount="454">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</sst>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印刷用データ!$AQ$3:$AQ$52</c:f>
              <c:numCache>
                <c:formatCode>0.0"%"</c:formatCode>
                <c:ptCount val="50"/>
                <c:pt idx="0">
                  <c:v>136.58407297830374</c:v>
                </c:pt>
                <c:pt idx="1">
                  <c:v>106.39972273567466</c:v>
                </c:pt>
                <c:pt idx="2">
                  <c:v>131.80246913580245</c:v>
                </c:pt>
                <c:pt idx="3">
                  <c:v>128.62508143322475</c:v>
                </c:pt>
                <c:pt idx="4">
                  <c:v>126.5595238095238</c:v>
                </c:pt>
                <c:pt idx="5">
                  <c:v>101.99950049950048</c:v>
                </c:pt>
                <c:pt idx="6">
                  <c:v>108.44019316493313</c:v>
                </c:pt>
                <c:pt idx="7">
                  <c:v>74.63023560209423</c:v>
                </c:pt>
                <c:pt idx="8">
                  <c:v>98.11684782608697</c:v>
                </c:pt>
                <c:pt idx="9">
                  <c:v>138.5160642570281</c:v>
                </c:pt>
                <c:pt idx="10">
                  <c:v>100.59261744966443</c:v>
                </c:pt>
                <c:pt idx="11">
                  <c:v>111.60069735006972</c:v>
                </c:pt>
                <c:pt idx="12">
                  <c:v>106.8047477744807</c:v>
                </c:pt>
                <c:pt idx="13">
                  <c:v>96.54257425742574</c:v>
                </c:pt>
                <c:pt idx="14">
                  <c:v>106.22178879910837</c:v>
                </c:pt>
                <c:pt idx="15">
                  <c:v>101.71352549889134</c:v>
                </c:pt>
                <c:pt idx="16">
                  <c:v>81.8917597765363</c:v>
                </c:pt>
                <c:pt idx="17">
                  <c:v>91.34864864864863</c:v>
                </c:pt>
                <c:pt idx="18">
                  <c:v>89.99333688699362</c:v>
                </c:pt>
                <c:pt idx="19">
                  <c:v>88.02662271805272</c:v>
                </c:pt>
                <c:pt idx="20">
                  <c:v>121.32499999999997</c:v>
                </c:pt>
                <c:pt idx="21">
                  <c:v>80.89163346613546</c:v>
                </c:pt>
                <c:pt idx="22">
                  <c:v>80.2896370582617</c:v>
                </c:pt>
                <c:pt idx="23">
                  <c:v>79.35816135084428</c:v>
                </c:pt>
                <c:pt idx="24">
                  <c:v>99.64362464183381</c:v>
                </c:pt>
                <c:pt idx="25">
                  <c:v>76.88366336633663</c:v>
                </c:pt>
                <c:pt idx="26">
                  <c:v>85.86263157894736</c:v>
                </c:pt>
                <c:pt idx="27">
                  <c:v>98.22111111111111</c:v>
                </c:pt>
                <c:pt idx="28">
                  <c:v>56.60244897959183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印刷用データ!$AR$3:$AR$52</c:f>
              <c:numCache>
                <c:formatCode>0.0"%"</c:formatCode>
                <c:ptCount val="50"/>
                <c:pt idx="0">
                  <c:v>149.67602924201614</c:v>
                </c:pt>
                <c:pt idx="1">
                  <c:v>171.96125541125542</c:v>
                </c:pt>
                <c:pt idx="2">
                  <c:v>132.51857923497266</c:v>
                </c:pt>
                <c:pt idx="3">
                  <c:v>132.88643790849673</c:v>
                </c:pt>
                <c:pt idx="5">
                  <c:v>136.2250663632916</c:v>
                </c:pt>
                <c:pt idx="6">
                  <c:v>121.13147824640211</c:v>
                </c:pt>
                <c:pt idx="7">
                  <c:v>129.17098681218735</c:v>
                </c:pt>
                <c:pt idx="8">
                  <c:v>116.41046228710461</c:v>
                </c:pt>
                <c:pt idx="9">
                  <c:v>72.98028322440088</c:v>
                </c:pt>
                <c:pt idx="11">
                  <c:v>80.32650966183573</c:v>
                </c:pt>
                <c:pt idx="12">
                  <c:v>93.86370603420457</c:v>
                </c:pt>
                <c:pt idx="13">
                  <c:v>97.37824675324676</c:v>
                </c:pt>
                <c:pt idx="14">
                  <c:v>84.7367397454031</c:v>
                </c:pt>
                <c:pt idx="15">
                  <c:v>66.90456140350877</c:v>
                </c:pt>
                <c:pt idx="16">
                  <c:v>100.98448866067606</c:v>
                </c:pt>
                <c:pt idx="20">
                  <c:v>81.79246575342466</c:v>
                </c:pt>
                <c:pt idx="24">
                  <c:v>71.82954945441745</c:v>
                </c:pt>
                <c:pt idx="26">
                  <c:v>65.7034771774833</c:v>
                </c:pt>
                <c:pt idx="27">
                  <c:v>52.27737789203085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138.5160642570281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72.98028322440088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80.32650966183573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93.86370603420457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66.90456140350877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98.11684782608697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97.37824675324676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85.86263157894736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89.99333688699362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37.0</c:v>
                </c:pt>
              </c:numCache>
            </c:numRef>
          </c:yVal>
          <c:smooth val="0"/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32.0</c:v>
                </c:pt>
              </c:numCache>
            </c:numRef>
          </c:yVal>
          <c:smooth val="0"/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56.60244897959183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9"/>
          <c:order val="7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0"/>
          <c:order val="8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1"/>
          <c:order val="8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2"/>
          <c:order val="8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3"/>
          <c:order val="8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4"/>
          <c:order val="8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5"/>
          <c:order val="8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6"/>
          <c:order val="8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7"/>
          <c:order val="8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8"/>
          <c:order val="8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9"/>
          <c:order val="8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0"/>
          <c:order val="9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1"/>
          <c:order val="9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2"/>
          <c:order val="9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3"/>
          <c:order val="9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4"/>
          <c:order val="9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5"/>
          <c:order val="9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6"/>
          <c:order val="9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7"/>
          <c:order val="9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8"/>
          <c:order val="9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9"/>
          <c:order val="9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yVal>
          <c:smooth val="1"/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/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2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4"/>
      <c r="O3" s="64"/>
      <c r="P3" s="64"/>
      <c r="Q3" s="64"/>
      <c r="R3" s="64"/>
      <c r="T3" s="86" t="str">
        <f>"② ピッキング・梱包 内訳比較（全員 "&amp;COUNT(印刷用データ!$AS$3:$AS$62)&amp;"名）"</f>
        <v>② ピッキング・梱包 内訳比較（全員 29名）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6" t="str">
        <f>"③ 改善優先度マトリクス（全員 "&amp;COUNT(印刷用データ!$AS$3:$AS$62)&amp;"名）"</f>
        <v>③ 改善優先度マトリクス（全員 29名）</v>
      </c>
      <c r="U17" s="77"/>
      <c r="V17" s="77"/>
      <c r="W17" s="77"/>
      <c r="X17" s="77"/>
      <c r="Y17" s="77"/>
      <c r="Z17" s="77"/>
      <c r="AA17" s="77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①〜④ は実績のある全員 "&amp;COUNT(印刷用データ!AS3:AS62)&amp;" 名。「工程」が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①〜④ は実績のある全員 29 名。「工程」が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</sheetData>
  <mergeCells count="8">
    <mergeCell ref="B3:K3"/>
    <mergeCell ref="M3:R3"/>
    <mergeCell ref="B62:AA62"/>
    <mergeCell ref="T17:AA17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2" horizontalDpi="600" verticalDpi="600"/>
  <rowBreaks count="1" manualBreakCount="1">
    <brk id="36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1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92.1</v>
      </c>
      <c r="F6" s="21" t="s">
        <v>363</v>
      </c>
      <c r="G6" s="24" t="s">
        <v>364</v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D62"/>
  <sheetViews>
    <sheetView workbookViewId="0"/>
  </sheetViews>
  <sheetFormatPr defaultRowHeight="13.5" x14ac:dyDescent="0.15"/>
  <cols>
    <col min="1" max="56" width="11" customWidth="1"/>
  </cols>
  <sheetData>
    <row r="1" spans="1:56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  <c r="AZ1" s="39" t="inlineStr">
        <is>
          <t>帯線横X</t>
        </is>
      </c>
      <c r="BA1" s="39" t="inlineStr">
        <is>
          <t>帯線横Y</t>
        </is>
      </c>
      <c r="BB1" s="39" t="inlineStr">
        <is>
          <t>帯線縦X</t>
        </is>
      </c>
      <c r="BC1" s="39" t="inlineStr">
        <is>
          <t>帯線縦Y</t>
        </is>
      </c>
    </row>
    <row r="2" spans="1:56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  <c r="AW2" s="39" t="inlineStr">
        <is>
          <t>片方x</t>
        </is>
      </c>
      <c r="AX2" s="39" t="inlineStr">
        <is>
          <t>片方y</t>
        </is>
      </c>
      <c r="AY2" s="39" t="inlineStr">
        <is>
          <t>片方通番</t>
        </is>
      </c>
      <c r="BD2" s="39" t="inlineStr">
        <is>
          <t>軸外</t>
        </is>
      </c>
      <c r="AZ2" s="39">
        <v>10</v>
      </c>
      <c r="BA2" s="39">
        <v>40</v>
      </c>
      <c r="BB2" s="39">
        <v>40</v>
      </c>
      <c r="BC2" s="39">
        <v>10</v>
      </c>
    </row>
    <row r="3" spans="1:56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>IF($AY3="","",IF($AK3="PKのみ",$AH3,CHOOSE(MOD($AY3-1,6)+1,12,17,22,27,32,37)))</f>
        <v/>
      </c>
      <c r="AX3" s="62" t="str">
        <f>IF($AY3="","",IF($AK3="PKのみ",CHOOSE(MOD($AY3-1,6)+1,12,17,22,27,32,37),$AI3))</f>
        <v/>
      </c>
      <c r="AY3" s="62" t="str">
        <f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>IF($AG3="","",IF(OR(AND(ISNUMBER($AH3),OR($AH3&lt;10,$AH3&gt;190)),AND(ISNUMBER($AI3),OR($AI3&lt;10,$AI3&gt;190))),1,0))</f>
        <v>0</v>
      </c>
    </row>
    <row r="4" spans="1:56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>IF($AY4="","",IF($AK4="PKのみ",$AH4,CHOOSE(MOD($AY4-1,6)+1,12,17,22,27,32,37)))</f>
        <v/>
      </c>
      <c r="AX4" s="62" t="str">
        <f>IF($AY4="","",IF($AK4="PKのみ",CHOOSE(MOD($AY4-1,6)+1,12,17,22,27,32,37),$AI4))</f>
        <v/>
      </c>
      <c r="AY4" s="62" t="str">
        <f>IF($AK4="PKのみ",COUNTIFS($AK$3:$AK$62,"PKのみ",$AH$3:$AH$62,"&lt;"&amp;$AH4)+1,IF($AK4="梱包のみ",COUNTIFS($AK$3:$AK$62,"梱包のみ",$AI$3:$AI$62,"&lt;"&amp;$AI4)+1,""))</f>
        <v/>
      </c>
      <c r="BD4" s="62">
        <f>IF($AG4="","",IF(OR(AND(ISNUMBER($AH4),OR($AH4&lt;10,$AH4&gt;190)),AND(ISNUMBER($AI4),OR($AI4&lt;10,$AI4&gt;190))),1,0))</f>
        <v>0</v>
      </c>
    </row>
    <row r="5" spans="1:56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>IF($AY5="","",IF($AK5="PKのみ",$AH5,CHOOSE(MOD($AY5-1,6)+1,12,17,22,27,32,37)))</f>
        <v/>
      </c>
      <c r="AX5" s="62" t="str">
        <f>IF($AY5="","",IF($AK5="PKのみ",CHOOSE(MOD($AY5-1,6)+1,12,17,22,27,32,37),$AI5))</f>
        <v/>
      </c>
      <c r="AY5" s="62" t="str">
        <f>IF($AK5="PKのみ",COUNTIFS($AK$3:$AK$62,"PKのみ",$AH$3:$AH$62,"&lt;"&amp;$AH5)+1,IF($AK5="梱包のみ",COUNTIFS($AK$3:$AK$62,"梱包のみ",$AI$3:$AI$62,"&lt;"&amp;$AI5)+1,""))</f>
        <v/>
      </c>
      <c r="BD5" s="62">
        <f>IF($AG5="","",IF(OR(AND(ISNUMBER($AH5),OR($AH5&lt;10,$AH5&gt;190)),AND(ISNUMBER($AI5),OR($AI5&lt;10,$AI5&gt;190))),1,0))</f>
        <v>0</v>
      </c>
    </row>
    <row r="6" spans="1:56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>IF($AY6="","",IF($AK6="PKのみ",$AH6,CHOOSE(MOD($AY6-1,6)+1,12,17,22,27,32,37)))</f>
        <v/>
      </c>
      <c r="AX6" s="62" t="str">
        <f>IF($AY6="","",IF($AK6="PKのみ",CHOOSE(MOD($AY6-1,6)+1,12,17,22,27,32,37),$AI6))</f>
        <v/>
      </c>
      <c r="AY6" s="62" t="str">
        <f>IF($AK6="PKのみ",COUNTIFS($AK$3:$AK$62,"PKのみ",$AH$3:$AH$62,"&lt;"&amp;$AH6)+1,IF($AK6="梱包のみ",COUNTIFS($AK$3:$AK$62,"梱包のみ",$AI$3:$AI$62,"&lt;"&amp;$AI6)+1,""))</f>
        <v/>
      </c>
      <c r="BD6" s="62">
        <f>IF($AG6="","",IF(OR(AND(ISNUMBER($AH6),OR($AH6&lt;10,$AH6&gt;190)),AND(ISNUMBER($AI6),OR($AI6&lt;10,$AI6&gt;190))),1,0))</f>
        <v>0</v>
      </c>
    </row>
    <row r="7" spans="1:56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>IF($AY7="","",IF($AK7="PKのみ",$AH7,CHOOSE(MOD($AY7-1,6)+1,12,17,22,27,32,37)))</f>
        <v>126.5595238095238</v>
      </c>
      <c r="AX7" s="62">
        <f>IF($AY7="","",IF($AK7="PKのみ",CHOOSE(MOD($AY7-1,6)+1,12,17,22,27,32,37),$AI7))</f>
        <v>27.0</v>
      </c>
      <c r="AY7" s="62">
        <f>IF($AK7="PKのみ",COUNTIFS($AK$3:$AK$62,"PKのみ",$AH$3:$AH$62,"&lt;"&amp;$AH7)+1,IF($AK7="梱包のみ",COUNTIFS($AK$3:$AK$62,"梱包のみ",$AI$3:$AI$62,"&lt;"&amp;$AI7)+1,""))</f>
        <v>10</v>
      </c>
      <c r="BD7" s="62">
        <f>IF($AG7="","",IF(OR(AND(ISNUMBER($AH7),OR($AH7&lt;10,$AH7&gt;190)),AND(ISNUMBER($AI7),OR($AI7&lt;10,$AI7&gt;190))),1,0))</f>
        <v>0</v>
      </c>
    </row>
    <row r="8" spans="1:56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>IF($AY8="","",IF($AK8="PKのみ",$AH8,CHOOSE(MOD($AY8-1,6)+1,12,17,22,27,32,37)))</f>
        <v/>
      </c>
      <c r="AX8" s="62" t="str">
        <f>IF($AY8="","",IF($AK8="PKのみ",CHOOSE(MOD($AY8-1,6)+1,12,17,22,27,32,37),$AI8))</f>
        <v/>
      </c>
      <c r="AY8" s="62" t="str">
        <f>IF($AK8="PKのみ",COUNTIFS($AK$3:$AK$62,"PKのみ",$AH$3:$AH$62,"&lt;"&amp;$AH8)+1,IF($AK8="梱包のみ",COUNTIFS($AK$3:$AK$62,"梱包のみ",$AI$3:$AI$62,"&lt;"&amp;$AI8)+1,""))</f>
        <v/>
      </c>
      <c r="BD8" s="62">
        <f>IF($AG8="","",IF(OR(AND(ISNUMBER($AH8),OR($AH8&lt;10,$AH8&gt;190)),AND(ISNUMBER($AI8),OR($AI8&lt;10,$AI8&gt;190))),1,0))</f>
        <v>0</v>
      </c>
    </row>
    <row r="9" spans="1:56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>IF($AY9="","",IF($AK9="PKのみ",$AH9,CHOOSE(MOD($AY9-1,6)+1,12,17,22,27,32,37)))</f>
        <v/>
      </c>
      <c r="AX9" s="62" t="str">
        <f>IF($AY9="","",IF($AK9="PKのみ",CHOOSE(MOD($AY9-1,6)+1,12,17,22,27,32,37),$AI9))</f>
        <v/>
      </c>
      <c r="AY9" s="62" t="str">
        <f>IF($AK9="PKのみ",COUNTIFS($AK$3:$AK$62,"PKのみ",$AH$3:$AH$62,"&lt;"&amp;$AH9)+1,IF($AK9="梱包のみ",COUNTIFS($AK$3:$AK$62,"梱包のみ",$AI$3:$AI$62,"&lt;"&amp;$AI9)+1,""))</f>
        <v/>
      </c>
      <c r="BD9" s="62">
        <f>IF($AG9="","",IF(OR(AND(ISNUMBER($AH9),OR($AH9&lt;10,$AH9&gt;190)),AND(ISNUMBER($AI9),OR($AI9&lt;10,$AI9&gt;190))),1,0))</f>
        <v>0</v>
      </c>
    </row>
    <row r="10" spans="1:56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>IF($AY10="","",IF($AK10="PKのみ",$AH10,CHOOSE(MOD($AY10-1,6)+1,12,17,22,27,32,37)))</f>
        <v/>
      </c>
      <c r="AX10" s="62" t="str">
        <f>IF($AY10="","",IF($AK10="PKのみ",CHOOSE(MOD($AY10-1,6)+1,12,17,22,27,32,37),$AI10))</f>
        <v/>
      </c>
      <c r="AY10" s="62" t="str">
        <f>IF($AK10="PKのみ",COUNTIFS($AK$3:$AK$62,"PKのみ",$AH$3:$AH$62,"&lt;"&amp;$AH10)+1,IF($AK10="梱包のみ",COUNTIFS($AK$3:$AK$62,"梱包のみ",$AI$3:$AI$62,"&lt;"&amp;$AI10)+1,""))</f>
        <v/>
      </c>
      <c r="BD10" s="62">
        <f>IF($AG10="","",IF(OR(AND(ISNUMBER($AH10),OR($AH10&lt;10,$AH10&gt;190)),AND(ISNUMBER($AI10),OR($AI10&lt;10,$AI10&gt;190))),1,0))</f>
        <v>0</v>
      </c>
    </row>
    <row r="11" spans="1:56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>IF($AY11="","",IF($AK11="PKのみ",$AH11,CHOOSE(MOD($AY11-1,6)+1,12,17,22,27,32,37)))</f>
        <v/>
      </c>
      <c r="AX11" s="62" t="str">
        <f>IF($AY11="","",IF($AK11="PKのみ",CHOOSE(MOD($AY11-1,6)+1,12,17,22,27,32,37),$AI11))</f>
        <v/>
      </c>
      <c r="AY11" s="62" t="str">
        <f>IF($AK11="PKのみ",COUNTIFS($AK$3:$AK$62,"PKのみ",$AH$3:$AH$62,"&lt;"&amp;$AH11)+1,IF($AK11="梱包のみ",COUNTIFS($AK$3:$AK$62,"梱包のみ",$AI$3:$AI$62,"&lt;"&amp;$AI11)+1,""))</f>
        <v/>
      </c>
      <c r="BD11" s="62">
        <f>IF($AG11="","",IF(OR(AND(ISNUMBER($AH11),OR($AH11&lt;10,$AH11&gt;190)),AND(ISNUMBER($AI11),OR($AI11&lt;10,$AI11&gt;190))),1,0))</f>
        <v>0</v>
      </c>
    </row>
    <row r="12" spans="1:56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>IF($AY12="","",IF($AK12="PKのみ",$AH12,CHOOSE(MOD($AY12-1,6)+1,12,17,22,27,32,37)))</f>
        <v/>
      </c>
      <c r="AX12" s="62" t="str">
        <f>IF($AY12="","",IF($AK12="PKのみ",CHOOSE(MOD($AY12-1,6)+1,12,17,22,27,32,37),$AI12))</f>
        <v/>
      </c>
      <c r="AY12" s="62" t="str">
        <f>IF($AK12="PKのみ",COUNTIFS($AK$3:$AK$62,"PKのみ",$AH$3:$AH$62,"&lt;"&amp;$AH12)+1,IF($AK12="梱包のみ",COUNTIFS($AK$3:$AK$62,"梱包のみ",$AI$3:$AI$62,"&lt;"&amp;$AI12)+1,""))</f>
        <v/>
      </c>
      <c r="BD12" s="62">
        <f>IF($AG12="","",IF(OR(AND(ISNUMBER($AH12),OR($AH12&lt;10,$AH12&gt;190)),AND(ISNUMBER($AI12),OR($AI12&lt;10,$AI12&gt;190))),1,0))</f>
        <v>0</v>
      </c>
    </row>
    <row r="13" spans="1:56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>IF($AY13="","",IF($AK13="PKのみ",$AH13,CHOOSE(MOD($AY13-1,6)+1,12,17,22,27,32,37)))</f>
        <v/>
      </c>
      <c r="AX13" s="62" t="str">
        <f>IF($AY13="","",IF($AK13="PKのみ",CHOOSE(MOD($AY13-1,6)+1,12,17,22,27,32,37),$AI13))</f>
        <v/>
      </c>
      <c r="AY13" s="62" t="str">
        <f>IF($AK13="PKのみ",COUNTIFS($AK$3:$AK$62,"PKのみ",$AH$3:$AH$62,"&lt;"&amp;$AH13)+1,IF($AK13="梱包のみ",COUNTIFS($AK$3:$AK$62,"梱包のみ",$AI$3:$AI$62,"&lt;"&amp;$AI13)+1,""))</f>
        <v/>
      </c>
      <c r="BD13" s="62">
        <f>IF($AG13="","",IF(OR(AND(ISNUMBER($AH13),OR($AH13&lt;10,$AH13&gt;190)),AND(ISNUMBER($AI13),OR($AI13&lt;10,$AI13&gt;190))),1,0))</f>
        <v>0</v>
      </c>
    </row>
    <row r="14" spans="1:56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>IF($AY14="","",IF($AK14="PKのみ",$AH14,CHOOSE(MOD($AY14-1,6)+1,12,17,22,27,32,37)))</f>
        <v/>
      </c>
      <c r="AX14" s="62" t="str">
        <f>IF($AY14="","",IF($AK14="PKのみ",CHOOSE(MOD($AY14-1,6)+1,12,17,22,27,32,37),$AI14))</f>
        <v/>
      </c>
      <c r="AY14" s="62" t="str">
        <f>IF($AK14="PKのみ",COUNTIFS($AK$3:$AK$62,"PKのみ",$AH$3:$AH$62,"&lt;"&amp;$AH14)+1,IF($AK14="梱包のみ",COUNTIFS($AK$3:$AK$62,"梱包のみ",$AI$3:$AI$62,"&lt;"&amp;$AI14)+1,""))</f>
        <v/>
      </c>
      <c r="BD14" s="62">
        <f>IF($AG14="","",IF(OR(AND(ISNUMBER($AH14),OR($AH14&lt;10,$AH14&gt;190)),AND(ISNUMBER($AI14),OR($AI14&lt;10,$AI14&gt;190))),1,0))</f>
        <v>0</v>
      </c>
    </row>
    <row r="15" spans="1:56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>IF($AY15="","",IF($AK15="PKのみ",$AH15,CHOOSE(MOD($AY15-1,6)+1,12,17,22,27,32,37)))</f>
        <v/>
      </c>
      <c r="AX15" s="62" t="str">
        <f>IF($AY15="","",IF($AK15="PKのみ",CHOOSE(MOD($AY15-1,6)+1,12,17,22,27,32,37),$AI15))</f>
        <v/>
      </c>
      <c r="AY15" s="62" t="str">
        <f>IF($AK15="PKのみ",COUNTIFS($AK$3:$AK$62,"PKのみ",$AH$3:$AH$62,"&lt;"&amp;$AH15)+1,IF($AK15="梱包のみ",COUNTIFS($AK$3:$AK$62,"梱包のみ",$AI$3:$AI$62,"&lt;"&amp;$AI15)+1,""))</f>
        <v/>
      </c>
      <c r="BD15" s="62">
        <f>IF($AG15="","",IF(OR(AND(ISNUMBER($AH15),OR($AH15&lt;10,$AH15&gt;190)),AND(ISNUMBER($AI15),OR($AI15&lt;10,$AI15&gt;190))),1,0))</f>
        <v>0</v>
      </c>
    </row>
    <row r="16" spans="1:56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>IF($AY16="","",IF($AK16="PKのみ",$AH16,CHOOSE(MOD($AY16-1,6)+1,12,17,22,27,32,37)))</f>
        <v>100.59261744966443</v>
      </c>
      <c r="AX16" s="62">
        <f>IF($AY16="","",IF($AK16="PKのみ",CHOOSE(MOD($AY16-1,6)+1,12,17,22,27,32,37),$AI16))</f>
        <v>22.0</v>
      </c>
      <c r="AY16" s="62">
        <f>IF($AK16="PKのみ",COUNTIFS($AK$3:$AK$62,"PKのみ",$AH$3:$AH$62,"&lt;"&amp;$AH16)+1,IF($AK16="梱包のみ",COUNTIFS($AK$3:$AK$62,"梱包のみ",$AI$3:$AI$62,"&lt;"&amp;$AI16)+1,""))</f>
        <v>9</v>
      </c>
      <c r="BD16" s="62">
        <f>IF($AG16="","",IF(OR(AND(ISNUMBER($AH16),OR($AH16&lt;10,$AH16&gt;190)),AND(ISNUMBER($AI16),OR($AI16&lt;10,$AI16&gt;190))),1,0))</f>
        <v>0</v>
      </c>
    </row>
    <row r="17" spans="1:56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>IF($AY17="","",IF($AK17="PKのみ",$AH17,CHOOSE(MOD($AY17-1,6)+1,12,17,22,27,32,37)))</f>
        <v/>
      </c>
      <c r="AX17" s="62" t="str">
        <f>IF($AY17="","",IF($AK17="PKのみ",CHOOSE(MOD($AY17-1,6)+1,12,17,22,27,32,37),$AI17))</f>
        <v/>
      </c>
      <c r="AY17" s="62" t="str">
        <f>IF($AK17="PKのみ",COUNTIFS($AK$3:$AK$62,"PKのみ",$AH$3:$AH$62,"&lt;"&amp;$AH17)+1,IF($AK17="梱包のみ",COUNTIFS($AK$3:$AK$62,"梱包のみ",$AI$3:$AI$62,"&lt;"&amp;$AI17)+1,""))</f>
        <v/>
      </c>
      <c r="BD17" s="62">
        <f>IF($AG17="","",IF(OR(AND(ISNUMBER($AH17),OR($AH17&lt;10,$AH17&gt;190)),AND(ISNUMBER($AI17),OR($AI17&lt;10,$AI17&gt;190))),1,0))</f>
        <v>0</v>
      </c>
    </row>
    <row r="18" spans="1:56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>IF($AY18="","",IF($AK18="PKのみ",$AH18,CHOOSE(MOD($AY18-1,6)+1,12,17,22,27,32,37)))</f>
        <v/>
      </c>
      <c r="AX18" s="62" t="str">
        <f>IF($AY18="","",IF($AK18="PKのみ",CHOOSE(MOD($AY18-1,6)+1,12,17,22,27,32,37),$AI18))</f>
        <v/>
      </c>
      <c r="AY18" s="62" t="str">
        <f>IF($AK18="PKのみ",COUNTIFS($AK$3:$AK$62,"PKのみ",$AH$3:$AH$62,"&lt;"&amp;$AH18)+1,IF($AK18="梱包のみ",COUNTIFS($AK$3:$AK$62,"梱包のみ",$AI$3:$AI$62,"&lt;"&amp;$AI18)+1,""))</f>
        <v/>
      </c>
      <c r="BD18" s="62">
        <f>IF($AG18="","",IF(OR(AND(ISNUMBER($AH18),OR($AH18&lt;10,$AH18&gt;190)),AND(ISNUMBER($AI18),OR($AI18&lt;10,$AI18&gt;190))),1,0))</f>
        <v>0</v>
      </c>
    </row>
    <row r="19" spans="1:56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>IF($AY19="","",IF($AK19="PKのみ",$AH19,CHOOSE(MOD($AY19-1,6)+1,12,17,22,27,32,37)))</f>
        <v/>
      </c>
      <c r="AX19" s="62" t="str">
        <f>IF($AY19="","",IF($AK19="PKのみ",CHOOSE(MOD($AY19-1,6)+1,12,17,22,27,32,37),$AI19))</f>
        <v/>
      </c>
      <c r="AY19" s="62" t="str">
        <f>IF($AK19="PKのみ",COUNTIFS($AK$3:$AK$62,"PKのみ",$AH$3:$AH$62,"&lt;"&amp;$AH19)+1,IF($AK19="梱包のみ",COUNTIFS($AK$3:$AK$62,"梱包のみ",$AI$3:$AI$62,"&lt;"&amp;$AI19)+1,""))</f>
        <v/>
      </c>
      <c r="BD19" s="62">
        <f>IF($AG19="","",IF(OR(AND(ISNUMBER($AH19),OR($AH19&lt;10,$AH19&gt;190)),AND(ISNUMBER($AI19),OR($AI19&lt;10,$AI19&gt;190))),1,0))</f>
        <v>0</v>
      </c>
    </row>
    <row r="20" spans="1:56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>IF($AY20="","",IF($AK20="PKのみ",$AH20,CHOOSE(MOD($AY20-1,6)+1,12,17,22,27,32,37)))</f>
        <v>91.34864864864863</v>
      </c>
      <c r="AX20" s="62">
        <f>IF($AY20="","",IF($AK20="PKのみ",CHOOSE(MOD($AY20-1,6)+1,12,17,22,27,32,37),$AI20))</f>
        <v>17.0</v>
      </c>
      <c r="AY20" s="62">
        <f>IF($AK20="PKのみ",COUNTIFS($AK$3:$AK$62,"PKのみ",$AH$3:$AH$62,"&lt;"&amp;$AH20)+1,IF($AK20="梱包のみ",COUNTIFS($AK$3:$AK$62,"梱包のみ",$AI$3:$AI$62,"&lt;"&amp;$AI20)+1,""))</f>
        <v>8</v>
      </c>
      <c r="BD20" s="62">
        <f>IF($AG20="","",IF(OR(AND(ISNUMBER($AH20),OR($AH20&lt;10,$AH20&gt;190)),AND(ISNUMBER($AI20),OR($AI20&lt;10,$AI20&gt;190))),1,0))</f>
        <v>0</v>
      </c>
    </row>
    <row r="21" spans="1:56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>IF($AY21="","",IF($AK21="PKのみ",$AH21,CHOOSE(MOD($AY21-1,6)+1,12,17,22,27,32,37)))</f>
        <v/>
      </c>
      <c r="AX21" s="62" t="str">
        <f>IF($AY21="","",IF($AK21="PKのみ",CHOOSE(MOD($AY21-1,6)+1,12,17,22,27,32,37),$AI21))</f>
        <v/>
      </c>
      <c r="AY21" s="62" t="str">
        <f>IF($AK21="PKのみ",COUNTIFS($AK$3:$AK$62,"PKのみ",$AH$3:$AH$62,"&lt;"&amp;$AH21)+1,IF($AK21="梱包のみ",COUNTIFS($AK$3:$AK$62,"梱包のみ",$AI$3:$AI$62,"&lt;"&amp;$AI21)+1,""))</f>
        <v/>
      </c>
      <c r="BD21" s="62">
        <f>IF($AG21="","",IF(OR(AND(ISNUMBER($AH21),OR($AH21&lt;10,$AH21&gt;190)),AND(ISNUMBER($AI21),OR($AI21&lt;10,$AI21&gt;190))),1,0))</f>
        <v>0</v>
      </c>
    </row>
    <row r="22" spans="1:56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>IF($AY22="","",IF($AK22="PKのみ",$AH22,CHOOSE(MOD($AY22-1,6)+1,12,17,22,27,32,37)))</f>
        <v>89.99333688699362</v>
      </c>
      <c r="AX22" s="62">
        <f>IF($AY22="","",IF($AK22="PKのみ",CHOOSE(MOD($AY22-1,6)+1,12,17,22,27,32,37),$AI22))</f>
        <v>12.0</v>
      </c>
      <c r="AY22" s="62">
        <f>IF($AK22="PKのみ",COUNTIFS($AK$3:$AK$62,"PKのみ",$AH$3:$AH$62,"&lt;"&amp;$AH22)+1,IF($AK22="梱包のみ",COUNTIFS($AK$3:$AK$62,"梱包のみ",$AI$3:$AI$62,"&lt;"&amp;$AI22)+1,""))</f>
        <v>7</v>
      </c>
      <c r="BD22" s="62">
        <f>IF($AG22="","",IF(OR(AND(ISNUMBER($AH22),OR($AH22&lt;10,$AH22&gt;190)),AND(ISNUMBER($AI22),OR($AI22&lt;10,$AI22&gt;190))),1,0))</f>
        <v>0</v>
      </c>
    </row>
    <row r="23" spans="1:56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>IF($AY23="","",IF($AK23="PKのみ",$AH23,CHOOSE(MOD($AY23-1,6)+1,12,17,22,27,32,37)))</f>
        <v>76.88366336633663</v>
      </c>
      <c r="AX23" s="62">
        <f>IF($AY23="","",IF($AK23="PKのみ",CHOOSE(MOD($AY23-1,6)+1,12,17,22,27,32,37),$AI23))</f>
        <v>17.0</v>
      </c>
      <c r="AY23" s="62">
        <f>IF($AK23="PKのみ",COUNTIFS($AK$3:$AK$62,"PKのみ",$AH$3:$AH$62,"&lt;"&amp;$AH23)+1,IF($AK23="梱包のみ",COUNTIFS($AK$3:$AK$62,"梱包のみ",$AI$3:$AI$62,"&lt;"&amp;$AI23)+1,""))</f>
        <v>2</v>
      </c>
      <c r="BD23" s="62">
        <f>IF($AG23="","",IF(OR(AND(ISNUMBER($AH23),OR($AH23&lt;10,$AH23&gt;190)),AND(ISNUMBER($AI23),OR($AI23&lt;10,$AI23&gt;190))),1,0))</f>
        <v>0</v>
      </c>
    </row>
    <row r="24" spans="1:56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>IF($AY24="","",IF($AK24="PKのみ",$AH24,CHOOSE(MOD($AY24-1,6)+1,12,17,22,27,32,37)))</f>
        <v>88.02662271805272</v>
      </c>
      <c r="AX24" s="62">
        <f>IF($AY24="","",IF($AK24="PKのみ",CHOOSE(MOD($AY24-1,6)+1,12,17,22,27,32,37),$AI24))</f>
        <v>37.0</v>
      </c>
      <c r="AY24" s="62">
        <f>IF($AK24="PKのみ",COUNTIFS($AK$3:$AK$62,"PKのみ",$AH$3:$AH$62,"&lt;"&amp;$AH24)+1,IF($AK24="梱包のみ",COUNTIFS($AK$3:$AK$62,"梱包のみ",$AI$3:$AI$62,"&lt;"&amp;$AI24)+1,""))</f>
        <v>6</v>
      </c>
      <c r="BD24" s="62">
        <f>IF($AG24="","",IF(OR(AND(ISNUMBER($AH24),OR($AH24&lt;10,$AH24&gt;190)),AND(ISNUMBER($AI24),OR($AI24&lt;10,$AI24&gt;190))),1,0))</f>
        <v>0</v>
      </c>
    </row>
    <row r="25" spans="1:56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>IF($AY25="","",IF($AK25="PKのみ",$AH25,CHOOSE(MOD($AY25-1,6)+1,12,17,22,27,32,37)))</f>
        <v/>
      </c>
      <c r="AX25" s="62" t="str">
        <f>IF($AY25="","",IF($AK25="PKのみ",CHOOSE(MOD($AY25-1,6)+1,12,17,22,27,32,37),$AI25))</f>
        <v/>
      </c>
      <c r="AY25" s="62" t="str">
        <f>IF($AK25="PKのみ",COUNTIFS($AK$3:$AK$62,"PKのみ",$AH$3:$AH$62,"&lt;"&amp;$AH25)+1,IF($AK25="梱包のみ",COUNTIFS($AK$3:$AK$62,"梱包のみ",$AI$3:$AI$62,"&lt;"&amp;$AI25)+1,""))</f>
        <v/>
      </c>
      <c r="BD25" s="62">
        <f>IF($AG25="","",IF(OR(AND(ISNUMBER($AH25),OR($AH25&lt;10,$AH25&gt;190)),AND(ISNUMBER($AI25),OR($AI25&lt;10,$AI25&gt;190))),1,0))</f>
        <v>0</v>
      </c>
    </row>
    <row r="26" spans="1:56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>IF($AY26="","",IF($AK26="PKのみ",$AH26,CHOOSE(MOD($AY26-1,6)+1,12,17,22,27,32,37)))</f>
        <v/>
      </c>
      <c r="AX26" s="62" t="str">
        <f>IF($AY26="","",IF($AK26="PKのみ",CHOOSE(MOD($AY26-1,6)+1,12,17,22,27,32,37),$AI26))</f>
        <v/>
      </c>
      <c r="AY26" s="62" t="str">
        <f>IF($AK26="PKのみ",COUNTIFS($AK$3:$AK$62,"PKのみ",$AH$3:$AH$62,"&lt;"&amp;$AH26)+1,IF($AK26="梱包のみ",COUNTIFS($AK$3:$AK$62,"梱包のみ",$AI$3:$AI$62,"&lt;"&amp;$AI26)+1,""))</f>
        <v/>
      </c>
      <c r="BD26" s="62">
        <f>IF($AG26="","",IF(OR(AND(ISNUMBER($AH26),OR($AH26&lt;10,$AH26&gt;190)),AND(ISNUMBER($AI26),OR($AI26&lt;10,$AI26&gt;190))),1,0))</f>
        <v>0</v>
      </c>
    </row>
    <row r="27" spans="1:56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>IF($AY27="","",IF($AK27="PKのみ",$AH27,CHOOSE(MOD($AY27-1,6)+1,12,17,22,27,32,37)))</f>
        <v>80.89163346613546</v>
      </c>
      <c r="AX27" s="62">
        <f>IF($AY27="","",IF($AK27="PKのみ",CHOOSE(MOD($AY27-1,6)+1,12,17,22,27,32,37),$AI27))</f>
        <v>32.0</v>
      </c>
      <c r="AY27" s="62">
        <f>IF($AK27="PKのみ",COUNTIFS($AK$3:$AK$62,"PKのみ",$AH$3:$AH$62,"&lt;"&amp;$AH27)+1,IF($AK27="梱包のみ",COUNTIFS($AK$3:$AK$62,"梱包のみ",$AI$3:$AI$62,"&lt;"&amp;$AI27)+1,""))</f>
        <v>5</v>
      </c>
      <c r="BD27" s="62">
        <f>IF($AG27="","",IF(OR(AND(ISNUMBER($AH27),OR($AH27&lt;10,$AH27&gt;190)),AND(ISNUMBER($AI27),OR($AI27&lt;10,$AI27&gt;190))),1,0))</f>
        <v>0</v>
      </c>
    </row>
    <row r="28" spans="1:56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>IF($AY28="","",IF($AK28="PKのみ",$AH28,CHOOSE(MOD($AY28-1,6)+1,12,17,22,27,32,37)))</f>
        <v>80.2896370582617</v>
      </c>
      <c r="AX28" s="62">
        <f>IF($AY28="","",IF($AK28="PKのみ",CHOOSE(MOD($AY28-1,6)+1,12,17,22,27,32,37),$AI28))</f>
        <v>27.0</v>
      </c>
      <c r="AY28" s="62">
        <f>IF($AK28="PKのみ",COUNTIFS($AK$3:$AK$62,"PKのみ",$AH$3:$AH$62,"&lt;"&amp;$AH28)+1,IF($AK28="梱包のみ",COUNTIFS($AK$3:$AK$62,"梱包のみ",$AI$3:$AI$62,"&lt;"&amp;$AI28)+1,""))</f>
        <v>4</v>
      </c>
      <c r="BD28" s="62">
        <f>IF($AG28="","",IF(OR(AND(ISNUMBER($AH28),OR($AH28&lt;10,$AH28&gt;190)),AND(ISNUMBER($AI28),OR($AI28&lt;10,$AI28&gt;190))),1,0))</f>
        <v>0</v>
      </c>
    </row>
    <row r="29" spans="1:56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>IF($AY29="","",IF($AK29="PKのみ",$AH29,CHOOSE(MOD($AY29-1,6)+1,12,17,22,27,32,37)))</f>
        <v>79.35816135084428</v>
      </c>
      <c r="AX29" s="62">
        <f>IF($AY29="","",IF($AK29="PKのみ",CHOOSE(MOD($AY29-1,6)+1,12,17,22,27,32,37),$AI29))</f>
        <v>22.0</v>
      </c>
      <c r="AY29" s="62">
        <f>IF($AK29="PKのみ",COUNTIFS($AK$3:$AK$62,"PKのみ",$AH$3:$AH$62,"&lt;"&amp;$AH29)+1,IF($AK29="梱包のみ",COUNTIFS($AK$3:$AK$62,"梱包のみ",$AI$3:$AI$62,"&lt;"&amp;$AI29)+1,""))</f>
        <v>3</v>
      </c>
      <c r="BD29" s="62">
        <f>IF($AG29="","",IF(OR(AND(ISNUMBER($AH29),OR($AH29&lt;10,$AH29&gt;190)),AND(ISNUMBER($AI29),OR($AI29&lt;10,$AI29&gt;190))),1,0))</f>
        <v>0</v>
      </c>
    </row>
    <row r="30" spans="1:56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>IF($AY30="","",IF($AK30="PKのみ",$AH30,CHOOSE(MOD($AY30-1,6)+1,12,17,22,27,32,37)))</f>
        <v>56.60244897959183</v>
      </c>
      <c r="AX30" s="62">
        <f>IF($AY30="","",IF($AK30="PKのみ",CHOOSE(MOD($AY30-1,6)+1,12,17,22,27,32,37),$AI30))</f>
        <v>12.0</v>
      </c>
      <c r="AY30" s="62">
        <f>IF($AK30="PKのみ",COUNTIFS($AK$3:$AK$62,"PKのみ",$AH$3:$AH$62,"&lt;"&amp;$AH30)+1,IF($AK30="梱包のみ",COUNTIFS($AK$3:$AK$62,"梱包のみ",$AI$3:$AI$62,"&lt;"&amp;$AI30)+1,""))</f>
        <v>1</v>
      </c>
      <c r="BD30" s="62">
        <f>IF($AG30="","",IF(OR(AND(ISNUMBER($AH30),OR($AH30&lt;10,$AH30&gt;190)),AND(ISNUMBER($AI30),OR($AI30&lt;10,$AI30&gt;190))),1,0))</f>
        <v>0</v>
      </c>
    </row>
    <row r="31" spans="1:56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>IF($AY31="","",IF($AK31="PKのみ",$AH31,CHOOSE(MOD($AY31-1,6)+1,12,17,22,27,32,37)))</f>
        <v/>
      </c>
      <c r="AX31" s="62" t="str">
        <f>IF($AY31="","",IF($AK31="PKのみ",CHOOSE(MOD($AY31-1,6)+1,12,17,22,27,32,37),$AI31))</f>
        <v/>
      </c>
      <c r="AY31" s="62" t="str">
        <f>IF($AK31="PKのみ",COUNTIFS($AK$3:$AK$62,"PKのみ",$AH$3:$AH$62,"&lt;"&amp;$AH31)+1,IF($AK31="梱包のみ",COUNTIFS($AK$3:$AK$62,"梱包のみ",$AI$3:$AI$62,"&lt;"&amp;$AI31)+1,""))</f>
        <v/>
      </c>
      <c r="BD31" s="62">
        <f>IF($AG31="","",IF(OR(AND(ISNUMBER($AH31),OR($AH31&lt;10,$AH31&gt;190)),AND(ISNUMBER($AI31),OR($AI31&lt;10,$AI31&gt;190))),1,0))</f>
        <v>0</v>
      </c>
    </row>
    <row r="32" spans="1:56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>IF($AY32="","",IF($AK32="PKのみ",$AH32,CHOOSE(MOD($AY32-1,6)+1,12,17,22,27,32,37)))</f>
        <v/>
      </c>
      <c r="AX32" s="62" t="str">
        <f>IF($AY32="","",IF($AK32="PKのみ",CHOOSE(MOD($AY32-1,6)+1,12,17,22,27,32,37),$AI32))</f>
        <v/>
      </c>
      <c r="AY32" s="62" t="str">
        <f>IF($AK32="PKのみ",COUNTIFS($AK$3:$AK$62,"PKのみ",$AH$3:$AH$62,"&lt;"&amp;$AH32)+1,IF($AK32="梱包のみ",COUNTIFS($AK$3:$AK$62,"梱包のみ",$AI$3:$AI$62,"&lt;"&amp;$AI32)+1,""))</f>
        <v/>
      </c>
      <c r="BD32" s="62" t="str">
        <f>IF($AG32="","",IF(OR(AND(ISNUMBER($AH32),OR($AH32&lt;10,$AH32&gt;190)),AND(ISNUMBER($AI32),OR($AI32&lt;10,$AI32&gt;190))),1,0))</f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>IF($AY33="","",IF($AK33="PKのみ",$AH33,CHOOSE(MOD($AY33-1,6)+1,12,17,22,27,32,37)))</f>
        <v/>
      </c>
      <c r="AX33" s="62" t="str">
        <f>IF($AY33="","",IF($AK33="PKのみ",CHOOSE(MOD($AY33-1,6)+1,12,17,22,27,32,37),$AI33))</f>
        <v/>
      </c>
      <c r="AY33" s="62" t="str">
        <f>IF($AK33="PKのみ",COUNTIFS($AK$3:$AK$62,"PKのみ",$AH$3:$AH$62,"&lt;"&amp;$AH33)+1,IF($AK33="梱包のみ",COUNTIFS($AK$3:$AK$62,"梱包のみ",$AI$3:$AI$62,"&lt;"&amp;$AI33)+1,""))</f>
        <v/>
      </c>
      <c r="BD33" s="62" t="str">
        <f>IF($AG33="","",IF(OR(AND(ISNUMBER($AH33),OR($AH33&lt;10,$AH33&gt;190)),AND(ISNUMBER($AI33),OR($AI33&lt;10,$AI33&gt;190))),1,0))</f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>IF($AY34="","",IF($AK34="PKのみ",$AH34,CHOOSE(MOD($AY34-1,6)+1,12,17,22,27,32,37)))</f>
        <v/>
      </c>
      <c r="AX34" s="62" t="str">
        <f>IF($AY34="","",IF($AK34="PKのみ",CHOOSE(MOD($AY34-1,6)+1,12,17,22,27,32,37),$AI34))</f>
        <v/>
      </c>
      <c r="AY34" s="62" t="str">
        <f>IF($AK34="PKのみ",COUNTIFS($AK$3:$AK$62,"PKのみ",$AH$3:$AH$62,"&lt;"&amp;$AH34)+1,IF($AK34="梱包のみ",COUNTIFS($AK$3:$AK$62,"梱包のみ",$AI$3:$AI$62,"&lt;"&amp;$AI34)+1,""))</f>
        <v/>
      </c>
      <c r="BD34" s="62" t="str">
        <f>IF($AG34="","",IF(OR(AND(ISNUMBER($AH34),OR($AH34&lt;10,$AH34&gt;190)),AND(ISNUMBER($AI34),OR($AI34&lt;10,$AI34&gt;190))),1,0))</f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  <c r="AW35" s="62" t="str">
        <f>IF($AY35="","",IF($AK35="PKのみ",$AH35,CHOOSE(MOD($AY35-1,6)+1,12,17,22,27,32,37)))</f>
        <v/>
      </c>
      <c r="AX35" s="62" t="str">
        <f>IF($AY35="","",IF($AK35="PKのみ",CHOOSE(MOD($AY35-1,6)+1,12,17,22,27,32,37),$AI35))</f>
        <v/>
      </c>
      <c r="AY35" s="62" t="str">
        <f>IF($AK35="PKのみ",COUNTIFS($AK$3:$AK$62,"PKのみ",$AH$3:$AH$62,"&lt;"&amp;$AH35)+1,IF($AK35="梱包のみ",COUNTIFS($AK$3:$AK$62,"梱包のみ",$AI$3:$AI$62,"&lt;"&amp;$AI35)+1,""))</f>
        <v/>
      </c>
      <c r="BD35" s="62" t="str">
        <f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  <c r="AW36" s="62" t="str">
        <f>IF($AY36="","",IF($AK36="PKのみ",$AH36,CHOOSE(MOD($AY36-1,6)+1,12,17,22,27,32,37)))</f>
        <v/>
      </c>
      <c r="AX36" s="62" t="str">
        <f>IF($AY36="","",IF($AK36="PKのみ",CHOOSE(MOD($AY36-1,6)+1,12,17,22,27,32,37),$AI36))</f>
        <v/>
      </c>
      <c r="AY36" s="62" t="str">
        <f>IF($AK36="PKのみ",COUNTIFS($AK$3:$AK$62,"PKのみ",$AH$3:$AH$62,"&lt;"&amp;$AH36)+1,IF($AK36="梱包のみ",COUNTIFS($AK$3:$AK$62,"梱包のみ",$AI$3:$AI$62,"&lt;"&amp;$AI36)+1,""))</f>
        <v/>
      </c>
      <c r="BD36" s="62" t="str">
        <f>IF($AG36="","",IF(OR(AND(ISNUMBER($AH36),OR($AH36&lt;10,$AH36&gt;190)),AND(ISNUMBER($AI36),OR($AI36&lt;10,$AI36&gt;190))),1,0))</f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  <c r="AW37" s="62" t="str">
        <f>IF($AY37="","",IF($AK37="PKのみ",$AH37,CHOOSE(MOD($AY37-1,6)+1,12,17,22,27,32,37)))</f>
        <v/>
      </c>
      <c r="AX37" s="62" t="str">
        <f>IF($AY37="","",IF($AK37="PKのみ",CHOOSE(MOD($AY37-1,6)+1,12,17,22,27,32,37),$AI37))</f>
        <v/>
      </c>
      <c r="AY37" s="62" t="str">
        <f>IF($AK37="PKのみ",COUNTIFS($AK$3:$AK$62,"PKのみ",$AH$3:$AH$62,"&lt;"&amp;$AH37)+1,IF($AK37="梱包のみ",COUNTIFS($AK$3:$AK$62,"梱包のみ",$AI$3:$AI$62,"&lt;"&amp;$AI37)+1,""))</f>
        <v/>
      </c>
      <c r="BD37" s="62" t="str">
        <f>IF($AG37="","",IF(OR(AND(ISNUMBER($AH37),OR($AH37&lt;10,$AH37&gt;190)),AND(ISNUMBER($AI37),OR($AI37&lt;10,$AI37&gt;190))),1,0))</f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  <c r="AW38" s="62" t="str">
        <f>IF($AY38="","",IF($AK38="PKのみ",$AH38,CHOOSE(MOD($AY38-1,6)+1,12,17,22,27,32,37)))</f>
        <v/>
      </c>
      <c r="AX38" s="62" t="str">
        <f>IF($AY38="","",IF($AK38="PKのみ",CHOOSE(MOD($AY38-1,6)+1,12,17,22,27,32,37),$AI38))</f>
        <v/>
      </c>
      <c r="AY38" s="62" t="str">
        <f>IF($AK38="PKのみ",COUNTIFS($AK$3:$AK$62,"PKのみ",$AH$3:$AH$62,"&lt;"&amp;$AH38)+1,IF($AK38="梱包のみ",COUNTIFS($AK$3:$AK$62,"梱包のみ",$AI$3:$AI$62,"&lt;"&amp;$AI38)+1,""))</f>
        <v/>
      </c>
      <c r="BD38" s="62" t="str">
        <f>IF($AG38="","",IF(OR(AND(ISNUMBER($AH38),OR($AH38&lt;10,$AH38&gt;190)),AND(ISNUMBER($AI38),OR($AI38&lt;10,$AI38&gt;190))),1,0))</f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  <c r="AW39" s="62" t="str">
        <f>IF($AY39="","",IF($AK39="PKのみ",$AH39,CHOOSE(MOD($AY39-1,6)+1,12,17,22,27,32,37)))</f>
        <v/>
      </c>
      <c r="AX39" s="62" t="str">
        <f>IF($AY39="","",IF($AK39="PKのみ",CHOOSE(MOD($AY39-1,6)+1,12,17,22,27,32,37),$AI39))</f>
        <v/>
      </c>
      <c r="AY39" s="62" t="str">
        <f>IF($AK39="PKのみ",COUNTIFS($AK$3:$AK$62,"PKのみ",$AH$3:$AH$62,"&lt;"&amp;$AH39)+1,IF($AK39="梱包のみ",COUNTIFS($AK$3:$AK$62,"梱包のみ",$AI$3:$AI$62,"&lt;"&amp;$AI39)+1,""))</f>
        <v/>
      </c>
      <c r="BD39" s="62" t="str">
        <f>IF($AG39="","",IF(OR(AND(ISNUMBER($AH39),OR($AH39&lt;10,$AH39&gt;190)),AND(ISNUMBER($AI39),OR($AI39&lt;10,$AI39&gt;190))),1,0))</f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  <c r="AW40" s="62" t="str">
        <f>IF($AY40="","",IF($AK40="PKのみ",$AH40,CHOOSE(MOD($AY40-1,6)+1,12,17,22,27,32,37)))</f>
        <v/>
      </c>
      <c r="AX40" s="62" t="str">
        <f>IF($AY40="","",IF($AK40="PKのみ",CHOOSE(MOD($AY40-1,6)+1,12,17,22,27,32,37),$AI40))</f>
        <v/>
      </c>
      <c r="AY40" s="62" t="str">
        <f>IF($AK40="PKのみ",COUNTIFS($AK$3:$AK$62,"PKのみ",$AH$3:$AH$62,"&lt;"&amp;$AH40)+1,IF($AK40="梱包のみ",COUNTIFS($AK$3:$AK$62,"梱包のみ",$AI$3:$AI$62,"&lt;"&amp;$AI40)+1,""))</f>
        <v/>
      </c>
      <c r="BD40" s="62" t="str">
        <f>IF($AG40="","",IF(OR(AND(ISNUMBER($AH40),OR($AH40&lt;10,$AH40&gt;190)),AND(ISNUMBER($AI40),OR($AI40&lt;10,$AI40&gt;190))),1,0))</f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  <c r="AW41" s="62" t="str">
        <f>IF($AY41="","",IF($AK41="PKのみ",$AH41,CHOOSE(MOD($AY41-1,6)+1,12,17,22,27,32,37)))</f>
        <v/>
      </c>
      <c r="AX41" s="62" t="str">
        <f>IF($AY41="","",IF($AK41="PKのみ",CHOOSE(MOD($AY41-1,6)+1,12,17,22,27,32,37),$AI41))</f>
        <v/>
      </c>
      <c r="AY41" s="62" t="str">
        <f>IF($AK41="PKのみ",COUNTIFS($AK$3:$AK$62,"PKのみ",$AH$3:$AH$62,"&lt;"&amp;$AH41)+1,IF($AK41="梱包のみ",COUNTIFS($AK$3:$AK$62,"梱包のみ",$AI$3:$AI$62,"&lt;"&amp;$AI41)+1,""))</f>
        <v/>
      </c>
      <c r="BD41" s="62" t="str">
        <f>IF($AG41="","",IF(OR(AND(ISNUMBER($AH41),OR($AH41&lt;10,$AH41&gt;190)),AND(ISNUMBER($AI41),OR($AI41&lt;10,$AI41&gt;190))),1,0))</f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  <c r="AW42" s="62" t="str">
        <f>IF($AY42="","",IF($AK42="PKのみ",$AH42,CHOOSE(MOD($AY42-1,6)+1,12,17,22,27,32,37)))</f>
        <v/>
      </c>
      <c r="AX42" s="62" t="str">
        <f>IF($AY42="","",IF($AK42="PKのみ",CHOOSE(MOD($AY42-1,6)+1,12,17,22,27,32,37),$AI42))</f>
        <v/>
      </c>
      <c r="AY42" s="62" t="str">
        <f>IF($AK42="PKのみ",COUNTIFS($AK$3:$AK$62,"PKのみ",$AH$3:$AH$62,"&lt;"&amp;$AH42)+1,IF($AK42="梱包のみ",COUNTIFS($AK$3:$AK$62,"梱包のみ",$AI$3:$AI$62,"&lt;"&amp;$AI42)+1,""))</f>
        <v/>
      </c>
      <c r="BD42" s="62" t="str">
        <f>IF($AG42="","",IF(OR(AND(ISNUMBER($AH42),OR($AH42&lt;10,$AH42&gt;190)),AND(ISNUMBER($AI42),OR($AI42&lt;10,$AI42&gt;190))),1,0))</f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  <c r="AW43" s="62" t="str">
        <f>IF($AY43="","",IF($AK43="PKのみ",$AH43,CHOOSE(MOD($AY43-1,6)+1,12,17,22,27,32,37)))</f>
        <v/>
      </c>
      <c r="AX43" s="62" t="str">
        <f>IF($AY43="","",IF($AK43="PKのみ",CHOOSE(MOD($AY43-1,6)+1,12,17,22,27,32,37),$AI43))</f>
        <v/>
      </c>
      <c r="AY43" s="62" t="str">
        <f>IF($AK43="PKのみ",COUNTIFS($AK$3:$AK$62,"PKのみ",$AH$3:$AH$62,"&lt;"&amp;$AH43)+1,IF($AK43="梱包のみ",COUNTIFS($AK$3:$AK$62,"梱包のみ",$AI$3:$AI$62,"&lt;"&amp;$AI43)+1,""))</f>
        <v/>
      </c>
      <c r="BD43" s="62" t="str">
        <f>IF($AG43="","",IF(OR(AND(ISNUMBER($AH43),OR($AH43&lt;10,$AH43&gt;190)),AND(ISNUMBER($AI43),OR($AI43&lt;10,$AI43&gt;190))),1,0))</f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  <c r="AW44" s="62" t="str">
        <f>IF($AY44="","",IF($AK44="PKのみ",$AH44,CHOOSE(MOD($AY44-1,6)+1,12,17,22,27,32,37)))</f>
        <v/>
      </c>
      <c r="AX44" s="62" t="str">
        <f>IF($AY44="","",IF($AK44="PKのみ",CHOOSE(MOD($AY44-1,6)+1,12,17,22,27,32,37),$AI44))</f>
        <v/>
      </c>
      <c r="AY44" s="62" t="str">
        <f>IF($AK44="PKのみ",COUNTIFS($AK$3:$AK$62,"PKのみ",$AH$3:$AH$62,"&lt;"&amp;$AH44)+1,IF($AK44="梱包のみ",COUNTIFS($AK$3:$AK$62,"梱包のみ",$AI$3:$AI$62,"&lt;"&amp;$AI44)+1,""))</f>
        <v/>
      </c>
      <c r="BD44" s="62" t="str">
        <f>IF($AG44="","",IF(OR(AND(ISNUMBER($AH44),OR($AH44&lt;10,$AH44&gt;190)),AND(ISNUMBER($AI44),OR($AI44&lt;10,$AI44&gt;190))),1,0))</f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  <c r="AW45" s="62" t="str">
        <f>IF($AY45="","",IF($AK45="PKのみ",$AH45,CHOOSE(MOD($AY45-1,6)+1,12,17,22,27,32,37)))</f>
        <v/>
      </c>
      <c r="AX45" s="62" t="str">
        <f>IF($AY45="","",IF($AK45="PKのみ",CHOOSE(MOD($AY45-1,6)+1,12,17,22,27,32,37),$AI45))</f>
        <v/>
      </c>
      <c r="AY45" s="62" t="str">
        <f>IF($AK45="PKのみ",COUNTIFS($AK$3:$AK$62,"PKのみ",$AH$3:$AH$62,"&lt;"&amp;$AH45)+1,IF($AK45="梱包のみ",COUNTIFS($AK$3:$AK$62,"梱包のみ",$AI$3:$AI$62,"&lt;"&amp;$AI45)+1,""))</f>
        <v/>
      </c>
      <c r="BD45" s="62" t="str">
        <f>IF($AG45="","",IF(OR(AND(ISNUMBER($AH45),OR($AH45&lt;10,$AH45&gt;190)),AND(ISNUMBER($AI45),OR($AI45&lt;10,$AI45&gt;190))),1,0))</f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  <c r="AW46" s="62" t="str">
        <f>IF($AY46="","",IF($AK46="PKのみ",$AH46,CHOOSE(MOD($AY46-1,6)+1,12,17,22,27,32,37)))</f>
        <v/>
      </c>
      <c r="AX46" s="62" t="str">
        <f>IF($AY46="","",IF($AK46="PKのみ",CHOOSE(MOD($AY46-1,6)+1,12,17,22,27,32,37),$AI46))</f>
        <v/>
      </c>
      <c r="AY46" s="62" t="str">
        <f>IF($AK46="PKのみ",COUNTIFS($AK$3:$AK$62,"PKのみ",$AH$3:$AH$62,"&lt;"&amp;$AH46)+1,IF($AK46="梱包のみ",COUNTIFS($AK$3:$AK$62,"梱包のみ",$AI$3:$AI$62,"&lt;"&amp;$AI46)+1,""))</f>
        <v/>
      </c>
      <c r="BD46" s="62" t="str">
        <f>IF($AG46="","",IF(OR(AND(ISNUMBER($AH46),OR($AH46&lt;10,$AH46&gt;190)),AND(ISNUMBER($AI46),OR($AI46&lt;10,$AI46&gt;190))),1,0))</f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  <c r="AW47" s="62" t="str">
        <f>IF($AY47="","",IF($AK47="PKのみ",$AH47,CHOOSE(MOD($AY47-1,6)+1,12,17,22,27,32,37)))</f>
        <v/>
      </c>
      <c r="AX47" s="62" t="str">
        <f>IF($AY47="","",IF($AK47="PKのみ",CHOOSE(MOD($AY47-1,6)+1,12,17,22,27,32,37),$AI47))</f>
        <v/>
      </c>
      <c r="AY47" s="62" t="str">
        <f>IF($AK47="PKのみ",COUNTIFS($AK$3:$AK$62,"PKのみ",$AH$3:$AH$62,"&lt;"&amp;$AH47)+1,IF($AK47="梱包のみ",COUNTIFS($AK$3:$AK$62,"梱包のみ",$AI$3:$AI$62,"&lt;"&amp;$AI47)+1,""))</f>
        <v/>
      </c>
      <c r="BD47" s="62" t="str">
        <f>IF($AG47="","",IF(OR(AND(ISNUMBER($AH47),OR($AH47&lt;10,$AH47&gt;190)),AND(ISNUMBER($AI47),OR($AI47&lt;10,$AI47&gt;190))),1,0))</f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  <c r="AW48" s="62" t="str">
        <f>IF($AY48="","",IF($AK48="PKのみ",$AH48,CHOOSE(MOD($AY48-1,6)+1,12,17,22,27,32,37)))</f>
        <v/>
      </c>
      <c r="AX48" s="62" t="str">
        <f>IF($AY48="","",IF($AK48="PKのみ",CHOOSE(MOD($AY48-1,6)+1,12,17,22,27,32,37),$AI48))</f>
        <v/>
      </c>
      <c r="AY48" s="62" t="str">
        <f>IF($AK48="PKのみ",COUNTIFS($AK$3:$AK$62,"PKのみ",$AH$3:$AH$62,"&lt;"&amp;$AH48)+1,IF($AK48="梱包のみ",COUNTIFS($AK$3:$AK$62,"梱包のみ",$AI$3:$AI$62,"&lt;"&amp;$AI48)+1,""))</f>
        <v/>
      </c>
      <c r="BD48" s="62" t="str">
        <f>IF($AG48="","",IF(OR(AND(ISNUMBER($AH48),OR($AH48&lt;10,$AH48&gt;190)),AND(ISNUMBER($AI48),OR($AI48&lt;10,$AI48&gt;190))),1,0))</f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  <c r="AW49" s="62" t="str">
        <f>IF($AY49="","",IF($AK49="PKのみ",$AH49,CHOOSE(MOD($AY49-1,6)+1,12,17,22,27,32,37)))</f>
        <v/>
      </c>
      <c r="AX49" s="62" t="str">
        <f>IF($AY49="","",IF($AK49="PKのみ",CHOOSE(MOD($AY49-1,6)+1,12,17,22,27,32,37),$AI49))</f>
        <v/>
      </c>
      <c r="AY49" s="62" t="str">
        <f>IF($AK49="PKのみ",COUNTIFS($AK$3:$AK$62,"PKのみ",$AH$3:$AH$62,"&lt;"&amp;$AH49)+1,IF($AK49="梱包のみ",COUNTIFS($AK$3:$AK$62,"梱包のみ",$AI$3:$AI$62,"&lt;"&amp;$AI49)+1,""))</f>
        <v/>
      </c>
      <c r="BD49" s="62" t="str">
        <f>IF($AG49="","",IF(OR(AND(ISNUMBER($AH49),OR($AH49&lt;10,$AH49&gt;190)),AND(ISNUMBER($AI49),OR($AI49&lt;10,$AI49&gt;190))),1,0))</f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  <c r="AW50" s="62" t="str">
        <f>IF($AY50="","",IF($AK50="PKのみ",$AH50,CHOOSE(MOD($AY50-1,6)+1,12,17,22,27,32,37)))</f>
        <v/>
      </c>
      <c r="AX50" s="62" t="str">
        <f>IF($AY50="","",IF($AK50="PKのみ",CHOOSE(MOD($AY50-1,6)+1,12,17,22,27,32,37),$AI50))</f>
        <v/>
      </c>
      <c r="AY50" s="62" t="str">
        <f>IF($AK50="PKのみ",COUNTIFS($AK$3:$AK$62,"PKのみ",$AH$3:$AH$62,"&lt;"&amp;$AH50)+1,IF($AK50="梱包のみ",COUNTIFS($AK$3:$AK$62,"梱包のみ",$AI$3:$AI$62,"&lt;"&amp;$AI50)+1,""))</f>
        <v/>
      </c>
      <c r="BD50" s="62" t="str">
        <f>IF($AG50="","",IF(OR(AND(ISNUMBER($AH50),OR($AH50&lt;10,$AH50&gt;190)),AND(ISNUMBER($AI50),OR($AI50&lt;10,$AI50&gt;190))),1,0))</f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  <c r="AW51" s="62" t="str">
        <f>IF($AY51="","",IF($AK51="PKのみ",$AH51,CHOOSE(MOD($AY51-1,6)+1,12,17,22,27,32,37)))</f>
        <v/>
      </c>
      <c r="AX51" s="62" t="str">
        <f>IF($AY51="","",IF($AK51="PKのみ",CHOOSE(MOD($AY51-1,6)+1,12,17,22,27,32,37),$AI51))</f>
        <v/>
      </c>
      <c r="AY51" s="62" t="str">
        <f>IF($AK51="PKのみ",COUNTIFS($AK$3:$AK$62,"PKのみ",$AH$3:$AH$62,"&lt;"&amp;$AH51)+1,IF($AK51="梱包のみ",COUNTIFS($AK$3:$AK$62,"梱包のみ",$AI$3:$AI$62,"&lt;"&amp;$AI51)+1,""))</f>
        <v/>
      </c>
      <c r="BD51" s="62" t="str">
        <f>IF($AG51="","",IF(OR(AND(ISNUMBER($AH51),OR($AH51&lt;10,$AH51&gt;190)),AND(ISNUMBER($AI51),OR($AI51&lt;10,$AI51&gt;190))),1,0))</f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  <c r="AW52" s="62" t="str">
        <f>IF($AY52="","",IF($AK52="PKのみ",$AH52,CHOOSE(MOD($AY52-1,6)+1,12,17,22,27,32,37)))</f>
        <v/>
      </c>
      <c r="AX52" s="62" t="str">
        <f>IF($AY52="","",IF($AK52="PKのみ",CHOOSE(MOD($AY52-1,6)+1,12,17,22,27,32,37),$AI52))</f>
        <v/>
      </c>
      <c r="AY52" s="62" t="str">
        <f>IF($AK52="PKのみ",COUNTIFS($AK$3:$AK$62,"PKのみ",$AH$3:$AH$62,"&lt;"&amp;$AH52)+1,IF($AK52="梱包のみ",COUNTIFS($AK$3:$AK$62,"梱包のみ",$AI$3:$AI$62,"&lt;"&amp;$AI52)+1,""))</f>
        <v/>
      </c>
      <c r="BD52" s="62" t="str">
        <f>IF($AG52="","",IF(OR(AND(ISNUMBER($AH52),OR($AH52&lt;10,$AH52&gt;190)),AND(ISNUMBER($AI52),OR($AI52&lt;10,$AI52&gt;190))),1,0))</f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  <c r="AW53" s="62" t="str">
        <f>IF($AY53="","",IF($AK53="PKのみ",$AH53,CHOOSE(MOD($AY53-1,6)+1,12,17,22,27,32,37)))</f>
        <v/>
      </c>
      <c r="AX53" s="62" t="str">
        <f>IF($AY53="","",IF($AK53="PKのみ",CHOOSE(MOD($AY53-1,6)+1,12,17,22,27,32,37),$AI53))</f>
        <v/>
      </c>
      <c r="AY53" s="62" t="str">
        <f>IF($AK53="PKのみ",COUNTIFS($AK$3:$AK$62,"PKのみ",$AH$3:$AH$62,"&lt;"&amp;$AH53)+1,IF($AK53="梱包のみ",COUNTIFS($AK$3:$AK$62,"梱包のみ",$AI$3:$AI$62,"&lt;"&amp;$AI53)+1,""))</f>
        <v/>
      </c>
      <c r="BD53" s="62" t="str">
        <f>IF($AG53="","",IF(OR(AND(ISNUMBER($AH53),OR($AH53&lt;10,$AH53&gt;190)),AND(ISNUMBER($AI53),OR($AI53&lt;10,$AI53&gt;190))),1,0))</f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  <c r="AW54" s="62" t="str">
        <f>IF($AY54="","",IF($AK54="PKのみ",$AH54,CHOOSE(MOD($AY54-1,6)+1,12,17,22,27,32,37)))</f>
        <v/>
      </c>
      <c r="AX54" s="62" t="str">
        <f>IF($AY54="","",IF($AK54="PKのみ",CHOOSE(MOD($AY54-1,6)+1,12,17,22,27,32,37),$AI54))</f>
        <v/>
      </c>
      <c r="AY54" s="62" t="str">
        <f>IF($AK54="PKのみ",COUNTIFS($AK$3:$AK$62,"PKのみ",$AH$3:$AH$62,"&lt;"&amp;$AH54)+1,IF($AK54="梱包のみ",COUNTIFS($AK$3:$AK$62,"梱包のみ",$AI$3:$AI$62,"&lt;"&amp;$AI54)+1,""))</f>
        <v/>
      </c>
      <c r="BD54" s="62" t="str">
        <f>IF($AG54="","",IF(OR(AND(ISNUMBER($AH54),OR($AH54&lt;10,$AH54&gt;190)),AND(ISNUMBER($AI54),OR($AI54&lt;10,$AI54&gt;190))),1,0))</f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  <c r="AW55" s="62" t="str">
        <f>IF($AY55="","",IF($AK55="PKのみ",$AH55,CHOOSE(MOD($AY55-1,6)+1,12,17,22,27,32,37)))</f>
        <v/>
      </c>
      <c r="AX55" s="62" t="str">
        <f>IF($AY55="","",IF($AK55="PKのみ",CHOOSE(MOD($AY55-1,6)+1,12,17,22,27,32,37),$AI55))</f>
        <v/>
      </c>
      <c r="AY55" s="62" t="str">
        <f>IF($AK55="PKのみ",COUNTIFS($AK$3:$AK$62,"PKのみ",$AH$3:$AH$62,"&lt;"&amp;$AH55)+1,IF($AK55="梱包のみ",COUNTIFS($AK$3:$AK$62,"梱包のみ",$AI$3:$AI$62,"&lt;"&amp;$AI55)+1,""))</f>
        <v/>
      </c>
      <c r="BD55" s="62" t="str">
        <f>IF($AG55="","",IF(OR(AND(ISNUMBER($AH55),OR($AH55&lt;10,$AH55&gt;190)),AND(ISNUMBER($AI55),OR($AI55&lt;10,$AI55&gt;190))),1,0))</f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  <c r="AW56" s="62" t="str">
        <f>IF($AY56="","",IF($AK56="PKのみ",$AH56,CHOOSE(MOD($AY56-1,6)+1,12,17,22,27,32,37)))</f>
        <v/>
      </c>
      <c r="AX56" s="62" t="str">
        <f>IF($AY56="","",IF($AK56="PKのみ",CHOOSE(MOD($AY56-1,6)+1,12,17,22,27,32,37),$AI56))</f>
        <v/>
      </c>
      <c r="AY56" s="62" t="str">
        <f>IF($AK56="PKのみ",COUNTIFS($AK$3:$AK$62,"PKのみ",$AH$3:$AH$62,"&lt;"&amp;$AH56)+1,IF($AK56="梱包のみ",COUNTIFS($AK$3:$AK$62,"梱包のみ",$AI$3:$AI$62,"&lt;"&amp;$AI56)+1,""))</f>
        <v/>
      </c>
      <c r="BD56" s="62" t="str">
        <f>IF($AG56="","",IF(OR(AND(ISNUMBER($AH56),OR($AH56&lt;10,$AH56&gt;190)),AND(ISNUMBER($AI56),OR($AI56&lt;10,$AI56&gt;190))),1,0))</f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  <c r="AW57" s="62" t="str">
        <f>IF($AY57="","",IF($AK57="PKのみ",$AH57,CHOOSE(MOD($AY57-1,6)+1,12,17,22,27,32,37)))</f>
        <v/>
      </c>
      <c r="AX57" s="62" t="str">
        <f>IF($AY57="","",IF($AK57="PKのみ",CHOOSE(MOD($AY57-1,6)+1,12,17,22,27,32,37),$AI57))</f>
        <v/>
      </c>
      <c r="AY57" s="62" t="str">
        <f>IF($AK57="PKのみ",COUNTIFS($AK$3:$AK$62,"PKのみ",$AH$3:$AH$62,"&lt;"&amp;$AH57)+1,IF($AK57="梱包のみ",COUNTIFS($AK$3:$AK$62,"梱包のみ",$AI$3:$AI$62,"&lt;"&amp;$AI57)+1,""))</f>
        <v/>
      </c>
      <c r="BD57" s="62" t="str">
        <f>IF($AG57="","",IF(OR(AND(ISNUMBER($AH57),OR($AH57&lt;10,$AH57&gt;190)),AND(ISNUMBER($AI57),OR($AI57&lt;10,$AI57&gt;190))),1,0))</f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  <c r="AW58" s="62" t="str">
        <f>IF($AY58="","",IF($AK58="PKのみ",$AH58,CHOOSE(MOD($AY58-1,6)+1,12,17,22,27,32,37)))</f>
        <v/>
      </c>
      <c r="AX58" s="62" t="str">
        <f>IF($AY58="","",IF($AK58="PKのみ",CHOOSE(MOD($AY58-1,6)+1,12,17,22,27,32,37),$AI58))</f>
        <v/>
      </c>
      <c r="AY58" s="62" t="str">
        <f>IF($AK58="PKのみ",COUNTIFS($AK$3:$AK$62,"PKのみ",$AH$3:$AH$62,"&lt;"&amp;$AH58)+1,IF($AK58="梱包のみ",COUNTIFS($AK$3:$AK$62,"梱包のみ",$AI$3:$AI$62,"&lt;"&amp;$AI58)+1,""))</f>
        <v/>
      </c>
      <c r="BD58" s="62" t="str">
        <f>IF($AG58="","",IF(OR(AND(ISNUMBER($AH58),OR($AH58&lt;10,$AH58&gt;190)),AND(ISNUMBER($AI58),OR($AI58&lt;10,$AI58&gt;190))),1,0))</f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  <c r="AW59" s="62" t="str">
        <f>IF($AY59="","",IF($AK59="PKのみ",$AH59,CHOOSE(MOD($AY59-1,6)+1,12,17,22,27,32,37)))</f>
        <v/>
      </c>
      <c r="AX59" s="62" t="str">
        <f>IF($AY59="","",IF($AK59="PKのみ",CHOOSE(MOD($AY59-1,6)+1,12,17,22,27,32,37),$AI59))</f>
        <v/>
      </c>
      <c r="AY59" s="62" t="str">
        <f>IF($AK59="PKのみ",COUNTIFS($AK$3:$AK$62,"PKのみ",$AH$3:$AH$62,"&lt;"&amp;$AH59)+1,IF($AK59="梱包のみ",COUNTIFS($AK$3:$AK$62,"梱包のみ",$AI$3:$AI$62,"&lt;"&amp;$AI59)+1,""))</f>
        <v/>
      </c>
      <c r="BD59" s="62" t="str">
        <f>IF($AG59="","",IF(OR(AND(ISNUMBER($AH59),OR($AH59&lt;10,$AH59&gt;190)),AND(ISNUMBER($AI59),OR($AI59&lt;10,$AI59&gt;190))),1,0))</f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  <c r="AW60" s="62" t="str">
        <f>IF($AY60="","",IF($AK60="PKのみ",$AH60,CHOOSE(MOD($AY60-1,6)+1,12,17,22,27,32,37)))</f>
        <v/>
      </c>
      <c r="AX60" s="62" t="str">
        <f>IF($AY60="","",IF($AK60="PKのみ",CHOOSE(MOD($AY60-1,6)+1,12,17,22,27,32,37),$AI60))</f>
        <v/>
      </c>
      <c r="AY60" s="62" t="str">
        <f>IF($AK60="PKのみ",COUNTIFS($AK$3:$AK$62,"PKのみ",$AH$3:$AH$62,"&lt;"&amp;$AH60)+1,IF($AK60="梱包のみ",COUNTIFS($AK$3:$AK$62,"梱包のみ",$AI$3:$AI$62,"&lt;"&amp;$AI60)+1,""))</f>
        <v/>
      </c>
      <c r="BD60" s="62" t="str">
        <f>IF($AG60="","",IF(OR(AND(ISNUMBER($AH60),OR($AH60&lt;10,$AH60&gt;190)),AND(ISNUMBER($AI60),OR($AI60&lt;10,$AI60&gt;190))),1,0))</f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  <c r="AW61" s="62" t="str">
        <f>IF($AY61="","",IF($AK61="PKのみ",$AH61,CHOOSE(MOD($AY61-1,6)+1,12,17,22,27,32,37)))</f>
        <v/>
      </c>
      <c r="AX61" s="62" t="str">
        <f>IF($AY61="","",IF($AK61="PKのみ",CHOOSE(MOD($AY61-1,6)+1,12,17,22,27,32,37),$AI61))</f>
        <v/>
      </c>
      <c r="AY61" s="62" t="str">
        <f>IF($AK61="PKのみ",COUNTIFS($AK$3:$AK$62,"PKのみ",$AH$3:$AH$62,"&lt;"&amp;$AH61)+1,IF($AK61="梱包のみ",COUNTIFS($AK$3:$AK$62,"梱包のみ",$AI$3:$AI$62,"&lt;"&amp;$AI61)+1,""))</f>
        <v/>
      </c>
      <c r="BD61" s="62" t="str">
        <f>IF($AG61="","",IF(OR(AND(ISNUMBER($AH61),OR($AH61&lt;10,$AH61&gt;190)),AND(ISNUMBER($AI61),OR($AI61&lt;10,$AI61&gt;190))),1,0))</f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  <c r="AW62" s="62" t="str">
        <f>IF($AY62="","",IF($AK62="PKのみ",$AH62,CHOOSE(MOD($AY62-1,6)+1,12,17,22,27,32,37)))</f>
        <v/>
      </c>
      <c r="AX62" s="62" t="str">
        <f>IF($AY62="","",IF($AK62="PKのみ",CHOOSE(MOD($AY62-1,6)+1,12,17,22,27,32,37),$AI62))</f>
        <v/>
      </c>
      <c r="AY62" s="62" t="str">
        <f>IF($AK62="PKのみ",COUNTIFS($AK$3:$AK$62,"PKのみ",$AH$3:$AH$62,"&lt;"&amp;$AH62)+1,IF($AK62="梱包のみ",COUNTIFS($AK$3:$AK$62,"梱包のみ",$AI$3:$AI$62,"&lt;"&amp;$AI62)+1,""))</f>
        <v/>
      </c>
      <c r="BD62" s="62" t="str">
        <f>IF($AG62="","",IF(OR(AND(ISNUMBER($AH62),OR($AH62&lt;10,$AH62&gt;190)),AND(ISNUMBER($AI62),OR($AI62&lt;10,$AI62&gt;190))),1,0))</f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