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13_ncr:1_{AAA2497A-5009-499A-A557-7DDCF1E958FC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externalReferences>
    <externalReference r:id="rId13"/>
  </externalReference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1">印刷用!$A$1:$AA$63</definedName>
    <definedName name="_xlnm.Print_Titles" localSheetId="1">印刷用!$4:$4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<sst xmlns="http://schemas.openxmlformats.org/spreadsheetml/2006/main" count="633" uniqueCount="454">
  <si>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</si>
  <si>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</si>
  <si>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</si>
  <si>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</si>
  <si>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</si>
  <si>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</si>
  <si>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</si>
  <si>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</si>
  <si>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</si>
  <si>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</si>
  <si>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</si>
  <si>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</si>
  <si>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</si>
  <si>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</si>
  <si>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</si>
  <si>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</si>
  <si>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</si>
  <si>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</si>
  <si>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</si>
  <si>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</si>
  <si>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</si>
  <si>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</si>
  <si>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</si>
  <si>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</si>
  <si>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</si>
  <si>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</si>
  <si>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</si>
  <si>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</si>
  <si>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</si>
  <si>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</si>
  <si>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</si>
  <si>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</si>
  <si>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</si>
  <si>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</si>
  <si>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</si>
  <si>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</si>
  <si>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</si>
  <si>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</si>
  <si>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</si>
  <si>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</si>
  <si>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</si>
  <si>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</si>
  <si>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</si>
  <si>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</si>
  <si>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</si>
  <si>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</si>
  <si>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</si>
  <si>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</si>
  <si>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</si>
  <si>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</si>
  <si>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</si>
  <si>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</si>
  <si>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</si>
  <si>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</si>
  <si>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</si>
  <si>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</si>
  <si>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</si>
  <si>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</si>
  <si>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</si>
  <si>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</si>
  <si>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</si>
  <si>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</si>
  <si>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</si>
  <si>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</si>
  <si>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</si>
  <si>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</si>
  <si>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</si>
  <si>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</si>
  <si>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</si>
  <si>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</si>
  <si>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</si>
  <si>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</si>
  <si>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</si>
  <si>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</si>
  <si>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</si>
  <si>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</si>
  <si>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</si>
  <si>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</si>
  <si>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</si>
  <si>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8. 担当者ランキング　※ 縮小後効率＝記録日数の少ない人のブレを平均側へ寄せた、順位づけ用の値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</si>
  <si>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</si>
  <si>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</si>
  <si>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</si>
  <si>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</si>
  <si>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</si>
  <si>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</si>
  <si>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</si>
  <si>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</si>
  <si>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</si>
  <si>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</si>
  <si>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</si>
  <si>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</si>
  <si>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</si>
  <si>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</si>
  <si>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</si>
  <si>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</si>
  <si>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</si>
  <si>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</si>
  <si>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</si>
  <si>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</si>
  <si>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</si>
  <si>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</si>
  <si>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</si>
  <si>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</si>
  <si>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◎ 上位</t>
  </si>
  <si>
    <t>信頼区間の下限が全体平均を上回る人</t>
  </si>
  <si>
    <t>○ 標準</t>
  </si>
  <si>
    <t>区間が全体平均をまたぐ＝差があるとは言えない</t>
  </si>
  <si>
    <t>△ 要支援</t>
  </si>
  <si>
    <t>信頼区間の上限が全体平均を下回る人</t>
  </si>
  <si>
    <t>※ 段取り比率が高い月ほど「1社1個のリスト」が多い月です。件数だけで人を比べると、その人の努力が数字から消えます。</t>
  </si>
  <si>
    <t>標準時間 ＝ a × 企業数 ＋ b × 件数　（ピッキング a=92.1秒/社・b=75.6秒/件／梱包 a=92.1秒/社・b=69.5秒/件）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</si>
  <si>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</si>
  <si>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</si>
  <si>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</si>
  <si>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④ 改善優先順位（全員 29名）</t>
  </si>
  <si>
    <t>② ピッキング・梱包 内訳比較（両工程 19名）</t>
  </si>
  <si>
    <t>担当者</t>
  </si>
  <si>
    <t>工程</t>
  </si>
  <si>
    <t>総合達成率</t>
  </si>
  <si>
    <t>目標との差
(pt)</t>
  </si>
  <si>
    <t>コメント</t>
  </si>
  <si>
    <t>③ 改善優先度マトリクス（両工程 19名）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</si>
  <si>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</si>
  <si>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</si>
  <si>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</si>
  <si>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</si>
  <si>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</si>
  <si>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</si>
  <si>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</si>
  <si>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</si>
  <si>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</si>
  <si>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</si>
  <si>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</si>
  <si>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</si>
  <si>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</si>
  <si>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</si>
  <si>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</si>
  <si>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</si>
  <si>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</si>
  <si>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</si>
  <si>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</si>
  <si>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</si>
  <si>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</si>
  <si>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</si>
  <si>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</si>
  <si>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</si>
  <si>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</si>
  <si>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</si>
  <si>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</si>
  <si>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</si>
  <si>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</si>
  <si>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</si>
  <si>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</si>
  <si>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</si>
  <si>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</si>
  <si>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</si>
  <si>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</si>
  <si>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</si>
  <si>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</si>
  <si>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</si>
  <si>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</si>
  <si>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</si>
  <si>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</si>
  <si>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</si>
  <si>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</si>
  <si>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</si>
  <si>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</si>
  <si>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</si>
  <si>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</si>
  <si>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</si>
  <si>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</si>
  <si>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</si>
  <si>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</si>
  <si>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</si>
  <si>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</si>
  <si>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</si>
  <si>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</si>
  <si>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</si>
  <si>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</si>
  <si>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</si>
  <si>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</si>
  <si>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</si>
  <si>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</si>
  <si>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</si>
  <si>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</si>
  <si>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</si>
  <si>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</si>
  <si>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</si>
  <si>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</si>
  <si>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</si>
  <si>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</si>
  <si>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</si>
  <si>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</si>
  <si>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</si>
  <si>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</si>
  <si>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</si>
  <si>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</si>
  <si>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</si>
  <si>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</si>
  <si>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</si>
  <si>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</si>
  <si>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</si>
  <si>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</si>
  <si>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</si>
  <si>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</si>
  <si>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</si>
  <si>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</si>
  <si>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</si>
  <si>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</si>
  <si>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</si>
  <si>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</si>
  <si>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</si>
  <si>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</si>
  <si>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</si>
  <si>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</si>
  <si>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</si>
  <si>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</si>
  <si>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</si>
  <si>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</si>
  <si>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</si>
  <si>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</si>
  <si>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</si>
  <si>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</si>
  <si>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</si>
  <si>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</si>
  <si>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</si>
  <si>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</si>
  <si>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</si>
  <si>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</si>
  <si>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</si>
  <si>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</si>
  <si>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</si>
  <si>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</si>
  <si>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</si>
  <si>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</si>
  <si>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</si>
  <si>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</si>
  <si>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</si>
  <si>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</si>
  <si>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</si>
  <si>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</si>
  <si>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</si>
  <si>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</si>
  <si>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</si>
  <si>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</si>
  <si>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</si>
  <si>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</si>
  <si>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</si>
  <si>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</si>
  <si>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</si>
  <si>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</si>
  <si>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</si>
  <si>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</si>
  <si>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</si>
  <si>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</si>
  <si>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</si>
  <si>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</si>
  <si>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</si>
  <si>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</si>
  <si>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</si>
  <si>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</si>
  <si>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</si>
  <si>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</si>
  <si>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</si>
  <si>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</si>
  <si>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</si>
  <si>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</si>
  <si>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</si>
  <si>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</si>
  <si>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</si>
  <si>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</si>
  <si>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</si>
  <si>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</si>
  <si>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</si>
  <si>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</si>
  <si>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</si>
  <si>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</si>
  <si>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</si>
  <si>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</si>
  <si>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</si>
  <si>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</si>
  <si>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</si>
  <si>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</si>
  <si>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</si>
  <si>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</si>
  <si>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</si>
  <si>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</si>
  <si>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</si>
  <si>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</si>
  <si>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</si>
  <si>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</si>
  <si>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</si>
  <si>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</si>
  <si>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</si>
  <si>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</si>
  <si>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</si>
  <si>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</si>
  <si>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</si>
  <si>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</si>
  <si>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</si>
  <si>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</si>
  <si>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</si>
  <si>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</si>
  <si>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</si>
  <si>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</si>
  <si>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</si>
  <si>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</si>
  <si>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</si>
  <si>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</si>
  <si>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</si>
  <si>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</si>
  <si>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</si>
  <si>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</si>
  <si>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</si>
  <si>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</si>
  <si>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</si>
  <si>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</si>
  <si>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</si>
  <si>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</si>
  <si>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</si>
  <si>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</si>
  <si>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</si>
  <si>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</si>
  <si>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</si>
  <si>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</si>
  <si>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</si>
  <si>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</si>
  <si>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</si>
  <si>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</si>
  <si>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</si>
  <si>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</si>
  <si>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</si>
  <si>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</si>
  <si>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</si>
  <si>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</si>
  <si>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</si>
  <si>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</si>
  <si>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</si>
  <si>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</si>
  <si>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</si>
  <si>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</si>
  <si>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</si>
  <si>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</si>
  <si>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</si>
  <si>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</si>
  <si>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</si>
  <si>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</si>
  <si>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</si>
  <si>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</si>
  <si>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</si>
  <si>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</si>
  <si>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</si>
  <si>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</si>
  <si>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</si>
  <si>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</si>
  <si>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</si>
  <si>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</si>
  <si>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</si>
  <si>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</si>
  <si>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</si>
  <si>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</si>
  <si>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</si>
  <si>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</si>
  <si>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① リストを見る 46.0 ＋ ④ 伝票を挟む 46.0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</si>
  <si>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</si>
  <si>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</si>
  <si>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</si>
  <si>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</si>
  <si>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</si>
  <si>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</si>
  <si>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</si>
  <si>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記録日数の少ない人は数字がブレます。ブレの大きさを見積もって、順位づけ用の値（縮小後効率）と信頼区間を計算します。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</si>
  <si>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</si>
  <si>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</si>
  <si>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</si>
  <si>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</si>
  <si>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</si>
  <si>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順位の再現性。1に近いほど安定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</si>
  <si>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</si>
  <si>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</si>
  <si>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</si>
  <si>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</si>
  <si>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</si>
  <si>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</si>
  <si>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</si>
  <si>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</si>
  <si>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全体サマリー、縮小後効率のランキング、配置マップが自動で出ます。
段取り比率が高い月ほど、件数だけの比較は不公平になります。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</si>
  <si>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</si>
  <si>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</si>
  <si>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</si>
  <si>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</si>
  <si>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</si>
  <si>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</si>
  <si>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</si>
  <si>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1社ごとに必ず発生する時間。ピッキングは 92.1秒/社（① リストを見る ＋ ④ 伝票を挟む）。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</si>
  <si>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</si>
  <si>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</si>
  <si>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</si>
  <si>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</si>
  <si>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</si>
  <si>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</si>
  <si>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</si>
  <si>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</si>
  <si>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</si>
  <si>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</si>
  <si>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記録日数が少ない人は数字がブレるため、平均側へ寄せた値。順位づけに使う。</t>
  </si>
  <si>
    <t>下限・上限</t>
  </si>
  <si>
    <t>縮小後効率の95％信頼区間。「この範囲のどこかに真の実力がある」という幅。</t>
  </si>
  <si>
    <t>下限＞全体平均なら ◎上位。上限＜全体平均なら △要支援。またぐなら ○標準（差があるとは言えない）。</t>
  </si>
  <si>
    <t>公平目標(分/個)</t>
  </si>
  <si>
    <t>その人の「件/社」に合わせた分/個の目標。標準時間 ÷ 件数。</t>
  </si>
  <si>
    <t>信頼性</t>
  </si>
  <si>
    <t>順位の再現性。1に近いほど順位が安定。ピッキング 0.61／梱包 0.89。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</si>
  <si>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</si>
  <si>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</si>
  <si>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</si>
  <si>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</si>
  <si>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・ピッキングは信頼性 0.61 と低めです。1か月の順位だけで人を決めず、数か月ならして見てください。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</si>
  <si>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</si>
  <si>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</si>
  <si>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</si>
  <si>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</si>
  <si>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</si>
  <si>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</si>
  <si>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</si>
  <si>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</si>
  <si>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</si>
  <si>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</si>
  <si>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</si>
  <si>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</si>
  <si>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</si>
  <si>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</si>
  <si>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</si>
  <si>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</si>
  <si>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</si>
  <si>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</si>
  <si>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</si>
  <si>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</si>
  <si>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</si>
  <si>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</si>
  <si>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</si>
  <si>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</si>
  <si>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</si>
  <si>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</si>
  <si>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</si>
  <si>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</si>
  <si>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</si>
  <si>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</si>
  <si>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</si>
  <si>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</si>
  <si>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</si>
  <si>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</si>
  <si>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個人別 総合達成率（全員 29名）</t>
    <phoneticPr fontId="3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</si>
</sst>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32" fillId="2" borderId="0" xfId="0" applyFont="1" applyFill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0" fillId="8" borderId="1" xfId="0" applyFill="1" applyBorder="1"/>
    <xf numFmtId="0" fontId="14" fillId="7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182" fontId="18" fillId="8" borderId="1" xfId="0" applyNumberFormat="1" applyFont="1" applyFill="1" applyBorder="1" applyAlignment="1">
      <alignment horizontal="left" vertical="center"/>
    </xf>
    <xf numFmtId="0" fontId="2" fillId="0" borderId="1" xfId="0" applyFont="1" applyBorder="1"/>
    <xf numFmtId="0" fontId="0" fillId="0" borderId="1" xfId="0" applyBorder="1"/>
    <xf numFmtId="0" fontId="2" fillId="8" borderId="1" xfId="0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0" fillId="0" borderId="0" xfId="0"/>
    <xf numFmtId="0" fontId="2" fillId="0" borderId="0" xfId="0" applyFont="1"/>
    <xf numFmtId="181" fontId="18" fillId="8" borderId="1" xfId="0" applyNumberFormat="1" applyFont="1" applyFill="1" applyBorder="1" applyAlignment="1">
      <alignment horizontal="left" vertical="center"/>
    </xf>
    <xf numFmtId="178" fontId="18" fillId="8" borderId="1" xfId="0" applyNumberFormat="1" applyFont="1" applyFill="1" applyBorder="1" applyAlignment="1">
      <alignment horizontal="left" vertical="center"/>
    </xf>
    <xf numFmtId="180" fontId="20" fillId="8" borderId="1" xfId="0" applyNumberFormat="1" applyFont="1" applyFill="1" applyBorder="1" applyAlignment="1">
      <alignment horizontal="left" vertical="center"/>
    </xf>
    <xf numFmtId="179" fontId="18" fillId="8" borderId="1" xfId="0" applyNumberFormat="1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29" fillId="0" borderId="0" xfId="0" applyFont="1"/>
    <xf numFmtId="0" fontId="32" fillId="2" borderId="0" xfId="0" applyFont="1" applyFill="1" applyAlignment="1">
      <alignment horizontal="center" vertical="center"/>
    </xf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4" fillId="0" borderId="0" xfId="0" applyFont="1"/>
    <xf numFmtId="0" fontId="9" fillId="0" borderId="1" xfId="0" applyFont="1" applyBorder="1"/>
    <xf numFmtId="0" fontId="9" fillId="0" borderId="0" xfId="0" applyFont="1" applyAlignment="1">
      <alignment vertical="top" wrapText="1"/>
    </xf>
    <xf numFmtId="0" fontId="9" fillId="0" borderId="0" xfId="0" applyFont="1"/>
    <xf numFmtId="0" fontId="11" fillId="0" borderId="0" xfId="0" applyFont="1"/>
  </cellXfs>
  <cellStyles count="1">
    <cellStyle name="標準" xfId="0" builtinId="0"/>
  </cellStyles>
  <dxfs count="8"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41-4C6E-B6E7-F6BB3E164FD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641-4C6E-B6E7-F6BB3E164FD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641-4C6E-B6E7-F6BB3E164FD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641-4C6E-B6E7-F6BB3E164FD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641-4C6E-B6E7-F6BB3E164FD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641-4C6E-B6E7-F6BB3E164FD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41-4C6E-B6E7-F6BB3E164FD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641-4C6E-B6E7-F6BB3E164FD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641-4C6E-B6E7-F6BB3E164FD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641-4C6E-B6E7-F6BB3E164FD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41-4C6E-B6E7-F6BB3E164FD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641-4C6E-B6E7-F6BB3E164FD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641-4C6E-B6E7-F6BB3E164FD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641-4C6E-B6E7-F6BB3E164FD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641-4C6E-B6E7-F6BB3E164FD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641-4C6E-B6E7-F6BB3E164FD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641-4C6E-B6E7-F6BB3E164FD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641-4C6E-B6E7-F6BB3E164FD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9641-4C6E-B6E7-F6BB3E164FD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641-4C6E-B6E7-F6BB3E164FD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641-4C6E-B6E7-F6BB3E164FD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9641-4C6E-B6E7-F6BB3E164FD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9641-4C6E-B6E7-F6BB3E164FD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9641-4C6E-B6E7-F6BB3E164FD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9641-4C6E-B6E7-F6BB3E164FD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9641-4C6E-B6E7-F6BB3E164FD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9641-4C6E-B6E7-F6BB3E164FD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9641-4C6E-B6E7-F6BB3E164FD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9641-4C6E-B6E7-F6BB3E164FD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[1]!_dbS1x</c:f>
            </c:numRef>
          </c:xVal>
          <c:yVal>
            <c:numRef>
              <c:f>[1]!_dbS1y</c:f>
            </c:numRef>
          </c:yVal>
          <c:smooth val="1"/>
          <c:extLst>
            <c:ext xmlns:c16="http://schemas.microsoft.com/office/drawing/2014/chart" uri="{C3380CC4-5D6E-409C-BE32-E72D297353CC}">
              <c16:uniqueId val="{0000001D-9641-4C6E-B6E7-F6BB3E16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3B2-4BC8-9AC2-9AA63D3E11B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B2-4BC8-9AC2-9AA63D3E11B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B2-4BC8-9AC2-9AA63D3E11B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B2-4BC8-9AC2-9AA63D3E11B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B2-4BC8-9AC2-9AA63D3E11B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A3B2-4BC8-9AC2-9AA63D3E11B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A3B2-4BC8-9AC2-9AA63D3E11B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A3B2-4BC8-9AC2-9AA63D3E11B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A3B2-4BC8-9AC2-9AA63D3E11B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A3B2-4BC8-9AC2-9AA63D3E11B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A3B2-4BC8-9AC2-9AA63D3E11B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A3B2-4BC8-9AC2-9AA63D3E11B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A3B2-4BC8-9AC2-9AA63D3E11B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A3B2-4BC8-9AC2-9AA63D3E11B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A3B2-4BC8-9AC2-9AA63D3E11B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A3B2-4BC8-9AC2-9AA63D3E11B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A3B2-4BC8-9AC2-9AA63D3E11B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3B2-4BC8-9AC2-9AA63D3E11B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3B2-4BC8-9AC2-9AA63D3E11B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3B2-4BC8-9AC2-9AA63D3E11B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3B2-4BC8-9AC2-9AA63D3E11B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3B2-4BC8-9AC2-9AA63D3E11B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A3B2-4BC8-9AC2-9AA63D3E11B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A3B2-4BC8-9AC2-9AA63D3E11B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A3B2-4BC8-9AC2-9AA63D3E11B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A3B2-4BC8-9AC2-9AA63D3E11B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A3B2-4BC8-9AC2-9AA63D3E11B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A3B2-4BC8-9AC2-9AA63D3E11B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A3B2-4BC8-9AC2-9AA63D3E11B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[1]!_dbS2x</c:f>
            </c:numRef>
          </c:xVal>
          <c:yVal>
            <c:numRef>
              <c:f>[1]!_dbS2y</c:f>
            </c:numRef>
          </c:yVal>
          <c:smooth val="1"/>
          <c:extLst>
            <c:ext xmlns:c16="http://schemas.microsoft.com/office/drawing/2014/chart" uri="{C3380CC4-5D6E-409C-BE32-E72D297353CC}">
              <c16:uniqueId val="{0000001D-A3B2-4BC8-9AC2-9AA63D3E1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multiLvlStrRef>
              <c:f>[1]!_dyLabel</c:f>
            </c:multiLvlStrRef>
          </c:cat>
          <c:val>
            <c:numRef>
              <c:f>[1]!_dyPickEff</c:f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multiLvlStrRef>
              <c:f>[1]!_dyLabel</c:f>
            </c:multiLvlStrRef>
          </c:cat>
          <c:val>
            <c:numRef>
              <c:f>[1]!_dyPackEff</c:f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日付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時間の内訳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v>時間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2E75B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3BA-4D3B-A922-7F47AC2BDDB0}"/>
              </c:ext>
            </c:extLst>
          </c:dPt>
          <c:dPt>
            <c:idx val="1"/>
            <c:bubble3D val="0"/>
            <c:spPr>
              <a:solidFill>
                <a:srgbClr val="C55A1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3BA-4D3B-A922-7F47AC2BDDB0}"/>
              </c:ext>
            </c:extLst>
          </c:dPt>
          <c:dPt>
            <c:idx val="2"/>
            <c:bubble3D val="0"/>
            <c:spPr>
              <a:solidFill>
                <a:srgbClr val="1BAF7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3BA-4D3B-A922-7F47AC2BDDB0}"/>
              </c:ext>
            </c:extLst>
          </c:dPt>
          <c:cat>
            <c:multiLvlStrRef>
              <c:f>[1]!_dbMixLbl</c:f>
            </c:multiLvlStrRef>
          </c:cat>
          <c:val>
            <c:numRef>
              <c:f>[1]!_dbMixVal</c:f>
            </c:numRef>
          </c:val>
          <c:extLst>
            <c:ext xmlns:c16="http://schemas.microsoft.com/office/drawing/2014/chart" uri="{C3380CC4-5D6E-409C-BE32-E72D297353CC}">
              <c16:uniqueId val="{00000006-23BA-4D3B-A922-7F47AC2BD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2"/>
      </c:doughnutChart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multiLvlStrRef>
              <c:f>[1]!_dbTopName</c:f>
            </c:multiLvlStrRef>
          </c:cat>
          <c:val>
            <c:numRef>
              <c:f>[1]!_dbTopRaw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multiLvlStrRef>
              <c:f>[1]!_dbTopName</c:f>
            </c:multiLvlStrRef>
          </c:cat>
          <c:val>
            <c:numRef>
              <c:f>[1]!_dbTopPure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multiLvlStrRef>
              <c:f>[1]!_dbPkName</c:f>
            </c:multiLvlStrRef>
          </c:cat>
          <c:val>
            <c:numRef>
              <c:f>[1]!_dbPkVal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1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multiLvlStrRef>
              <c:f>[1]!_dbKpName</c:f>
            </c:multiLvlStrRef>
          </c:cat>
          <c:val>
            <c:numRef>
              <c:f>[1]!_dbKpVal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1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印刷用データ!$AS$3:$AS$52</c:f>
              <c:numCache>
                <c:formatCode>0.0"%"</c:formatCode>
                <c:ptCount val="50"/>
                <c:pt idx="0">
                  <c:v>143.93786470715366</c:v>
                </c:pt>
                <c:pt idx="1">
                  <c:v>133.65802735781136</c:v>
                </c:pt>
                <c:pt idx="2">
                  <c:v>131.99835575485798</c:v>
                </c:pt>
                <c:pt idx="3">
                  <c:v>131.46289445048964</c:v>
                </c:pt>
                <c:pt idx="4">
                  <c:v>126.5595238095238</c:v>
                </c:pt>
                <c:pt idx="5">
                  <c:v>123.80759937175306</c:v>
                </c:pt>
                <c:pt idx="6">
                  <c:v>117.94028270751602</c:v>
                </c:pt>
                <c:pt idx="7">
                  <c:v>110.4852765321375</c:v>
                </c:pt>
                <c:pt idx="8">
                  <c:v>108.24710320668282</c:v>
                </c:pt>
                <c:pt idx="9">
                  <c:v>102.3828228228228</c:v>
                </c:pt>
                <c:pt idx="10">
                  <c:v>100.59261744966443</c:v>
                </c:pt>
                <c:pt idx="11">
                  <c:v>97.9967953769372</c:v>
                </c:pt>
                <c:pt idx="12">
                  <c:v>97.612314480545521</c:v>
                </c:pt>
                <c:pt idx="13">
                  <c:v>97.198895027624303</c:v>
                </c:pt>
                <c:pt idx="14">
                  <c:v>96.753233598254624</c:v>
                </c:pt>
                <c:pt idx="15">
                  <c:v>95.657020757020746</c:v>
                </c:pt>
                <c:pt idx="16">
                  <c:v>94.972881852829062</c:v>
                </c:pt>
                <c:pt idx="17">
                  <c:v>91.348648648648634</c:v>
                </c:pt>
                <c:pt idx="18">
                  <c:v>89.993336886993617</c:v>
                </c:pt>
                <c:pt idx="19">
                  <c:v>88.026622718052721</c:v>
                </c:pt>
                <c:pt idx="20">
                  <c:v>87.373529411764707</c:v>
                </c:pt>
                <c:pt idx="21">
                  <c:v>80.89163346613546</c:v>
                </c:pt>
                <c:pt idx="22">
                  <c:v>80.289637058261704</c:v>
                </c:pt>
                <c:pt idx="23">
                  <c:v>79.358161350844284</c:v>
                </c:pt>
                <c:pt idx="24">
                  <c:v>79.319605195473258</c:v>
                </c:pt>
                <c:pt idx="25">
                  <c:v>76.883663366336634</c:v>
                </c:pt>
                <c:pt idx="26">
                  <c:v>70.622870108742191</c:v>
                </c:pt>
                <c:pt idx="27">
                  <c:v>60.9098121085595</c:v>
                </c:pt>
                <c:pt idx="28">
                  <c:v>56.602448979591827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印刷用データ!$BG$3:$BG$22</c:f>
              <c:numCache>
                <c:formatCode>0.0"%"</c:formatCode>
                <c:ptCount val="20"/>
                <c:pt idx="0">
                  <c:v>56.60244897959183</c:v>
                </c:pt>
                <c:pt idx="1">
                  <c:v>98.22111111111111</c:v>
                </c:pt>
                <c:pt idx="2">
                  <c:v>85.86263157894736</c:v>
                </c:pt>
                <c:pt idx="3">
                  <c:v>76.88366336633663</c:v>
                </c:pt>
                <c:pt idx="4">
                  <c:v>99.64362464183381</c:v>
                </c:pt>
                <c:pt idx="5">
                  <c:v>79.35816135084428</c:v>
                </c:pt>
                <c:pt idx="6">
                  <c:v>80.2896370582617</c:v>
                </c:pt>
                <c:pt idx="7">
                  <c:v>80.89163346613546</c:v>
                </c:pt>
                <c:pt idx="8">
                  <c:v>121.32499999999997</c:v>
                </c:pt>
                <c:pt idx="9">
                  <c:v>88.02662271805272</c:v>
                </c:pt>
                <c:pt idx="10">
                  <c:v>89.99333688699362</c:v>
                </c:pt>
                <c:pt idx="11">
                  <c:v>91.34864864864863</c:v>
                </c:pt>
                <c:pt idx="12">
                  <c:v>81.8917597765363</c:v>
                </c:pt>
                <c:pt idx="13">
                  <c:v>101.71352549889134</c:v>
                </c:pt>
                <c:pt idx="14">
                  <c:v>106.22178879910837</c:v>
                </c:pt>
                <c:pt idx="15">
                  <c:v>96.54257425742574</c:v>
                </c:pt>
                <c:pt idx="16">
                  <c:v>106.8047477744807</c:v>
                </c:pt>
                <c:pt idx="17">
                  <c:v>111.60069735006972</c:v>
                </c:pt>
                <c:pt idx="18">
                  <c:v>100.59261744966443</c:v>
                </c:pt>
                <c:pt idx="19">
                  <c:v>138.5160642570281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印刷用データ!$BH$3:$BH$22</c:f>
              <c:numCache>
                <c:formatCode>0.0"%"</c:formatCode>
                <c:ptCount val="20"/>
                <c:pt idx="1">
                  <c:v>52.27737789203085</c:v>
                </c:pt>
                <c:pt idx="2">
                  <c:v>65.7034771774833</c:v>
                </c:pt>
                <c:pt idx="4">
                  <c:v>71.82954945441745</c:v>
                </c:pt>
                <c:pt idx="8">
                  <c:v>81.79246575342466</c:v>
                </c:pt>
                <c:pt idx="12">
                  <c:v>100.98448866067606</c:v>
                </c:pt>
                <c:pt idx="13">
                  <c:v>66.90456140350877</c:v>
                </c:pt>
                <c:pt idx="14">
                  <c:v>84.7367397454031</c:v>
                </c:pt>
                <c:pt idx="15">
                  <c:v>97.37824675324676</c:v>
                </c:pt>
                <c:pt idx="16">
                  <c:v>93.86370603420457</c:v>
                </c:pt>
                <c:pt idx="17">
                  <c:v>80.32650966183573</c:v>
                </c:pt>
                <c:pt idx="19">
                  <c:v>72.98028322440088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印刷用データ!$BI$3:$BI$22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</c:f>
              <c:numCache>
                <c:formatCode>0.0"%"</c:formatCode>
                <c:ptCount val="1"/>
                <c:pt idx="0">
                  <c:v>136.58407297830374</c:v>
                </c:pt>
              </c:numCache>
            </c:numRef>
          </c:xVal>
          <c:yVal>
            <c:numRef>
              <c:f>印刷用データ!$AI$3</c:f>
              <c:numCache>
                <c:formatCode>0.0"%"</c:formatCode>
                <c:ptCount val="1"/>
                <c:pt idx="0">
                  <c:v>149.67602924201614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</c:f>
              <c:numCache>
                <c:formatCode>0.0"%"</c:formatCode>
                <c:ptCount val="1"/>
                <c:pt idx="0">
                  <c:v>138.5160642570281</c:v>
                </c:pt>
              </c:numCache>
            </c:numRef>
          </c:xVal>
          <c:yVal>
            <c:numRef>
              <c:f>印刷用データ!$AI$4</c:f>
              <c:numCache>
                <c:formatCode>0.0"%"</c:formatCode>
                <c:ptCount val="1"/>
                <c:pt idx="0">
                  <c:v>72.98028322440088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</c:f>
              <c:numCache>
                <c:formatCode>0.0"%"</c:formatCode>
                <c:ptCount val="1"/>
                <c:pt idx="0">
                  <c:v>128.62508143322475</c:v>
                </c:pt>
              </c:numCache>
            </c:numRef>
          </c:xVal>
          <c:yVal>
            <c:numRef>
              <c:f>印刷用データ!$AI$5</c:f>
              <c:numCache>
                <c:formatCode>0.0"%"</c:formatCode>
                <c:ptCount val="1"/>
                <c:pt idx="0">
                  <c:v>132.88643790849673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印刷用データ!$AH$6</c:f>
              <c:numCache>
                <c:formatCode>0.0"%"</c:formatCode>
                <c:ptCount val="1"/>
                <c:pt idx="0">
                  <c:v>131.80246913580245</c:v>
                </c:pt>
              </c:numCache>
            </c:numRef>
          </c:xVal>
          <c:yVal>
            <c:numRef>
              <c:f>印刷用データ!$AI$6</c:f>
              <c:numCache>
                <c:formatCode>0.0"%"</c:formatCode>
                <c:ptCount val="1"/>
                <c:pt idx="0">
                  <c:v>132.51857923497266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"/>
          <c:order val="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印刷用データ!$AH$8</c:f>
              <c:numCache>
                <c:formatCode>0.0"%"</c:formatCode>
                <c:ptCount val="1"/>
                <c:pt idx="0">
                  <c:v>111.60069735006972</c:v>
                </c:pt>
              </c:numCache>
            </c:numRef>
          </c:xVal>
          <c:yVal>
            <c:numRef>
              <c:f>印刷用データ!$AI$8</c:f>
              <c:numCache>
                <c:formatCode>0.0"%"</c:formatCode>
                <c:ptCount val="1"/>
                <c:pt idx="0">
                  <c:v>80.32650966183573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印刷用データ!$AH$9</c:f>
              <c:numCache>
                <c:formatCode>0.0"%"</c:formatCode>
                <c:ptCount val="1"/>
                <c:pt idx="0">
                  <c:v>121.32499999999997</c:v>
                </c:pt>
              </c:numCache>
            </c:numRef>
          </c:xVal>
          <c:yVal>
            <c:numRef>
              <c:f>印刷用データ!$AI$9</c:f>
              <c:numCache>
                <c:formatCode>0.0"%"</c:formatCode>
                <c:ptCount val="1"/>
                <c:pt idx="0">
                  <c:v>81.79246575342466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印刷用データ!$AH$10</c:f>
              <c:numCache>
                <c:formatCode>0.0"%"</c:formatCode>
                <c:ptCount val="1"/>
                <c:pt idx="0">
                  <c:v>108.44019316493313</c:v>
                </c:pt>
              </c:numCache>
            </c:numRef>
          </c:xVal>
          <c:yVal>
            <c:numRef>
              <c:f>印刷用データ!$AI$10</c:f>
              <c:numCache>
                <c:formatCode>0.0"%"</c:formatCode>
                <c:ptCount val="1"/>
                <c:pt idx="0">
                  <c:v>121.13147824640211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印刷用データ!$AH$11</c:f>
              <c:numCache>
                <c:formatCode>0.0"%"</c:formatCode>
                <c:ptCount val="1"/>
                <c:pt idx="0">
                  <c:v>106.8047477744807</c:v>
                </c:pt>
              </c:numCache>
            </c:numRef>
          </c:xVal>
          <c:yVal>
            <c:numRef>
              <c:f>印刷用データ!$AI$11</c:f>
              <c:numCache>
                <c:formatCode>0.0"%"</c:formatCode>
                <c:ptCount val="1"/>
                <c:pt idx="0">
                  <c:v>93.86370603420457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印刷用データ!$AH$12</c:f>
              <c:numCache>
                <c:formatCode>0.0"%"</c:formatCode>
                <c:ptCount val="1"/>
                <c:pt idx="0">
                  <c:v>106.22178879910837</c:v>
                </c:pt>
              </c:numCache>
            </c:numRef>
          </c:xVal>
          <c:yVal>
            <c:numRef>
              <c:f>印刷用データ!$AI$12</c:f>
              <c:numCache>
                <c:formatCode>0.0"%"</c:formatCode>
                <c:ptCount val="1"/>
                <c:pt idx="0">
                  <c:v>84.7367397454031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印刷用データ!$AH$13</c:f>
              <c:numCache>
                <c:formatCode>0.0"%"</c:formatCode>
                <c:ptCount val="1"/>
                <c:pt idx="0">
                  <c:v>106.39972273567466</c:v>
                </c:pt>
              </c:numCache>
            </c:numRef>
          </c:xVal>
          <c:yVal>
            <c:numRef>
              <c:f>印刷用データ!$AI$13</c:f>
              <c:numCache>
                <c:formatCode>0.0"%"</c:formatCode>
                <c:ptCount val="1"/>
                <c:pt idx="0">
                  <c:v>171.96125541125542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印刷用データ!$AH$14</c:f>
              <c:numCache>
                <c:formatCode>0.0"%"</c:formatCode>
                <c:ptCount val="1"/>
                <c:pt idx="0">
                  <c:v>101.99950049950048</c:v>
                </c:pt>
              </c:numCache>
            </c:numRef>
          </c:xVal>
          <c:yVal>
            <c:numRef>
              <c:f>印刷用データ!$AI$14</c:f>
              <c:numCache>
                <c:formatCode>0.0"%"</c:formatCode>
                <c:ptCount val="1"/>
                <c:pt idx="0">
                  <c:v>136.2250663632916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印刷用データ!$AH$15</c:f>
              <c:numCache>
                <c:formatCode>0.0"%"</c:formatCode>
                <c:ptCount val="1"/>
                <c:pt idx="0">
                  <c:v>101.71352549889134</c:v>
                </c:pt>
              </c:numCache>
            </c:numRef>
          </c:xVal>
          <c:yVal>
            <c:numRef>
              <c:f>印刷用データ!$AI$15</c:f>
              <c:numCache>
                <c:formatCode>0.0"%"</c:formatCode>
                <c:ptCount val="1"/>
                <c:pt idx="0">
                  <c:v>66.90456140350877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印刷用データ!$AH$16</c:f>
              <c:numCache>
                <c:formatCode>0.0"%"</c:formatCode>
                <c:ptCount val="1"/>
              </c:numCache>
            </c:numRef>
          </c:xVal>
          <c:yVal>
            <c:numRef>
              <c:f>印刷用データ!$AI$16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14"/>
          <c:order val="1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印刷用データ!$AH$17</c:f>
              <c:numCache>
                <c:formatCode>0.0"%"</c:formatCode>
                <c:ptCount val="1"/>
                <c:pt idx="0">
                  <c:v>98.22111111111111</c:v>
                </c:pt>
              </c:numCache>
            </c:numRef>
          </c:xVal>
          <c:yVal>
            <c:numRef>
              <c:f>印刷用データ!$AI$17</c:f>
              <c:numCache>
                <c:formatCode>0.0"%"</c:formatCode>
                <c:ptCount val="1"/>
                <c:pt idx="0">
                  <c:v>52.27737789203085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印刷用データ!$AH$18</c:f>
              <c:numCache>
                <c:formatCode>0.0"%"</c:formatCode>
                <c:ptCount val="1"/>
                <c:pt idx="0">
                  <c:v>98.11684782608697</c:v>
                </c:pt>
              </c:numCache>
            </c:numRef>
          </c:xVal>
          <c:yVal>
            <c:numRef>
              <c:f>印刷用データ!$AI$18</c:f>
              <c:numCache>
                <c:formatCode>0.0"%"</c:formatCode>
                <c:ptCount val="1"/>
                <c:pt idx="0">
                  <c:v>116.41046228710461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印刷用データ!$AH$19</c:f>
              <c:numCache>
                <c:formatCode>0.0"%"</c:formatCode>
                <c:ptCount val="1"/>
                <c:pt idx="0">
                  <c:v>99.64362464183381</c:v>
                </c:pt>
              </c:numCache>
            </c:numRef>
          </c:xVal>
          <c:yVal>
            <c:numRef>
              <c:f>印刷用データ!$AI$19</c:f>
              <c:numCache>
                <c:formatCode>0.0"%"</c:formatCode>
                <c:ptCount val="1"/>
                <c:pt idx="0">
                  <c:v>71.82954945441745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18"/>
          <c:order val="1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印刷用データ!$AH$21</c:f>
              <c:numCache>
                <c:formatCode>0.0"%"</c:formatCode>
                <c:ptCount val="1"/>
                <c:pt idx="0">
                  <c:v>96.54257425742574</c:v>
                </c:pt>
              </c:numCache>
            </c:numRef>
          </c:xVal>
          <c:yVal>
            <c:numRef>
              <c:f>印刷用データ!$AI$21</c:f>
              <c:numCache>
                <c:formatCode>0.0"%"</c:formatCode>
                <c:ptCount val="1"/>
                <c:pt idx="0">
                  <c:v>97.37824675324676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0"/>
          <c:order val="2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印刷用データ!$AH$23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1"/>
          <c:order val="2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印刷用データ!$AH$24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2"/>
          <c:order val="2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印刷用データ!$AH$25</c:f>
              <c:numCache>
                <c:formatCode>0.0"%"</c:formatCode>
                <c:ptCount val="1"/>
                <c:pt idx="0">
                  <c:v>81.8917597765363</c:v>
                </c:pt>
              </c:numCache>
            </c:numRef>
          </c:xVal>
          <c:yVal>
            <c:numRef>
              <c:f>印刷用データ!$AI$25</c:f>
              <c:numCache>
                <c:formatCode>0.0"%"</c:formatCode>
                <c:ptCount val="1"/>
                <c:pt idx="0">
                  <c:v>100.98448866067606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印刷用データ!$AH$26</c:f>
              <c:numCache>
                <c:formatCode>0.0"%"</c:formatCode>
                <c:ptCount val="1"/>
                <c:pt idx="0">
                  <c:v>85.86263157894736</c:v>
                </c:pt>
              </c:numCache>
            </c:numRef>
          </c:xVal>
          <c:yVal>
            <c:numRef>
              <c:f>印刷用データ!$AI$26</c:f>
              <c:numCache>
                <c:formatCode>0.0"%"</c:formatCode>
                <c:ptCount val="1"/>
                <c:pt idx="0">
                  <c:v>65.7034771774833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5"/>
          <c:order val="2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印刷用データ!$AH$28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6"/>
          <c:order val="2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印刷用データ!$AH$29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7"/>
          <c:order val="2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8"/>
          <c:order val="2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印刷用データ!$AH$31</c:f>
              <c:numCache>
                <c:formatCode>0.0"%"</c:formatCode>
                <c:ptCount val="1"/>
                <c:pt idx="0">
                  <c:v>74.63023560209423</c:v>
                </c:pt>
              </c:numCache>
            </c:numRef>
          </c:xVal>
          <c:yVal>
            <c:numRef>
              <c:f>印刷用データ!$AI$31</c:f>
              <c:numCache>
                <c:formatCode>0.0"%"</c:formatCode>
                <c:ptCount val="1"/>
                <c:pt idx="0">
                  <c:v>129.17098681218735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印刷用データ!$AG$32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0"/>
          <c:order val="30"/>
          <c:tx>
            <c:strRef>
              <c:f>印刷用データ!$AG$33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印刷用データ!$AH$33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1"/>
          <c:order val="31"/>
          <c:tx>
            <c:strRef>
              <c:f>印刷用データ!$AG$34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印刷用データ!$AH$34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2"/>
          <c:order val="32"/>
          <c:tx>
            <c:strRef>
              <c:f>印刷用データ!$AG$35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印刷用データ!$AH$35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3"/>
          <c:order val="33"/>
          <c:tx>
            <c:strRef>
              <c:f>印刷用データ!$AG$36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印刷用データ!$AH$36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4"/>
          <c:order val="34"/>
          <c:tx>
            <c:strRef>
              <c:f>印刷用データ!$AG$37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5"/>
          <c:order val="35"/>
          <c:tx>
            <c:strRef>
              <c:f>印刷用データ!$AG$38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印刷用データ!$AH$38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6"/>
          <c:order val="36"/>
          <c:tx>
            <c:strRef>
              <c:f>印刷用データ!$AG$39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印刷用データ!$AH$39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7"/>
          <c:order val="37"/>
          <c:tx>
            <c:strRef>
              <c:f>印刷用データ!$AG$40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8"/>
          <c:order val="38"/>
          <c:tx>
            <c:strRef>
              <c:f>印刷用データ!$AG$41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印刷用データ!$AH$41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9"/>
          <c:order val="39"/>
          <c:tx>
            <c:strRef>
              <c:f>印刷用データ!$AG$42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0"/>
          <c:order val="40"/>
          <c:tx>
            <c:strRef>
              <c:f>印刷用データ!$AG$43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印刷用データ!$AH$43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1"/>
          <c:order val="41"/>
          <c:tx>
            <c:strRef>
              <c:f>印刷用データ!$AG$44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印刷用データ!$AH$44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2"/>
          <c:order val="42"/>
          <c:tx>
            <c:strRef>
              <c:f>印刷用データ!$AG$45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印刷用データ!$AH$45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3"/>
          <c:order val="43"/>
          <c:tx>
            <c:strRef>
              <c:f>印刷用データ!$AG$46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印刷用データ!$AH$46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4"/>
          <c:order val="44"/>
          <c:tx>
            <c:strRef>
              <c:f>印刷用データ!$AG$47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5"/>
          <c:order val="45"/>
          <c:tx>
            <c:strRef>
              <c:f>印刷用データ!$AG$48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印刷用データ!$AH$48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6"/>
          <c:order val="46"/>
          <c:tx>
            <c:strRef>
              <c:f>印刷用データ!$AG$49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印刷用データ!$AH$49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7"/>
          <c:order val="47"/>
          <c:tx>
            <c:strRef>
              <c:f>印刷用データ!$AG$50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印刷用データ!$AI$50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8"/>
          <c:order val="48"/>
          <c:tx>
            <c:strRef>
              <c:f>印刷用データ!$AG$51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印刷用データ!$AH$51</c:f>
              <c:numCache>
                <c:formatCode>0.0"%"</c:formatCode>
                <c:ptCount val="1"/>
              </c:numCache>
            </c:numRef>
          </c:xVal>
          <c:yVal>
            <c:numRef>
              <c:f>印刷用データ!$AI$51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9"/>
          <c:order val="49"/>
          <c:tx>
            <c:strRef>
              <c:f>印刷用データ!$AG$52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印刷用データ!$AI$52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0"/>
          <c:order val="5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1"/>
          <c:order val="5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2"/>
          <c:order val="5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3"/>
          <c:order val="5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4"/>
          <c:order val="5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印刷用データ!$AW$7</c:f>
              <c:numCache>
                <c:formatCode>0.0"%"</c:formatCode>
                <c:ptCount val="1"/>
                <c:pt idx="0">
                  <c:v>126.5595238095238</c:v>
                </c:pt>
              </c:numCache>
            </c:numRef>
          </c:xVal>
          <c:yVal>
            <c:numRef>
              <c:f>印刷用データ!$AX$7</c:f>
              <c:numCache>
                <c:formatCode>0.0"%"</c:formatCode>
                <c:ptCount val="1"/>
                <c:pt idx="0">
                  <c:v>27.0</c:v>
                </c:pt>
              </c:numCache>
            </c:numRef>
          </c:yVal>
          <c:smooth val="0"/>
        </c:ser>
        <c:ser>
          <c:idx val="55"/>
          <c:order val="5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6"/>
          <c:order val="5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7"/>
          <c:order val="5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印刷用データ!$AW$10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8"/>
          <c:order val="5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9"/>
          <c:order val="5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0"/>
          <c:order val="6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1"/>
          <c:order val="6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2"/>
          <c:order val="6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3"/>
          <c:order val="6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印刷用データ!$AW$16</c:f>
              <c:numCache>
                <c:formatCode>0.0"%"</c:formatCode>
                <c:ptCount val="1"/>
                <c:pt idx="0">
                  <c:v>100.59261744966443</c:v>
                </c:pt>
              </c:numCache>
            </c:numRef>
          </c:xVal>
          <c:yVal>
            <c:numRef>
              <c:f>印刷用データ!$AX$16</c:f>
              <c:numCache>
                <c:formatCode>0.0"%"</c:formatCode>
                <c:ptCount val="1"/>
                <c:pt idx="0">
                  <c:v>22.0</c:v>
                </c:pt>
              </c:numCache>
            </c:numRef>
          </c:yVal>
          <c:smooth val="0"/>
        </c:ser>
        <c:ser>
          <c:idx val="64"/>
          <c:order val="6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印刷用データ!$AW$17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5"/>
          <c:order val="6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6"/>
          <c:order val="6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7"/>
          <c:order val="6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印刷用データ!$AW$20</c:f>
              <c:numCache>
                <c:formatCode>0.0"%"</c:formatCode>
                <c:ptCount val="1"/>
                <c:pt idx="0">
                  <c:v>91.34864864864863</c:v>
                </c:pt>
              </c:numCache>
            </c:numRef>
          </c:xVal>
          <c:yVal>
            <c:numRef>
              <c:f>印刷用データ!$AX$20</c:f>
              <c:numCache>
                <c:formatCode>0.0"%"</c:formatCode>
                <c:ptCount val="1"/>
                <c:pt idx="0">
                  <c:v>17.0</c:v>
                </c:pt>
              </c:numCache>
            </c:numRef>
          </c:yVal>
          <c:smooth val="0"/>
        </c:ser>
        <c:ser>
          <c:idx val="68"/>
          <c:order val="6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9"/>
          <c:order val="6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印刷用データ!$AW$22</c:f>
              <c:numCache>
                <c:formatCode>0.0"%"</c:formatCode>
                <c:ptCount val="1"/>
                <c:pt idx="0">
                  <c:v>89.99333688699362</c:v>
                </c:pt>
              </c:numCache>
            </c:numRef>
          </c:xVal>
          <c:yVal>
            <c:numRef>
              <c:f>印刷用データ!$AX$22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</c:ser>
        <c:ser>
          <c:idx val="70"/>
          <c:order val="7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印刷用データ!$AW$23</c:f>
              <c:numCache>
                <c:formatCode>0.0"%"</c:formatCode>
                <c:ptCount val="1"/>
                <c:pt idx="0">
                  <c:v>76.88366336633663</c:v>
                </c:pt>
              </c:numCache>
            </c:numRef>
          </c:xVal>
          <c:yVal>
            <c:numRef>
              <c:f>印刷用データ!$AX$23</c:f>
              <c:numCache>
                <c:formatCode>0.0"%"</c:formatCode>
                <c:ptCount val="1"/>
                <c:pt idx="0">
                  <c:v>17.0</c:v>
                </c:pt>
              </c:numCache>
            </c:numRef>
          </c:yVal>
          <c:smooth val="0"/>
        </c:ser>
        <c:ser>
          <c:idx val="71"/>
          <c:order val="7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印刷用データ!$AW$24</c:f>
              <c:numCache>
                <c:formatCode>0.0"%"</c:formatCode>
                <c:ptCount val="1"/>
                <c:pt idx="0">
                  <c:v>88.02662271805272</c:v>
                </c:pt>
              </c:numCache>
            </c:numRef>
          </c:xVal>
          <c:yVal>
            <c:numRef>
              <c:f>印刷用データ!$AX$24</c:f>
              <c:numCache>
                <c:formatCode>0.0"%"</c:formatCode>
                <c:ptCount val="1"/>
                <c:pt idx="0">
                  <c:v>37.0</c:v>
                </c:pt>
              </c:numCache>
            </c:numRef>
          </c:yVal>
          <c:smooth val="0"/>
        </c:ser>
        <c:ser>
          <c:idx val="72"/>
          <c:order val="7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73"/>
          <c:order val="7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74"/>
          <c:order val="7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印刷用データ!$AW$27</c:f>
              <c:numCache>
                <c:formatCode>0.0"%"</c:formatCode>
                <c:ptCount val="1"/>
                <c:pt idx="0">
                  <c:v>80.89163346613546</c:v>
                </c:pt>
              </c:numCache>
            </c:numRef>
          </c:xVal>
          <c:yVal>
            <c:numRef>
              <c:f>印刷用データ!$AX$27</c:f>
              <c:numCache>
                <c:formatCode>0.0"%"</c:formatCode>
                <c:ptCount val="1"/>
                <c:pt idx="0">
                  <c:v>32.0</c:v>
                </c:pt>
              </c:numCache>
            </c:numRef>
          </c:yVal>
          <c:smooth val="0"/>
        </c:ser>
        <c:ser>
          <c:idx val="75"/>
          <c:order val="7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印刷用データ!$AW$28</c:f>
              <c:numCache>
                <c:formatCode>0.0"%"</c:formatCode>
                <c:ptCount val="1"/>
                <c:pt idx="0">
                  <c:v>80.2896370582617</c:v>
                </c:pt>
              </c:numCache>
            </c:numRef>
          </c:xVal>
          <c:yVal>
            <c:numRef>
              <c:f>印刷用データ!$AX$28</c:f>
              <c:numCache>
                <c:formatCode>0.0"%"</c:formatCode>
                <c:ptCount val="1"/>
                <c:pt idx="0">
                  <c:v>27.0</c:v>
                </c:pt>
              </c:numCache>
            </c:numRef>
          </c:yVal>
          <c:smooth val="0"/>
        </c:ser>
        <c:ser>
          <c:idx val="76"/>
          <c:order val="7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印刷用データ!$AW$29</c:f>
              <c:numCache>
                <c:formatCode>0.0"%"</c:formatCode>
                <c:ptCount val="1"/>
                <c:pt idx="0">
                  <c:v>79.35816135084428</c:v>
                </c:pt>
              </c:numCache>
            </c:numRef>
          </c:xVal>
          <c:yVal>
            <c:numRef>
              <c:f>印刷用データ!$AX$29</c:f>
              <c:numCache>
                <c:formatCode>0.0"%"</c:formatCode>
                <c:ptCount val="1"/>
                <c:pt idx="0">
                  <c:v>22.0</c:v>
                </c:pt>
              </c:numCache>
            </c:numRef>
          </c:yVal>
          <c:smooth val="0"/>
        </c:ser>
        <c:ser>
          <c:idx val="77"/>
          <c:order val="7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印刷用データ!$AW$30</c:f>
              <c:numCache>
                <c:formatCode>0.0"%"</c:formatCode>
                <c:ptCount val="1"/>
                <c:pt idx="0">
                  <c:v>56.60244897959183</c:v>
                </c:pt>
              </c:numCache>
            </c:numRef>
          </c:xVal>
          <c:yVal>
            <c:numRef>
              <c:f>印刷用データ!$AX$30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</c:ser>
        <c:ser>
          <c:idx val="78"/>
          <c:order val="7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79"/>
          <c:order val="79"/>
          <c:tx>
            <c:strRef>
              <c:f>印刷用データ!$AG$32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0"/>
          <c:order val="80"/>
          <c:tx>
            <c:strRef>
              <c:f>印刷用データ!$AG$33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1"/>
          <c:order val="81"/>
          <c:tx>
            <c:strRef>
              <c:f>印刷用データ!$AG$34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2"/>
          <c:order val="82"/>
          <c:tx>
            <c:strRef>
              <c:f>印刷用データ!$AG$35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3"/>
          <c:order val="83"/>
          <c:tx>
            <c:strRef>
              <c:f>印刷用データ!$AG$36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4"/>
          <c:order val="84"/>
          <c:tx>
            <c:strRef>
              <c:f>印刷用データ!$AG$37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印刷用データ!$AW$37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5"/>
          <c:order val="85"/>
          <c:tx>
            <c:strRef>
              <c:f>印刷用データ!$AG$38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6"/>
          <c:order val="86"/>
          <c:tx>
            <c:strRef>
              <c:f>印刷用データ!$AG$39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7"/>
          <c:order val="87"/>
          <c:tx>
            <c:strRef>
              <c:f>印刷用データ!$AG$40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印刷用データ!$AW$40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8"/>
          <c:order val="88"/>
          <c:tx>
            <c:strRef>
              <c:f>印刷用データ!$AG$41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9"/>
          <c:order val="89"/>
          <c:tx>
            <c:strRef>
              <c:f>印刷用データ!$AG$42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0"/>
          <c:order val="90"/>
          <c:tx>
            <c:strRef>
              <c:f>印刷用データ!$AG$43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1"/>
          <c:order val="91"/>
          <c:tx>
            <c:strRef>
              <c:f>印刷用データ!$AG$44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2"/>
          <c:order val="92"/>
          <c:tx>
            <c:strRef>
              <c:f>印刷用データ!$AG$45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3"/>
          <c:order val="93"/>
          <c:tx>
            <c:strRef>
              <c:f>印刷用データ!$AG$46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4"/>
          <c:order val="94"/>
          <c:tx>
            <c:strRef>
              <c:f>印刷用データ!$AG$47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印刷用データ!$AW$47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5"/>
          <c:order val="95"/>
          <c:tx>
            <c:strRef>
              <c:f>印刷用データ!$AG$48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6"/>
          <c:order val="96"/>
          <c:tx>
            <c:strRef>
              <c:f>印刷用データ!$AG$49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7"/>
          <c:order val="97"/>
          <c:tx>
            <c:strRef>
              <c:f>印刷用データ!$AG$50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印刷用データ!$AW$50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8"/>
          <c:order val="98"/>
          <c:tx>
            <c:strRef>
              <c:f>印刷用データ!$AG$51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9"/>
          <c:order val="99"/>
          <c:tx>
            <c:strRef>
              <c:f>印刷用データ!$AG$52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100"/>
          <c:order val="100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yVal>
          <c:smooth val="1"/>
        </c:ser>
        <c:ser>
          <c:idx val="101"/>
          <c:order val="101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  <c:smooth val="1"/>
        </c:ser>
        <c:ser>
          <c:idx val="102"/>
          <c:order val="102"/>
          <c:tx>
            <c:v>帯の境界(横)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印刷用データ!$AZ$2:$AZ$3</c:f>
              <c:numCache>
                <c:formatCode>General</c:formatCode>
                <c:ptCount val="2"/>
                <c:pt idx="0">
                  <c:v>10</c:v>
                </c:pt>
                <c:pt idx="1">
                  <c:v>190</c:v>
                </c:pt>
              </c:numCache>
            </c:numRef>
          </c:xVal>
          <c:yVal>
            <c:numRef>
              <c:f>印刷用データ!$BA$2:$BA$3</c:f>
              <c:numCache>
                <c:formatCode>General</c:formatCode>
                <c:ptCount val="2"/>
                <c:pt idx="0">
                  <c:v>40</c:v>
                </c:pt>
                <c:pt idx="1">
                  <c:v>40</c:v>
                </c:pt>
              </c:numCache>
            </c:numRef>
          </c:yVal>
          <c:smooth val="1"/>
        </c:ser>
        <c:ser>
          <c:idx val="103"/>
          <c:order val="103"/>
          <c:tx>
            <c:v>帯の境界(縦)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印刷用データ!$BB$2:$BB$3</c:f>
              <c:numCache>
                <c:formatCode>General</c:formatCode>
                <c:ptCount val="2"/>
                <c:pt idx="0">
                  <c:v>40</c:v>
                </c:pt>
                <c:pt idx="1">
                  <c:v>40</c:v>
                </c:pt>
              </c:numCache>
            </c:numRef>
          </c:xVal>
          <c:yVal>
            <c:numRef>
              <c:f>印刷用データ!$BC$2:$BC$3</c:f>
              <c:numCache>
                <c:formatCode>General</c:formatCode>
                <c:ptCount val="2"/>
                <c:pt idx="0">
                  <c:v>10</c:v>
                </c:pt>
                <c:pt idx="1">
                  <c:v>190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90"/>
          <c:min val="1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1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a=92.1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[1]!_s1x</c:f>
            </c:numRef>
          </c:xVal>
          <c:yVal>
            <c:numRef>
              <c:f>[1]!_s1y</c:f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</c:v>
                </c:pt>
                <c:pt idx="1">
                  <c:v>0.71212121212121215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75.599999999999994</c:v>
                </c:pt>
                <c:pt idx="1">
                  <c:v>141.18636363636364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[1]!_s2x</c:f>
            </c:numRef>
          </c:xVal>
          <c:yVal>
            <c:numRef>
              <c:f>[1]!_s2y</c:f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[1]!_s3x</c:f>
            </c:numRef>
          </c:xVal>
          <c:yVal>
            <c:numRef>
              <c:f>[1]!_s3y</c:f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[1]!_s4x</c:f>
            </c:numRef>
          </c:xVal>
          <c:yVal>
            <c:numRef>
              <c:f>[1]!_s4y</c:f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[1]!_s5x</c:f>
            </c:numRef>
          </c:xVal>
          <c:yVal>
            <c:numRef>
              <c:f>[1]!_s5y</c:f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[1]!_s6x</c:f>
            </c:numRef>
          </c:xVal>
          <c:yVal>
            <c:numRef>
              <c:f>[1]!_s6y</c:f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xVal>
            <c:numRef>
              <c:f>[1]!_s6x</c:f>
            </c:numRef>
          </c:xVal>
          <c:yVal>
            <c:numRef>
              <c:f>[1]!_s6z</c:f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4</xdr:row>
      <xdr:rowOff>0</xdr:rowOff>
    </xdr:from>
    <xdr:to>
      <xdr:col>11</xdr:col>
      <xdr:colOff>0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4</xdr:row>
      <xdr:rowOff>0</xdr:rowOff>
    </xdr:from>
    <xdr:to>
      <xdr:col>27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17</xdr:row>
      <xdr:rowOff>0</xdr:rowOff>
    </xdr:from>
    <xdr:to>
      <xdr:col>27</xdr:col>
      <xdr:colOff>0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19</xdr:row>
      <xdr:rowOff>19050</xdr:rowOff>
    </xdr:from>
    <xdr:to>
      <xdr:col>26</xdr:col>
      <xdr:colOff>95250</xdr:colOff>
      <xdr:row>20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19</xdr:row>
      <xdr:rowOff>19050</xdr:rowOff>
    </xdr:from>
    <xdr:to>
      <xdr:col>22</xdr:col>
      <xdr:colOff>95250</xdr:colOff>
      <xdr:row>20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29</xdr:row>
      <xdr:rowOff>19050</xdr:rowOff>
    </xdr:from>
    <xdr:to>
      <xdr:col>26</xdr:col>
      <xdr:colOff>95250</xdr:colOff>
      <xdr:row>30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29</xdr:row>
      <xdr:rowOff>19050</xdr:rowOff>
    </xdr:from>
    <xdr:to>
      <xdr:col>22</xdr:col>
      <xdr:colOff>95250</xdr:colOff>
      <xdr:row>30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55</xdr:row>
      <xdr:rowOff>19050</xdr:rowOff>
    </xdr:from>
    <xdr:to>
      <xdr:col>18</xdr:col>
      <xdr:colOff>0</xdr:colOff>
      <xdr:row>60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  <xdr:twoCellAnchor editAs="oneCell">
    <xdr:from>
      <xdr:col>25</xdr:col>
      <xdr:colOff>0</xdr:colOff>
      <xdr:row>31</xdr:row>
      <xdr:rowOff>19050</xdr:rowOff>
    </xdr:from>
    <xdr:to>
      <xdr:col>27</xdr:col>
      <xdr:colOff>0</xdr:colOff>
      <xdr:row>32</xdr:row>
      <xdr:rowOff>38100</xdr:rowOff>
    </xdr:to>
    <xdr:sp macro="" textlink="">
      <xdr:nvSpPr>
        <xdr:cNvPr id="9007" name="TextBox 9007"/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7F7F7F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600" b="1">
              <a:solidFill>
                <a:srgbClr val="595959"/>
              </a:solidFill>
              <a:latin typeface="游ゴシック"/>
              <a:ea typeface="游ゴシック"/>
            </a:rPr>
            <a:t>▲ もう一方の工程は実績なし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500;&#12483;&#12461;&#12531;&#12464;_&#26801;&#21253;_&#20844;&#24179;&#35413;&#20385;&#12484;&#12540;&#12523;_2026&#24180;4&#2637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ピッキング_梱包_公平評価ツール_2026年4月"/>
    </sheetNames>
    <definedNames>
      <definedName name="_dbKpName"/>
      <definedName name="_dbKpVal"/>
      <definedName name="_dbMixLbl"/>
      <definedName name="_dbMixVal"/>
      <definedName name="_dbPkName"/>
      <definedName name="_dbPkVal"/>
      <definedName name="_dbS1x"/>
      <definedName name="_dbS1y"/>
      <definedName name="_dbS2x"/>
      <definedName name="_dbS2y"/>
      <definedName name="_dbTopName"/>
      <definedName name="_dbTopPure"/>
      <definedName name="_dbTopRaw"/>
      <definedName name="_dyLabel"/>
      <definedName name="_dyPackEff"/>
      <definedName name="_dyPickEff"/>
      <definedName name="_s1x"/>
      <definedName name="_s1y"/>
      <definedName name="_s2x"/>
      <definedName name="_s2y"/>
      <definedName name="_s3x"/>
      <definedName name="_s3y"/>
      <definedName name="_s4x"/>
      <definedName name="_s4y"/>
      <definedName name="_s5x"/>
      <definedName name="_s5y"/>
      <definedName name="_s6x"/>
      <definedName name="_s6y"/>
      <definedName name="_s6z"/>
    </defined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workbookViewId="0"/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67" t="s">
        <v>2</v>
      </c>
      <c r="H2" s="68"/>
      <c r="I2" s="68"/>
      <c r="J2" s="69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I2" s="3" t="s">
        <v>11</v>
      </c>
      <c r="AJ2" s="3" t="s">
        <v>12</v>
      </c>
      <c r="AK2" s="3" t="s">
        <v>15</v>
      </c>
      <c r="AL2" s="3" t="s">
        <v>16</v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75" t="s">
        <v>30</v>
      </c>
      <c r="H3" s="68"/>
      <c r="I3" s="68"/>
      <c r="J3" s="69"/>
      <c r="T3">
        <v>1</v>
      </c>
      <c r="U3" t="str">
        <f>IFERROR(INDEX(ピッキング!$B$7:$B$66,MATCH($T3,ピッキング!$A$7:$A$66,0)),"")</f>
        <v>本吉有美子</v>
      </c>
      <c r="V3">
        <f>IFERROR(INDEX(ピッキング!$L$7:$L$66,MATCH($T3,ピッキング!$A$7:$A$66,0)),"")</f>
        <v>127.28974526492047</v>
      </c>
      <c r="W3" t="str">
        <f>IFERROR(INDEX(梱包!$B$7:$B$66,MATCH($T3,梱包!$A$7:$A$66,0)),"")</f>
        <v>佐々木千恵</v>
      </c>
      <c r="X3">
        <f>IFERROR(INDEX(梱包!$L$7:$L$66,MATCH($T3,梱包!$A$7:$A$66,0)),"")</f>
        <v>160.10839574130645</v>
      </c>
      <c r="Z3">
        <f>IF(OR(ピッキング!$E$7="",ピッキング!$C$7=""),"",ピッキング!$E$7/ピッキング!$C$7)</f>
        <v>0.42022008253094911</v>
      </c>
      <c r="AA3">
        <f>IF(ピッキング!$G$7="","",ピッキング!$G$7)</f>
        <v>83.686382393397523</v>
      </c>
      <c r="AB3">
        <f>IF(ピッキング!$P$7="","",ピッキング!$P$7)</f>
        <v>44.984112792297111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IFERROR(INDEX($Z$3:$Z$62,MATCH(T3,$AE$3:$AE$62,0)),"")</f>
        <v>0.42022008253094911</v>
      </c>
      <c r="AG3">
        <f t="shared" ref="AG3:AG34" si="2">IFERROR(INDEX($AA$3:$AA$62,MATCH(T3,$AE$3:$AE$62,0)),"")</f>
        <v>83.686382393397523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IFERROR(INDEX($Z$3:$Z$62,MATCH(T3,$AJ$3:$AJ$62,0)),"")</f>
        <v>0.42022008253094911</v>
      </c>
      <c r="AL3">
        <f t="shared" ref="AL3:AL34" si="5">IFERROR(INDEX($AB$3:$AB$62,MATCH(T3,$AJ$3:$AJ$62,0)),"")</f>
        <v>44.984112792297111</v>
      </c>
      <c r="AN3">
        <f>IF(ピッキング!$C$7="","",ピッキング!$C$7+ROW()/100000)</f>
        <v>1454.0000299999999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101.14607797087835</v>
      </c>
      <c r="AQ3">
        <f>IFERROR(INDEX(ピッキング!$P$7:$P$66,MATCH(LARGE($AN$3:$AN$62,ROW()-2),$AN$3:$AN$62,0)),"")</f>
        <v>69.306904650070464</v>
      </c>
      <c r="AR3">
        <f t="shared" ref="AR3:AR14" si="6">IF(AQ3="","",AQ3+ROW()/100000)</f>
        <v>69.30693465007046</v>
      </c>
      <c r="AS3" t="str">
        <f t="shared" ref="AS3:AS14" si="7">IFERROR(INDEX($AO$3:$AO$14,MATCH(LARGE($AR$3:$AR$14,ROW()-2),$AR$3:$AR$14,0)),"")</f>
        <v>上村和恵</v>
      </c>
      <c r="AT3">
        <f t="shared" ref="AT3:AT14" si="8">IFERROR(INDEX($AP$3:$AP$14,MATCH(LARGE($AR$3:$AR$14,ROW()-2),$AR$3:$AR$14,0)),"")</f>
        <v>143.79496402877697</v>
      </c>
      <c r="AU3">
        <f t="shared" ref="AU3:AU14" si="9">IFERROR(INDEX($AQ$3:$AQ$14,MATCH(LARGE($AR$3:$AR$14,ROW()-2),$AR$3:$AR$14,0)),"")</f>
        <v>105.28192446043165</v>
      </c>
      <c r="AW3" t="s">
        <v>31</v>
      </c>
      <c r="AX3" s="5">
        <v>233.2</v>
      </c>
      <c r="AY3" s="6">
        <f>IFERROR(AX3/SUM($AX$3:$AX$5),"")</f>
        <v>0.34324403885781574</v>
      </c>
      <c r="AZ3" t="str">
        <f>AW3&amp;"　"&amp;ROUND(AX3,1)&amp;"h・"&amp;ROUND(AY3*100,1)&amp;"%"</f>
        <v>段取り　233.2h・34.3%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澤田凌</v>
      </c>
      <c r="V4">
        <f>IFERROR(INDEX(ピッキング!$L$7:$L$66,MATCH($T4,ピッキング!$A$7:$A$66,0)),"")</f>
        <v>124.86052594253862</v>
      </c>
      <c r="W4" t="str">
        <f>IFERROR(INDEX(梱包!$B$7:$B$66,MATCH($T4,梱包!$A$7:$A$66,0)),"")</f>
        <v>本吉有美子</v>
      </c>
      <c r="X4">
        <f>IFERROR(INDEX(梱包!$L$7:$L$66,MATCH($T4,梱包!$A$7:$A$66,0)),"")</f>
        <v>146.61994619353155</v>
      </c>
      <c r="Z4">
        <f>IF(OR(ピッキング!$E$8="",ピッキング!$C$8=""),"",ピッキング!$E$8/ピッキング!$C$8)</f>
        <v>0.60126582278481011</v>
      </c>
      <c r="AA4">
        <f>IF(ピッキング!$G$8="","",ピッキング!$G$8)</f>
        <v>94.556962025316452</v>
      </c>
      <c r="AB4">
        <f>IF(ピッキング!$P$8="","",ピッキング!$P$8)</f>
        <v>39.180379746835442</v>
      </c>
      <c r="AD4">
        <f t="shared" si="0"/>
        <v>1</v>
      </c>
      <c r="AE4">
        <f>IF(AD4=1,SUM($AD$3:AD4),"")</f>
        <v>2</v>
      </c>
      <c r="AF4">
        <f t="shared" si="1"/>
        <v>0.60126582278481011</v>
      </c>
      <c r="AG4">
        <f t="shared" si="2"/>
        <v>94.556962025316452</v>
      </c>
      <c r="AI4">
        <f t="shared" si="3"/>
        <v>1</v>
      </c>
      <c r="AJ4">
        <f>IF(AI4=1,SUM($AI$3:AI4),"")</f>
        <v>2</v>
      </c>
      <c r="AK4">
        <f t="shared" si="4"/>
        <v>0.60126582278481011</v>
      </c>
      <c r="AL4">
        <f t="shared" si="5"/>
        <v>39.180379746835442</v>
      </c>
      <c r="AN4">
        <f>IF(ピッキング!$C$8="","",ピッキング!$C$8+ROW()/100000)</f>
        <v>790.00004000000001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107.17488789237669</v>
      </c>
      <c r="AQ4">
        <f>IFERROR(INDEX(ピッキング!$P$7:$P$66,MATCH(LARGE($AN$3:$AN$62,ROW()-2),$AN$3:$AN$62,0)),"")</f>
        <v>63.16696562032886</v>
      </c>
      <c r="AR4">
        <f t="shared" si="6"/>
        <v>63.167005620328858</v>
      </c>
      <c r="AS4" t="str">
        <f t="shared" si="7"/>
        <v>秋草文恵</v>
      </c>
      <c r="AT4">
        <f t="shared" si="8"/>
        <v>146.43356643356643</v>
      </c>
      <c r="AU4">
        <f t="shared" si="9"/>
        <v>104.46258741258742</v>
      </c>
      <c r="AW4" t="s">
        <v>33</v>
      </c>
      <c r="AX4" s="5">
        <v>223.1</v>
      </c>
      <c r="AY4" s="6">
        <f>IFERROR(AX4/SUM($AX$3:$AX$5),"")</f>
        <v>0.32837798057109213</v>
      </c>
      <c r="AZ4" t="str">
        <f>AW4&amp;"　"&amp;ROUND(AX4,1)&amp;"h・"&amp;ROUND(AY4*100,1)&amp;"%"</f>
        <v>移動　223.1h・32.8%</v>
      </c>
    </row>
    <row r="5" spans="2:52" x14ac:dyDescent="0.15">
      <c r="T5">
        <v>3</v>
      </c>
      <c r="U5" t="str">
        <f>IFERROR(INDEX(ピッキング!$B$7:$B$66,MATCH($T5,ピッキング!$A$7:$A$66,0)),"")</f>
        <v>大江美記子</v>
      </c>
      <c r="V5">
        <f>IFERROR(INDEX(ピッキング!$L$7:$L$66,MATCH($T5,ピッキング!$A$7:$A$66,0)),"")</f>
        <v>120.95420151086539</v>
      </c>
      <c r="W5" t="str">
        <f>IFERROR(INDEX(梱包!$B$7:$B$66,MATCH($T5,梱包!$A$7:$A$66,0)),"")</f>
        <v>北田倫子</v>
      </c>
      <c r="X5">
        <f>IFERROR(INDEX(梱包!$L$7:$L$66,MATCH($T5,梱包!$A$7:$A$66,0)),"")</f>
        <v>133.19600527081576</v>
      </c>
      <c r="Z5">
        <f>IF(OR(ピッキング!$E$9="",ピッキング!$C$9=""),"",ピッキング!$E$9/ピッキング!$C$9)</f>
        <v>0.49031600407747195</v>
      </c>
      <c r="AA5">
        <f>IF(ピッキング!$G$9="","",ピッキング!$G$9)</f>
        <v>93.883792048929664</v>
      </c>
      <c r="AB5">
        <f>IF(ピッキング!$P$9="","",ピッキング!$P$9)</f>
        <v>48.725688073394494</v>
      </c>
      <c r="AD5">
        <f t="shared" si="0"/>
        <v>1</v>
      </c>
      <c r="AE5">
        <f>IF(AD5=1,SUM($AD$3:AD5),"")</f>
        <v>3</v>
      </c>
      <c r="AF5">
        <f t="shared" si="1"/>
        <v>0.49031600407747195</v>
      </c>
      <c r="AG5">
        <f t="shared" si="2"/>
        <v>93.883792048929664</v>
      </c>
      <c r="AI5">
        <f t="shared" si="3"/>
        <v>1</v>
      </c>
      <c r="AJ5">
        <f>IF(AI5=1,SUM($AI$3:AI5),"")</f>
        <v>3</v>
      </c>
      <c r="AK5">
        <f t="shared" si="4"/>
        <v>0.49031600407747195</v>
      </c>
      <c r="AL5">
        <f t="shared" si="5"/>
        <v>48.725688073394494</v>
      </c>
      <c r="AN5">
        <f>IF(ピッキング!$C$9="","",ピッキング!$C$9+ROW()/100000)</f>
        <v>981.00004999999999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83.686382393397523</v>
      </c>
      <c r="AQ5">
        <f>IFERROR(INDEX(ピッキング!$P$7:$P$66,MATCH(LARGE($AN$3:$AN$62,ROW()-2),$AN$3:$AN$62,0)),"")</f>
        <v>44.984112792297111</v>
      </c>
      <c r="AR5">
        <f t="shared" si="6"/>
        <v>44.984162792297113</v>
      </c>
      <c r="AS5" t="str">
        <f t="shared" si="7"/>
        <v>高橋正美</v>
      </c>
      <c r="AT5">
        <f t="shared" si="8"/>
        <v>138.16513761467891</v>
      </c>
      <c r="AU5">
        <f t="shared" si="9"/>
        <v>102.00110091743119</v>
      </c>
      <c r="AW5" t="s">
        <v>34</v>
      </c>
      <c r="AX5" s="5">
        <v>223.1</v>
      </c>
      <c r="AY5" s="6">
        <f>IFERROR(AX5/SUM($AX$3:$AX$5),"")</f>
        <v>0.32837798057109213</v>
      </c>
      <c r="AZ5" t="str">
        <f>AW5&amp;"　"&amp;ROUND(AX5,1)&amp;"h・"&amp;ROUND(AY5*100,1)&amp;"%"</f>
        <v>ピック　223.1h・32.8%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44</v>
      </c>
      <c r="T6">
        <v>4</v>
      </c>
      <c r="U6" t="str">
        <f>IFERROR(INDEX(ピッキング!$B$7:$B$66,MATCH($T6,ピッキング!$A$7:$A$66,0)),"")</f>
        <v>佐藤辰成</v>
      </c>
      <c r="V6">
        <f>IFERROR(INDEX(ピッキング!$L$7:$L$66,MATCH($T6,ピッキング!$A$7:$A$66,0)),"")</f>
        <v>120.11755394548538</v>
      </c>
      <c r="W6" t="str">
        <f>IFERROR(INDEX(梱包!$B$7:$B$66,MATCH($T6,梱包!$A$7:$A$66,0)),"")</f>
        <v>大江美記子</v>
      </c>
      <c r="X6">
        <f>IFERROR(INDEX(梱包!$L$7:$L$66,MATCH($T6,梱包!$A$7:$A$66,0)),"")</f>
        <v>131.00104643796593</v>
      </c>
      <c r="Z6">
        <f>IF(OR(ピッキング!$E$10="",ピッキング!$C$10=""),"",ピッキング!$E$10/ピッキング!$C$10)</f>
        <v>0.22188905547226387</v>
      </c>
      <c r="AA6">
        <f>IF(ピッキング!$G$10="","",ピッキング!$G$10)</f>
        <v>72.863568215892059</v>
      </c>
      <c r="AB6">
        <f>IF(ピッキング!$P$10="","",ピッキング!$P$10)</f>
        <v>52.427586206896557</v>
      </c>
      <c r="AD6">
        <f t="shared" si="0"/>
        <v>1</v>
      </c>
      <c r="AE6">
        <f>IF(AD6=1,SUM($AD$3:AD6),"")</f>
        <v>4</v>
      </c>
      <c r="AF6">
        <f t="shared" si="1"/>
        <v>0.22188905547226387</v>
      </c>
      <c r="AG6">
        <f t="shared" si="2"/>
        <v>72.863568215892059</v>
      </c>
      <c r="AI6">
        <f t="shared" si="3"/>
        <v>1</v>
      </c>
      <c r="AJ6">
        <f>IF(AI6=1,SUM($AI$3:AI6),"")</f>
        <v>4</v>
      </c>
      <c r="AK6">
        <f t="shared" si="4"/>
        <v>0.22188905547226387</v>
      </c>
      <c r="AL6">
        <f t="shared" si="5"/>
        <v>52.427586206896557</v>
      </c>
      <c r="AN6">
        <f>IF(ピッキング!$C$10="","",ピッキング!$C$10+ROW()/100000)</f>
        <v>667.00005999999996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118.37270341207349</v>
      </c>
      <c r="AQ6">
        <f>IFERROR(INDEX(ピッキング!$P$7:$P$66,MATCH(LARGE($AN$3:$AN$62,ROW()-2),$AN$3:$AN$62,0)),"")</f>
        <v>73.571653543307079</v>
      </c>
      <c r="AR6">
        <f t="shared" si="6"/>
        <v>73.571713543307084</v>
      </c>
      <c r="AS6" t="str">
        <f t="shared" si="7"/>
        <v>向井ひかり</v>
      </c>
      <c r="AT6">
        <f t="shared" si="8"/>
        <v>129.9769053117783</v>
      </c>
      <c r="AU6">
        <f t="shared" si="9"/>
        <v>88.606351039260971</v>
      </c>
    </row>
    <row r="7" spans="2:52" x14ac:dyDescent="0.15">
      <c r="T7">
        <v>5</v>
      </c>
      <c r="U7" t="str">
        <f>IFERROR(INDEX(ピッキング!$B$7:$B$66,MATCH($T7,ピッキング!$A$7:$A$66,0)),"")</f>
        <v>春谷智子</v>
      </c>
      <c r="V7">
        <f>IFERROR(INDEX(ピッキング!$L$7:$L$66,MATCH($T7,ピッキング!$A$7:$A$66,0)),"")</f>
        <v>111.86290588643365</v>
      </c>
      <c r="W7" t="str">
        <f>IFERROR(INDEX(梱包!$B$7:$B$66,MATCH($T7,梱包!$A$7:$A$66,0)),"")</f>
        <v>佐藤辰成</v>
      </c>
      <c r="X7">
        <f>IFERROR(INDEX(梱包!$L$7:$L$66,MATCH($T7,梱包!$A$7:$A$66,0)),"")</f>
        <v>128.07757268601134</v>
      </c>
      <c r="Z7">
        <f>IF(OR(ピッキング!$E$11="",ピッキング!$C$11=""),"",ピッキング!$E$11/ピッキング!$C$11)</f>
        <v>0.59836065573770492</v>
      </c>
      <c r="AA7">
        <f>IF(ピッキング!$G$11="","",ピッキング!$G$11)</f>
        <v>103.27868852459017</v>
      </c>
      <c r="AB7">
        <f>IF(ピッキング!$P$11="","",ピッキング!$P$11)</f>
        <v>48.16967213114755</v>
      </c>
      <c r="AD7">
        <f t="shared" si="0"/>
        <v>1</v>
      </c>
      <c r="AE7">
        <f>IF(AD7=1,SUM($AD$3:AD7),"")</f>
        <v>5</v>
      </c>
      <c r="AF7">
        <f t="shared" si="1"/>
        <v>0.59836065573770492</v>
      </c>
      <c r="AG7">
        <f t="shared" si="2"/>
        <v>103.27868852459017</v>
      </c>
      <c r="AI7">
        <f t="shared" si="3"/>
        <v>1</v>
      </c>
      <c r="AJ7">
        <f>IF(AI7=1,SUM($AI$3:AI7),"")</f>
        <v>5</v>
      </c>
      <c r="AK7">
        <f t="shared" si="4"/>
        <v>0.59836065573770492</v>
      </c>
      <c r="AL7">
        <f t="shared" si="5"/>
        <v>48.16967213114755</v>
      </c>
      <c r="AN7">
        <f>IF(ピッキング!$C$11="","",ピッキング!$C$11+ROW()/100000)</f>
        <v>122.00006999999999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143.79496402877697</v>
      </c>
      <c r="AQ7">
        <f>IFERROR(INDEX(ピッキング!$P$7:$P$66,MATCH(LARGE($AN$3:$AN$62,ROW()-2),$AN$3:$AN$62,0)),"")</f>
        <v>105.28192446043165</v>
      </c>
      <c r="AR7">
        <f t="shared" si="6"/>
        <v>105.28199446043165</v>
      </c>
      <c r="AS7" t="str">
        <f t="shared" si="7"/>
        <v>石戸谷亜子</v>
      </c>
      <c r="AT7">
        <f t="shared" si="8"/>
        <v>105.67375886524823</v>
      </c>
      <c r="AU7">
        <f t="shared" si="9"/>
        <v>74.973758865248229</v>
      </c>
    </row>
    <row r="8" spans="2:52" ht="14.25" x14ac:dyDescent="0.15">
      <c r="B8" s="76" t="s">
        <v>45</v>
      </c>
      <c r="C8" s="77"/>
      <c r="D8" s="77"/>
      <c r="E8" s="77"/>
      <c r="F8" s="77"/>
      <c r="G8" s="77"/>
      <c r="H8" s="77"/>
      <c r="I8" s="77"/>
      <c r="J8" s="77"/>
      <c r="T8">
        <v>6</v>
      </c>
      <c r="U8" t="str">
        <f>IFERROR(INDEX(ピッキング!$B$7:$B$66,MATCH($T8,ピッキング!$A$7:$A$66,0)),"")</f>
        <v>後藤克行</v>
      </c>
      <c r="V8">
        <f>IFERROR(INDEX(ピッキング!$L$7:$L$66,MATCH($T8,ピッキング!$A$7:$A$66,0)),"")</f>
        <v>109.49437773777254</v>
      </c>
      <c r="W8" t="str">
        <f>IFERROR(INDEX(梱包!$B$7:$B$66,MATCH($T8,梱包!$A$7:$A$66,0)),"")</f>
        <v>飯田由加里</v>
      </c>
      <c r="X8">
        <f>IFERROR(INDEX(梱包!$L$7:$L$66,MATCH($T8,梱包!$A$7:$A$66,0)),"")</f>
        <v>126.75845645824401</v>
      </c>
      <c r="Z8">
        <f>IF(OR(ピッキング!$E$12="",ピッキング!$C$12=""),"",ピッキング!$E$12/ピッキング!$C$12)</f>
        <v>0.47782760338814151</v>
      </c>
      <c r="AA8">
        <f>IF(ピッキング!$G$12="","",ピッキング!$G$12)</f>
        <v>107.17488789237669</v>
      </c>
      <c r="AB8">
        <f>IF(ピッキング!$P$12="","",ピッキング!$P$12)</f>
        <v>63.16696562032886</v>
      </c>
      <c r="AD8">
        <f t="shared" si="0"/>
        <v>1</v>
      </c>
      <c r="AE8">
        <f>IF(AD8=1,SUM($AD$3:AD8),"")</f>
        <v>6</v>
      </c>
      <c r="AF8">
        <f t="shared" si="1"/>
        <v>0.47782760338814151</v>
      </c>
      <c r="AG8">
        <f t="shared" si="2"/>
        <v>107.17488789237669</v>
      </c>
      <c r="AI8">
        <f t="shared" si="3"/>
        <v>1</v>
      </c>
      <c r="AJ8">
        <f>IF(AI8=1,SUM($AI$3:AI8),"")</f>
        <v>6</v>
      </c>
      <c r="AK8">
        <f t="shared" si="4"/>
        <v>0.47782760338814151</v>
      </c>
      <c r="AL8">
        <f t="shared" si="5"/>
        <v>63.16696562032886</v>
      </c>
      <c r="AN8">
        <f>IF(ピッキング!$C$12="","",ピッキング!$C$12+ROW()/100000)</f>
        <v>2007.00008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138.16513761467891</v>
      </c>
      <c r="AQ8">
        <f>IFERROR(INDEX(ピッキング!$P$7:$P$66,MATCH(LARGE($AN$3:$AN$62,ROW()-2),$AN$3:$AN$62,0)),"")</f>
        <v>102.00110091743119</v>
      </c>
      <c r="AR8">
        <f t="shared" si="6"/>
        <v>102.00118091743118</v>
      </c>
      <c r="AS8" t="str">
        <f t="shared" si="7"/>
        <v>中納沙織</v>
      </c>
      <c r="AT8">
        <f t="shared" si="8"/>
        <v>118.37270341207349</v>
      </c>
      <c r="AU8">
        <f t="shared" si="9"/>
        <v>73.571653543307079</v>
      </c>
    </row>
    <row r="9" spans="2:52" x14ac:dyDescent="0.15">
      <c r="T9">
        <v>7</v>
      </c>
      <c r="U9" t="str">
        <f>IFERROR(INDEX(ピッキング!$B$7:$B$66,MATCH($T9,ピッキング!$A$7:$A$66,0)),"")</f>
        <v>中村美佳</v>
      </c>
      <c r="V9">
        <f>IFERROR(INDEX(ピッキング!$L$7:$L$66,MATCH($T9,ピッキング!$A$7:$A$66,0)),"")</f>
        <v>108.83316918183169</v>
      </c>
      <c r="W9" t="str">
        <f>IFERROR(INDEX(梱包!$B$7:$B$66,MATCH($T9,梱包!$A$7:$A$66,0)),"")</f>
        <v>晩田恵美</v>
      </c>
      <c r="X9">
        <f>IFERROR(INDEX(梱包!$L$7:$L$66,MATCH($T9,梱包!$A$7:$A$66,0)),"")</f>
        <v>120.16949514391577</v>
      </c>
      <c r="Z9">
        <f>IF(OR(ピッキング!$E$13="",ピッキング!$C$13=""),"",ピッキング!$E$13/ピッキング!$C$13)</f>
        <v>0.379746835443038</v>
      </c>
      <c r="AA9">
        <f>IF(ピッキング!$G$13="","",ピッキング!$G$13)</f>
        <v>91.139240506329116</v>
      </c>
      <c r="AB9">
        <f>IF(ピッキング!$P$13="","",ピッキング!$P$13)</f>
        <v>56.164556962025316</v>
      </c>
      <c r="AD9">
        <f t="shared" si="0"/>
        <v>1</v>
      </c>
      <c r="AE9">
        <f>IF(AD9=1,SUM($AD$3:AD9),"")</f>
        <v>7</v>
      </c>
      <c r="AF9">
        <f t="shared" si="1"/>
        <v>0.379746835443038</v>
      </c>
      <c r="AG9">
        <f t="shared" si="2"/>
        <v>91.139240506329116</v>
      </c>
      <c r="AI9">
        <f t="shared" si="3"/>
        <v>1</v>
      </c>
      <c r="AJ9">
        <f>IF(AI9=1,SUM($AI$3:AI9),"")</f>
        <v>7</v>
      </c>
      <c r="AK9">
        <f t="shared" si="4"/>
        <v>0.379746835443038</v>
      </c>
      <c r="AL9">
        <f t="shared" si="5"/>
        <v>56.164556962025316</v>
      </c>
      <c r="AN9">
        <f>IF(ピッキング!$C$13="","",ピッキング!$C$13+ROW()/100000)</f>
        <v>79.00009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93.883792048929664</v>
      </c>
      <c r="AQ9">
        <f>IFERROR(INDEX(ピッキング!$P$7:$P$66,MATCH(LARGE($AN$3:$AN$62,ROW()-2),$AN$3:$AN$62,0)),"")</f>
        <v>48.725688073394494</v>
      </c>
      <c r="AR9">
        <f t="shared" si="6"/>
        <v>48.725778073394494</v>
      </c>
      <c r="AS9" t="str">
        <f t="shared" si="7"/>
        <v>山本祥吉</v>
      </c>
      <c r="AT9">
        <f t="shared" si="8"/>
        <v>101.14607797087835</v>
      </c>
      <c r="AU9">
        <f t="shared" si="9"/>
        <v>69.306904650070464</v>
      </c>
    </row>
    <row r="10" spans="2:52" x14ac:dyDescent="0.15">
      <c r="B10" s="65" t="s">
        <v>46</v>
      </c>
      <c r="C10" s="66"/>
      <c r="D10" s="66"/>
      <c r="E10" s="66"/>
      <c r="F10" s="65" t="s">
        <v>47</v>
      </c>
      <c r="G10" s="66"/>
      <c r="H10" s="66"/>
      <c r="I10" s="66"/>
      <c r="T10">
        <v>8</v>
      </c>
      <c r="U10" t="str">
        <f>IFERROR(INDEX(ピッキング!$B$7:$B$66,MATCH($T10,ピッキング!$A$7:$A$66,0)),"")</f>
        <v>晩田恵美</v>
      </c>
      <c r="V10">
        <f>IFERROR(INDEX(ピッキング!$L$7:$L$66,MATCH($T10,ピッキング!$A$7:$A$66,0)),"")</f>
        <v>106.78993993502498</v>
      </c>
      <c r="W10" t="str">
        <f>IFERROR(INDEX(梱包!$B$7:$B$66,MATCH($T10,梱包!$A$7:$A$66,0)),"")</f>
        <v>河野忠</v>
      </c>
      <c r="X10">
        <f>IFERROR(INDEX(梱包!$L$7:$L$66,MATCH($T10,梱包!$A$7:$A$66,0)),"")</f>
        <v>114.9964054395198</v>
      </c>
      <c r="Z10">
        <f>IF(OR(ピッキング!$E$14="",ピッキング!$C$14=""),"",ピッキング!$E$14/ピッキング!$C$14)</f>
        <v>0.26339794754846069</v>
      </c>
      <c r="AA10">
        <f>IF(ピッキング!$G$14="","",ピッキング!$G$14)</f>
        <v>92.086659064994294</v>
      </c>
      <c r="AB10">
        <f>IF(ピッキング!$P$14="","",ピッキング!$P$14)</f>
        <v>67.827708095781063</v>
      </c>
      <c r="AD10">
        <f t="shared" si="0"/>
        <v>1</v>
      </c>
      <c r="AE10">
        <f>IF(AD10=1,SUM($AD$3:AD10),"")</f>
        <v>8</v>
      </c>
      <c r="AF10">
        <f t="shared" si="1"/>
        <v>0.26339794754846069</v>
      </c>
      <c r="AG10">
        <f t="shared" si="2"/>
        <v>92.086659064994294</v>
      </c>
      <c r="AI10">
        <f t="shared" si="3"/>
        <v>1</v>
      </c>
      <c r="AJ10">
        <f>IF(AI10=1,SUM($AI$3:AI10),"")</f>
        <v>8</v>
      </c>
      <c r="AK10">
        <f t="shared" si="4"/>
        <v>0.26339794754846069</v>
      </c>
      <c r="AL10">
        <f t="shared" si="5"/>
        <v>67.827708095781063</v>
      </c>
      <c r="AN10">
        <f>IF(ピッキング!$C$14="","",ピッキング!$C$14+ROW()/100000)</f>
        <v>877.00009999999997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107.43889479277364</v>
      </c>
      <c r="AQ10">
        <f>IFERROR(INDEX(ピッキング!$P$7:$P$66,MATCH(LARGE($AN$3:$AN$62,ROW()-2),$AN$3:$AN$62,0)),"")</f>
        <v>68.289054197662068</v>
      </c>
      <c r="AR10">
        <f t="shared" si="6"/>
        <v>68.289154197662072</v>
      </c>
      <c r="AS10" t="str">
        <f t="shared" si="7"/>
        <v>高橋佐織</v>
      </c>
      <c r="AT10">
        <f t="shared" si="8"/>
        <v>107.43889479277364</v>
      </c>
      <c r="AU10">
        <f t="shared" si="9"/>
        <v>68.289054197662068</v>
      </c>
    </row>
    <row r="11" spans="2:52" ht="30" customHeight="1" x14ac:dyDescent="0.15">
      <c r="B11" s="82">
        <f>ピッキング!$T$10+梱包!$T$10</f>
        <v>45716</v>
      </c>
      <c r="C11" s="66"/>
      <c r="D11" s="66"/>
      <c r="E11" s="66"/>
      <c r="F11" s="79">
        <f>IFERROR((ピッキング!$T$14+梱包!$T$14)/(ピッキング!$T$12+梱包!$T$12)*100,"")</f>
        <v>99.981976574548753</v>
      </c>
      <c r="G11" s="66"/>
      <c r="H11" s="66"/>
      <c r="I11" s="66"/>
      <c r="T11">
        <v>9</v>
      </c>
      <c r="U11" t="str">
        <f>IFERROR(INDEX(ピッキング!$B$7:$B$66,MATCH($T11,ピッキング!$A$7:$A$66,0)),"")</f>
        <v>高橋佐織</v>
      </c>
      <c r="V11">
        <f>IFERROR(INDEX(ピッキング!$L$7:$L$66,MATCH($T11,ピッキング!$A$7:$A$66,0)),"")</f>
        <v>105.79720390865057</v>
      </c>
      <c r="W11" t="str">
        <f>IFERROR(INDEX(梱包!$B$7:$B$66,MATCH($T11,梱包!$A$7:$A$66,0)),"")</f>
        <v>森本久美</v>
      </c>
      <c r="X11">
        <f>IFERROR(INDEX(梱包!$L$7:$L$66,MATCH($T11,梱包!$A$7:$A$66,0)),"")</f>
        <v>102.18958506791222</v>
      </c>
      <c r="Z11">
        <f>IF(OR(ピッキング!$E$15="",ピッキング!$C$15=""),"",ピッキング!$E$15/ピッキング!$C$15)</f>
        <v>0.42507970244420828</v>
      </c>
      <c r="AA11">
        <f>IF(ピッキング!$G$15="","",ピッキング!$G$15)</f>
        <v>107.43889479277364</v>
      </c>
      <c r="AB11">
        <f>IF(ピッキング!$P$15="","",ピッキング!$P$15)</f>
        <v>68.289054197662068</v>
      </c>
      <c r="AD11">
        <f t="shared" si="0"/>
        <v>1</v>
      </c>
      <c r="AE11">
        <f>IF(AD11=1,SUM($AD$3:AD11),"")</f>
        <v>9</v>
      </c>
      <c r="AF11">
        <f t="shared" si="1"/>
        <v>0.42507970244420828</v>
      </c>
      <c r="AG11">
        <f t="shared" si="2"/>
        <v>107.43889479277364</v>
      </c>
      <c r="AI11">
        <f t="shared" si="3"/>
        <v>1</v>
      </c>
      <c r="AJ11">
        <f>IF(AI11=1,SUM($AI$3:AI11),"")</f>
        <v>9</v>
      </c>
      <c r="AK11">
        <f t="shared" si="4"/>
        <v>0.42507970244420828</v>
      </c>
      <c r="AL11">
        <f t="shared" si="5"/>
        <v>68.289054197662068</v>
      </c>
      <c r="AN11">
        <f>IF(ピッキング!$C$15="","",ピッキング!$C$15+ROW()/100000)</f>
        <v>941.00010999999995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92.086659064994294</v>
      </c>
      <c r="AQ11">
        <f>IFERROR(INDEX(ピッキング!$P$7:$P$66,MATCH(LARGE($AN$3:$AN$62,ROW()-2),$AN$3:$AN$62,0)),"")</f>
        <v>67.827708095781063</v>
      </c>
      <c r="AR11">
        <f t="shared" si="6"/>
        <v>67.827818095781069</v>
      </c>
      <c r="AS11" t="str">
        <f t="shared" si="7"/>
        <v>晩田恵美</v>
      </c>
      <c r="AT11">
        <f t="shared" si="8"/>
        <v>92.086659064994294</v>
      </c>
      <c r="AU11">
        <f t="shared" si="9"/>
        <v>67.827708095781063</v>
      </c>
    </row>
    <row r="12" spans="2:52" x14ac:dyDescent="0.15">
      <c r="B12" s="74">
        <v>0.29399999999999998</v>
      </c>
      <c r="C12" s="66"/>
      <c r="D12" s="66"/>
      <c r="E12" s="66"/>
      <c r="F12" s="81">
        <v>6.7000000000000004E-2</v>
      </c>
      <c r="G12" s="66"/>
      <c r="H12" s="66"/>
      <c r="I12" s="66"/>
      <c r="T12">
        <v>10</v>
      </c>
      <c r="U12" t="str">
        <f>IFERROR(INDEX(ピッキング!$B$7:$B$66,MATCH($T12,ピッキング!$A$7:$A$66,0)),"")</f>
        <v>山本祥吉</v>
      </c>
      <c r="V12">
        <f>IFERROR(INDEX(ピッキング!$L$7:$L$66,MATCH($T12,ピッキング!$A$7:$A$66,0)),"")</f>
        <v>105.51500291640784</v>
      </c>
      <c r="W12" t="str">
        <f>IFERROR(INDEX(梱包!$B$7:$B$66,MATCH($T12,梱包!$A$7:$A$66,0)),"")</f>
        <v>鈴木香織</v>
      </c>
      <c r="X12">
        <f>IFERROR(INDEX(梱包!$L$7:$L$66,MATCH($T12,梱包!$A$7:$A$66,0)),"")</f>
        <v>98.746784747731013</v>
      </c>
      <c r="Z12">
        <f>IF(OR(ピッキング!$E$16="",ピッキング!$C$16=""),"",ピッキング!$E$16/ピッキング!$C$16)</f>
        <v>0.34570220760920622</v>
      </c>
      <c r="AA12">
        <f>IF(ピッキング!$G$16="","",ピッキング!$G$16)</f>
        <v>101.14607797087835</v>
      </c>
      <c r="AB12">
        <f>IF(ピッキング!$P$16="","",ピッキング!$P$16)</f>
        <v>69.306904650070464</v>
      </c>
      <c r="AD12">
        <f t="shared" si="0"/>
        <v>1</v>
      </c>
      <c r="AE12">
        <f>IF(AD12=1,SUM($AD$3:AD12),"")</f>
        <v>10</v>
      </c>
      <c r="AF12">
        <f t="shared" si="1"/>
        <v>0.34570220760920622</v>
      </c>
      <c r="AG12">
        <f t="shared" si="2"/>
        <v>101.14607797087835</v>
      </c>
      <c r="AI12">
        <f t="shared" si="3"/>
        <v>1</v>
      </c>
      <c r="AJ12">
        <f>IF(AI12=1,SUM($AI$3:AI12),"")</f>
        <v>10</v>
      </c>
      <c r="AK12">
        <f t="shared" si="4"/>
        <v>0.34570220760920622</v>
      </c>
      <c r="AL12">
        <f t="shared" si="5"/>
        <v>69.306904650070464</v>
      </c>
      <c r="AN12">
        <f>IF(ピッキング!$C$16="","",ピッキング!$C$16+ROW()/100000)</f>
        <v>2129.0001200000002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129.9769053117783</v>
      </c>
      <c r="AQ12">
        <f>IFERROR(INDEX(ピッキング!$P$7:$P$66,MATCH(LARGE($AN$3:$AN$62,ROW()-2),$AN$3:$AN$62,0)),"")</f>
        <v>88.606351039260971</v>
      </c>
      <c r="AR12">
        <f t="shared" si="6"/>
        <v>88.606471039260967</v>
      </c>
      <c r="AS12" t="str">
        <f t="shared" si="7"/>
        <v>後藤克行</v>
      </c>
      <c r="AT12">
        <f t="shared" si="8"/>
        <v>107.17488789237669</v>
      </c>
      <c r="AU12">
        <f t="shared" si="9"/>
        <v>63.16696562032886</v>
      </c>
    </row>
    <row r="13" spans="2:52" x14ac:dyDescent="0.15">
      <c r="B13" s="73" t="s">
        <v>48</v>
      </c>
      <c r="C13" s="66"/>
      <c r="D13" s="66"/>
      <c r="E13" s="66"/>
      <c r="F13" s="73" t="s">
        <v>49</v>
      </c>
      <c r="G13" s="66"/>
      <c r="H13" s="66"/>
      <c r="I13" s="66"/>
      <c r="T13">
        <v>11</v>
      </c>
      <c r="U13" t="str">
        <f>IFERROR(INDEX(ピッキング!$B$7:$B$66,MATCH($T13,ピッキング!$A$7:$A$66,0)),"")</f>
        <v>佐々木千恵</v>
      </c>
      <c r="V13">
        <f>IFERROR(INDEX(ピッキング!$L$7:$L$66,MATCH($T13,ピッキング!$A$7:$A$66,0)),"")</f>
        <v>105.20453333776844</v>
      </c>
      <c r="W13" t="str">
        <f>IFERROR(INDEX(梱包!$B$7:$B$66,MATCH($T13,梱包!$A$7:$A$66,0)),"")</f>
        <v>高橋佐織</v>
      </c>
      <c r="X13">
        <f>IFERROR(INDEX(梱包!$L$7:$L$66,MATCH($T13,梱包!$A$7:$A$66,0)),"")</f>
        <v>94.989155931320283</v>
      </c>
      <c r="Z13">
        <f>IF(OR(ピッキング!$E$17="",ピッキング!$C$17=""),"",ピッキング!$E$17/ピッキング!$C$17)</f>
        <v>0.28046989720998533</v>
      </c>
      <c r="AA13">
        <f>IF(ピッキング!$G$17="","",ピッキング!$G$17)</f>
        <v>95.330396475770925</v>
      </c>
      <c r="AB13">
        <f>IF(ピッキング!$P$17="","",ピッキング!$P$17)</f>
        <v>69.499118942731286</v>
      </c>
      <c r="AD13">
        <f t="shared" si="0"/>
        <v>1</v>
      </c>
      <c r="AE13">
        <f>IF(AD13=1,SUM($AD$3:AD13),"")</f>
        <v>11</v>
      </c>
      <c r="AF13">
        <f t="shared" si="1"/>
        <v>0.28046989720998533</v>
      </c>
      <c r="AG13">
        <f t="shared" si="2"/>
        <v>95.330396475770925</v>
      </c>
      <c r="AI13">
        <f t="shared" si="3"/>
        <v>1</v>
      </c>
      <c r="AJ13">
        <f>IF(AI13=1,SUM($AI$3:AI13),"")</f>
        <v>11</v>
      </c>
      <c r="AK13">
        <f t="shared" si="4"/>
        <v>0.28046989720998533</v>
      </c>
      <c r="AL13">
        <f t="shared" si="5"/>
        <v>69.499118942731286</v>
      </c>
      <c r="AN13">
        <f>IF(ピッキング!$C$17="","",ピッキング!$C$17+ROW()/100000)</f>
        <v>681.00013000000001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146.43356643356643</v>
      </c>
      <c r="AQ13">
        <f>IFERROR(INDEX(ピッキング!$P$7:$P$66,MATCH(LARGE($AN$3:$AN$62,ROW()-2),$AN$3:$AN$62,0)),"")</f>
        <v>104.46258741258742</v>
      </c>
      <c r="AR13">
        <f t="shared" si="6"/>
        <v>104.46271741258742</v>
      </c>
      <c r="AS13" t="str">
        <f t="shared" si="7"/>
        <v>大江美記子</v>
      </c>
      <c r="AT13">
        <f t="shared" si="8"/>
        <v>93.883792048929664</v>
      </c>
      <c r="AU13">
        <f t="shared" si="9"/>
        <v>48.725688073394494</v>
      </c>
    </row>
    <row r="14" spans="2:52" x14ac:dyDescent="0.15">
      <c r="T14">
        <v>12</v>
      </c>
      <c r="U14" t="str">
        <f>IFERROR(INDEX(ピッキング!$B$7:$B$66,MATCH($T14,ピッキング!$A$7:$A$66,0)),"")</f>
        <v>北田倫子</v>
      </c>
      <c r="V14">
        <f>IFERROR(INDEX(ピッキング!$L$7:$L$66,MATCH($T14,ピッキング!$A$7:$A$66,0)),"")</f>
        <v>102.50307274983271</v>
      </c>
      <c r="W14" t="str">
        <f>IFERROR(INDEX(梱包!$B$7:$B$66,MATCH($T14,梱包!$A$7:$A$66,0)),"")</f>
        <v>中村美佳</v>
      </c>
      <c r="X14">
        <f>IFERROR(INDEX(梱包!$L$7:$L$66,MATCH($T14,梱包!$A$7:$A$66,0)),"")</f>
        <v>89.601445304729197</v>
      </c>
      <c r="Z14">
        <f>IF(OR(ピッキング!$E$18="",ピッキング!$C$18=""),"",ピッキング!$E$18/ピッキング!$C$18)</f>
        <v>0.6004273504273504</v>
      </c>
      <c r="AA14">
        <f>IF(ピッキング!$G$18="","",ピッキング!$G$18)</f>
        <v>128.33333333333334</v>
      </c>
      <c r="AB14">
        <f>IF(ピッキング!$P$18="","",ピッキング!$P$18)</f>
        <v>73.033974358974348</v>
      </c>
      <c r="AD14">
        <f t="shared" si="0"/>
        <v>1</v>
      </c>
      <c r="AE14">
        <f>IF(AD14=1,SUM($AD$3:AD14),"")</f>
        <v>12</v>
      </c>
      <c r="AF14">
        <f t="shared" si="1"/>
        <v>0.6004273504273504</v>
      </c>
      <c r="AG14">
        <f t="shared" si="2"/>
        <v>128.33333333333334</v>
      </c>
      <c r="AI14">
        <f t="shared" si="3"/>
        <v>1</v>
      </c>
      <c r="AJ14">
        <f>IF(AI14=1,SUM($AI$3:AI14),"")</f>
        <v>12</v>
      </c>
      <c r="AK14">
        <f t="shared" si="4"/>
        <v>0.6004273504273504</v>
      </c>
      <c r="AL14">
        <f t="shared" si="5"/>
        <v>73.033974358974348</v>
      </c>
      <c r="AN14">
        <f>IF(ピッキング!$C$18="","",ピッキング!$C$18+ROW()/100000)</f>
        <v>468.00013999999999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105.67375886524823</v>
      </c>
      <c r="AQ14">
        <f>IFERROR(INDEX(ピッキング!$P$7:$P$66,MATCH(LARGE($AN$3:$AN$62,ROW()-2),$AN$3:$AN$62,0)),"")</f>
        <v>74.973758865248229</v>
      </c>
      <c r="AR14">
        <f t="shared" si="6"/>
        <v>74.973898865248231</v>
      </c>
      <c r="AS14" t="str">
        <f t="shared" si="7"/>
        <v>本吉有美子</v>
      </c>
      <c r="AT14">
        <f t="shared" si="8"/>
        <v>83.686382393397523</v>
      </c>
      <c r="AU14">
        <f t="shared" si="9"/>
        <v>44.984112792297111</v>
      </c>
    </row>
    <row r="15" spans="2:52" x14ac:dyDescent="0.15">
      <c r="B15" s="65" t="s">
        <v>50</v>
      </c>
      <c r="C15" s="66"/>
      <c r="D15" s="66"/>
      <c r="E15" s="66"/>
      <c r="F15" s="65" t="s">
        <v>51</v>
      </c>
      <c r="G15" s="66"/>
      <c r="H15" s="66"/>
      <c r="I15" s="66"/>
      <c r="T15">
        <v>13</v>
      </c>
      <c r="U15" t="str">
        <f>IFERROR(INDEX(ピッキング!$B$7:$B$66,MATCH($T15,ピッキング!$A$7:$A$66,0)),"")</f>
        <v>中納沙織</v>
      </c>
      <c r="V15">
        <f>IFERROR(INDEX(ピッキング!$L$7:$L$66,MATCH($T15,ピッキング!$A$7:$A$66,0)),"")</f>
        <v>102.49958553696862</v>
      </c>
      <c r="W15" t="str">
        <f>IFERROR(INDEX(梱包!$B$7:$B$66,MATCH($T15,梱包!$A$7:$A$66,0)),"")</f>
        <v>山本祥吉</v>
      </c>
      <c r="X15">
        <f>IFERROR(INDEX(梱包!$L$7:$L$66,MATCH($T15,梱包!$A$7:$A$66,0)),"")</f>
        <v>86.545994007513698</v>
      </c>
      <c r="Z15">
        <f>IF(OR(ピッキング!$E$19="",ピッキング!$C$19=""),"",ピッキング!$E$19/ピッキング!$C$19)</f>
        <v>0.4864391951006124</v>
      </c>
      <c r="AA15">
        <f>IF(ピッキング!$G$19="","",ピッキング!$G$19)</f>
        <v>118.37270341207349</v>
      </c>
      <c r="AB15">
        <f>IF(ピッキング!$P$19="","",ピッキング!$P$19)</f>
        <v>73.571653543307079</v>
      </c>
      <c r="AD15">
        <f t="shared" si="0"/>
        <v>1</v>
      </c>
      <c r="AE15">
        <f>IF(AD15=1,SUM($AD$3:AD15),"")</f>
        <v>13</v>
      </c>
      <c r="AF15">
        <f t="shared" si="1"/>
        <v>0.4864391951006124</v>
      </c>
      <c r="AG15">
        <f t="shared" si="2"/>
        <v>118.37270341207349</v>
      </c>
      <c r="AI15">
        <f t="shared" si="3"/>
        <v>1</v>
      </c>
      <c r="AJ15">
        <f>IF(AI15=1,SUM($AI$3:AI15),"")</f>
        <v>13</v>
      </c>
      <c r="AK15">
        <f t="shared" si="4"/>
        <v>0.4864391951006124</v>
      </c>
      <c r="AL15">
        <f t="shared" si="5"/>
        <v>73.571653543307079</v>
      </c>
      <c r="AN15">
        <f>IF(ピッキング!$C$19="","",ピッキング!$C$19+ROW()/100000)</f>
        <v>1143.0001500000001</v>
      </c>
    </row>
    <row r="16" spans="2:52" ht="30" customHeight="1" x14ac:dyDescent="0.15">
      <c r="B16" s="80">
        <f>IFERROR(ピッキング!$T$13/ピッキング!$T$12,"")</f>
        <v>0.34303484294926806</v>
      </c>
      <c r="C16" s="66"/>
      <c r="D16" s="66"/>
      <c r="E16" s="66"/>
      <c r="F16" s="70">
        <f>IFERROR((ピッキング!$T$12+梱包!$T$12)/60,"")</f>
        <v>1332.8333333333333</v>
      </c>
      <c r="G16" s="66"/>
      <c r="H16" s="66"/>
      <c r="I16" s="66"/>
      <c r="T16">
        <v>14</v>
      </c>
      <c r="U16" t="str">
        <f>IFERROR(INDEX(ピッキング!$B$7:$B$66,MATCH($T16,ピッキング!$A$7:$A$66,0)),"")</f>
        <v>石戸谷亜子</v>
      </c>
      <c r="V16">
        <f>IFERROR(INDEX(ピッキング!$L$7:$L$66,MATCH($T16,ピッキング!$A$7:$A$66,0)),"")</f>
        <v>101.9554031333199</v>
      </c>
      <c r="W16" t="str">
        <f>IFERROR(INDEX(梱包!$B$7:$B$66,MATCH($T16,梱包!$A$7:$A$66,0)),"")</f>
        <v>後藤克行</v>
      </c>
      <c r="X16">
        <f>IFERROR(INDEX(梱包!$L$7:$L$66,MATCH($T16,梱包!$A$7:$A$66,0)),"")</f>
        <v>82.466184184781014</v>
      </c>
      <c r="Z16">
        <f>IF(OR(ピッキング!$E$20="",ピッキング!$C$20=""),"",ピッキング!$E$20/ピッキング!$C$20)</f>
        <v>0.33333333333333331</v>
      </c>
      <c r="AA16">
        <f>IF(ピッキング!$G$20="","",ピッキング!$G$20)</f>
        <v>105.67375886524823</v>
      </c>
      <c r="AB16">
        <f>IF(ピッキング!$P$20="","",ピッキング!$P$20)</f>
        <v>74.973758865248229</v>
      </c>
      <c r="AD16">
        <f t="shared" si="0"/>
        <v>1</v>
      </c>
      <c r="AE16">
        <f>IF(AD16=1,SUM($AD$3:AD16),"")</f>
        <v>14</v>
      </c>
      <c r="AF16">
        <f t="shared" si="1"/>
        <v>0.33333333333333331</v>
      </c>
      <c r="AG16">
        <f t="shared" si="2"/>
        <v>105.67375886524823</v>
      </c>
      <c r="AI16">
        <f t="shared" si="3"/>
        <v>1</v>
      </c>
      <c r="AJ16">
        <f>IF(AI16=1,SUM($AI$3:AI16),"")</f>
        <v>14</v>
      </c>
      <c r="AK16">
        <f t="shared" si="4"/>
        <v>0.33333333333333331</v>
      </c>
      <c r="AL16">
        <f t="shared" si="5"/>
        <v>74.973758865248229</v>
      </c>
      <c r="AN16">
        <f>IF(ピッキング!$C$20="","",ピッキング!$C$20+ROW()/100000)</f>
        <v>846.00016000000005</v>
      </c>
    </row>
    <row r="17" spans="2:40" x14ac:dyDescent="0.15">
      <c r="B17" s="83">
        <v>9.5000000000000001E-2</v>
      </c>
      <c r="C17" s="66"/>
      <c r="D17" s="66"/>
      <c r="E17" s="66"/>
      <c r="F17" s="74">
        <v>0.23799999999999999</v>
      </c>
      <c r="G17" s="66"/>
      <c r="H17" s="66"/>
      <c r="I17" s="66"/>
      <c r="T17">
        <v>15</v>
      </c>
      <c r="U17" t="str">
        <f>IFERROR(INDEX(ピッキング!$B$7:$B$66,MATCH($T17,ピッキング!$A$7:$A$66,0)),"")</f>
        <v>森田美加</v>
      </c>
      <c r="V17">
        <f>IFERROR(INDEX(ピッキング!$L$7:$L$66,MATCH($T17,ピッキング!$A$7:$A$66,0)),"")</f>
        <v>101.30979777676158</v>
      </c>
      <c r="W17" t="str">
        <f>IFERROR(INDEX(梱包!$B$7:$B$66,MATCH($T17,梱包!$A$7:$A$66,0)),"")</f>
        <v>中納沙織</v>
      </c>
      <c r="X17">
        <f>IFERROR(INDEX(梱包!$L$7:$L$66,MATCH($T17,梱包!$A$7:$A$66,0)),"")</f>
        <v>81.623854973799993</v>
      </c>
      <c r="Z17">
        <f>IF(OR(ピッキング!$E$21="",ピッキング!$C$21=""),"",ピッキング!$E$21/ピッキング!$C$21)</f>
        <v>0.5</v>
      </c>
      <c r="AA17">
        <f>IF(ピッキング!$G$21="","",ピッキング!$G$21)</f>
        <v>123.85321100917432</v>
      </c>
      <c r="AB17">
        <f>IF(ピッキング!$P$21="","",ピッキング!$P$21)</f>
        <v>77.803211009174305</v>
      </c>
      <c r="AD17">
        <f t="shared" si="0"/>
        <v>1</v>
      </c>
      <c r="AE17">
        <f>IF(AD17=1,SUM($AD$3:AD17),"")</f>
        <v>15</v>
      </c>
      <c r="AF17">
        <f t="shared" si="1"/>
        <v>0.5</v>
      </c>
      <c r="AG17">
        <f t="shared" si="2"/>
        <v>123.85321100917432</v>
      </c>
      <c r="AI17">
        <f t="shared" si="3"/>
        <v>1</v>
      </c>
      <c r="AJ17">
        <f>IF(AI17=1,SUM($AI$3:AI17),"")</f>
        <v>15</v>
      </c>
      <c r="AK17">
        <f t="shared" si="4"/>
        <v>0.5</v>
      </c>
      <c r="AL17">
        <f t="shared" si="5"/>
        <v>77.803211009174305</v>
      </c>
      <c r="AN17">
        <f>IF(ピッキング!$C$21="","",ピッキング!$C$21+ROW()/100000)</f>
        <v>218.00017</v>
      </c>
    </row>
    <row r="18" spans="2:40" x14ac:dyDescent="0.15">
      <c r="B18" s="73" t="s">
        <v>52</v>
      </c>
      <c r="C18" s="66"/>
      <c r="D18" s="66"/>
      <c r="E18" s="66"/>
      <c r="F18" s="73" t="s">
        <v>53</v>
      </c>
      <c r="G18" s="66"/>
      <c r="H18" s="66"/>
      <c r="I18" s="66"/>
      <c r="T18">
        <v>16</v>
      </c>
      <c r="U18" t="str">
        <f>IFERROR(INDEX(ピッキング!$B$7:$B$66,MATCH($T18,ピッキング!$A$7:$A$66,0)),"")</f>
        <v>河野忠</v>
      </c>
      <c r="V18">
        <f>IFERROR(INDEX(ピッキング!$L$7:$L$66,MATCH($T18,ピッキング!$A$7:$A$66,0)),"")</f>
        <v>101.02482891621315</v>
      </c>
      <c r="W18" t="str">
        <f>IFERROR(INDEX(梱包!$B$7:$B$66,MATCH($T18,梱包!$A$7:$A$66,0)),"")</f>
        <v>澤田凌</v>
      </c>
      <c r="X18">
        <f>IFERROR(INDEX(梱包!$L$7:$L$66,MATCH($T18,梱包!$A$7:$A$66,0)),"")</f>
        <v>77.985418867763826</v>
      </c>
      <c r="Z18">
        <f>IF(OR(ピッキング!$E$22="",ピッキング!$C$22=""),"",ピッキング!$E$22/ピッキング!$C$22)</f>
        <v>0.43928571428571428</v>
      </c>
      <c r="AA18">
        <f>IF(ピッキング!$G$22="","",ピッキング!$G$22)</f>
        <v>118.28571428571429</v>
      </c>
      <c r="AB18">
        <f>IF(ピッキング!$P$22="","",ピッキング!$P$22)</f>
        <v>77.827500000000015</v>
      </c>
      <c r="AD18">
        <f t="shared" si="0"/>
        <v>1</v>
      </c>
      <c r="AE18">
        <f>IF(AD18=1,SUM($AD$3:AD18),"")</f>
        <v>16</v>
      </c>
      <c r="AF18">
        <f t="shared" si="1"/>
        <v>0.43928571428571428</v>
      </c>
      <c r="AG18">
        <f t="shared" si="2"/>
        <v>118.28571428571429</v>
      </c>
      <c r="AI18">
        <f t="shared" si="3"/>
        <v>1</v>
      </c>
      <c r="AJ18">
        <f>IF(AI18=1,SUM($AI$3:AI18),"")</f>
        <v>16</v>
      </c>
      <c r="AK18">
        <f t="shared" si="4"/>
        <v>0.43928571428571428</v>
      </c>
      <c r="AL18">
        <f t="shared" si="5"/>
        <v>77.827500000000015</v>
      </c>
      <c r="AN18">
        <f>IF(ピッキング!$C$22="","",ピッキング!$C$22+ROW()/100000)</f>
        <v>280.00018</v>
      </c>
    </row>
    <row r="19" spans="2:40" x14ac:dyDescent="0.15">
      <c r="T19">
        <v>17</v>
      </c>
      <c r="U19" t="str">
        <f>IFERROR(INDEX(ピッキング!$B$7:$B$66,MATCH($T19,ピッキング!$A$7:$A$66,0)),"")</f>
        <v>木村千鶴</v>
      </c>
      <c r="V19">
        <f>IFERROR(INDEX(ピッキング!$L$7:$L$66,MATCH($T19,ピッキング!$A$7:$A$66,0)),"")</f>
        <v>100.82289288993715</v>
      </c>
      <c r="W19" t="str">
        <f>IFERROR(INDEX(梱包!$B$7:$B$66,MATCH($T19,梱包!$A$7:$A$66,0)),"")</f>
        <v>木村千鶴</v>
      </c>
      <c r="X19">
        <f>IFERROR(INDEX(梱包!$L$7:$L$66,MATCH($T19,梱包!$A$7:$A$66,0)),"")</f>
        <v>74.605827454922348</v>
      </c>
      <c r="Z19">
        <f>IF(OR(ピッキング!$E$23="",ピッキング!$C$23=""),"",ピッキング!$E$23/ピッキング!$C$23)</f>
        <v>0.49059334298118668</v>
      </c>
      <c r="AA19">
        <f>IF(ピッキング!$G$23="","",ピッキング!$G$23)</f>
        <v>121.21562952243126</v>
      </c>
      <c r="AB19">
        <f>IF(ピッキング!$P$23="","",ピッキング!$P$23)</f>
        <v>76.031982633863961</v>
      </c>
      <c r="AD19">
        <f t="shared" si="0"/>
        <v>1</v>
      </c>
      <c r="AE19">
        <f>IF(AD19=1,SUM($AD$3:AD19),"")</f>
        <v>17</v>
      </c>
      <c r="AF19">
        <f t="shared" si="1"/>
        <v>0.49059334298118668</v>
      </c>
      <c r="AG19">
        <f t="shared" si="2"/>
        <v>121.21562952243126</v>
      </c>
      <c r="AI19">
        <f t="shared" si="3"/>
        <v>1</v>
      </c>
      <c r="AJ19">
        <f>IF(AI19=1,SUM($AI$3:AI19),"")</f>
        <v>17</v>
      </c>
      <c r="AK19">
        <f t="shared" si="4"/>
        <v>0.49059334298118668</v>
      </c>
      <c r="AL19">
        <f t="shared" si="5"/>
        <v>76.031982633863961</v>
      </c>
      <c r="AN19">
        <f>IF(ピッキング!$C$23="","",ピッキング!$C$23+ROW()/100000)</f>
        <v>691.00018999999998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奥野愛海</v>
      </c>
      <c r="V20">
        <f>IFERROR(INDEX(ピッキング!$L$7:$L$66,MATCH($T20,ピッキング!$A$7:$A$66,0)),"")</f>
        <v>99.87068040500408</v>
      </c>
      <c r="W20" t="str">
        <f>IFERROR(INDEX(梱包!$B$7:$B$66,MATCH($T20,梱包!$A$7:$A$66,0)),"")</f>
        <v>菊池敬</v>
      </c>
      <c r="X20">
        <f>IFERROR(INDEX(梱包!$L$7:$L$66,MATCH($T20,梱包!$A$7:$A$66,0)),"")</f>
        <v>69.459988943073199</v>
      </c>
      <c r="Z20">
        <f>IF(OR(ピッキング!$E$24="",ピッキング!$C$24=""),"",ピッキング!$E$24/ピッキング!$C$24)</f>
        <v>0.50240384615384615</v>
      </c>
      <c r="AA20">
        <f>IF(ピッキング!$G$24="","",ピッキング!$G$24)</f>
        <v>133.41346153846155</v>
      </c>
      <c r="AB20">
        <f>IF(ピッキング!$P$24="","",ピッキング!$P$24)</f>
        <v>87.142067307692315</v>
      </c>
      <c r="AD20">
        <f t="shared" si="0"/>
        <v>1</v>
      </c>
      <c r="AE20">
        <f>IF(AD20=1,SUM($AD$3:AD20),"")</f>
        <v>18</v>
      </c>
      <c r="AF20">
        <f t="shared" si="1"/>
        <v>0.50240384615384615</v>
      </c>
      <c r="AG20">
        <f t="shared" si="2"/>
        <v>133.41346153846155</v>
      </c>
      <c r="AI20">
        <f t="shared" si="3"/>
        <v>1</v>
      </c>
      <c r="AJ20">
        <f>IF(AI20=1,SUM($AI$3:AI20),"")</f>
        <v>18</v>
      </c>
      <c r="AK20">
        <f t="shared" si="4"/>
        <v>0.50240384615384615</v>
      </c>
      <c r="AL20">
        <f t="shared" si="5"/>
        <v>87.142067307692315</v>
      </c>
      <c r="AN20">
        <f>IF(ピッキング!$C$24="","",ピッキング!$C$24+ROW()/100000)</f>
        <v>416.00020000000001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鈴木香織</v>
      </c>
      <c r="V21">
        <f>IFERROR(INDEX(ピッキング!$L$7:$L$66,MATCH($T21,ピッキング!$A$7:$A$66,0)),"")</f>
        <v>99.417763038447092</v>
      </c>
      <c r="W21" t="str">
        <f>IFERROR(INDEX(梱包!$B$7:$B$66,MATCH($T21,梱包!$A$7:$A$66,0)),"")</f>
        <v>森田美加</v>
      </c>
      <c r="X21">
        <f>IFERROR(INDEX(梱包!$L$7:$L$66,MATCH($T21,梱包!$A$7:$A$66,0)),"")</f>
        <v>60.168471740699999</v>
      </c>
      <c r="Z21">
        <f>IF(OR(ピッキング!$E$25="",ピッキング!$C$25=""),"",ピッキング!$E$25/ピッキング!$C$25)</f>
        <v>0.55411255411255411</v>
      </c>
      <c r="AA21">
        <f>IF(ピッキング!$G$25="","",ピッキング!$G$25)</f>
        <v>131.16883116883116</v>
      </c>
      <c r="AB21">
        <f>IF(ピッキング!$P$25="","",ピッキング!$P$25)</f>
        <v>80.135064935064918</v>
      </c>
      <c r="AD21">
        <f t="shared" si="0"/>
        <v>1</v>
      </c>
      <c r="AE21">
        <f>IF(AD21=1,SUM($AD$3:AD21),"")</f>
        <v>19</v>
      </c>
      <c r="AF21">
        <f t="shared" si="1"/>
        <v>0.55411255411255411</v>
      </c>
      <c r="AG21">
        <f t="shared" si="2"/>
        <v>131.16883116883116</v>
      </c>
      <c r="AI21">
        <f t="shared" si="3"/>
        <v>1</v>
      </c>
      <c r="AJ21">
        <f>IF(AI21=1,SUM($AI$3:AI21),"")</f>
        <v>19</v>
      </c>
      <c r="AK21">
        <f t="shared" si="4"/>
        <v>0.55411255411255411</v>
      </c>
      <c r="AL21">
        <f t="shared" si="5"/>
        <v>80.135064935064918</v>
      </c>
      <c r="AN21">
        <f>IF(ピッキング!$C$25="","",ピッキング!$C$25+ROW()/100000)</f>
        <v>231.00021000000001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向井ひかり</v>
      </c>
      <c r="V22">
        <f>IFERROR(INDEX(ピッキング!$L$7:$L$66,MATCH($T22,ピッキング!$A$7:$A$66,0)),"")</f>
        <v>94.986665946425504</v>
      </c>
      <c r="W22" t="str">
        <f>IFERROR(INDEX(梱包!$B$7:$B$66,MATCH($T22,梱包!$A$7:$A$66,0)),"")</f>
        <v/>
      </c>
      <c r="X22" t="str">
        <f>IFERROR(INDEX(梱包!$L$7:$L$66,MATCH($T22,梱包!$A$7:$A$66,0)),"")</f>
        <v/>
      </c>
      <c r="Z22">
        <f>IF(OR(ピッキング!$E$26="",ピッキング!$C$26=""),"",ピッキング!$E$26/ピッキング!$C$26)</f>
        <v>0.44919168591224018</v>
      </c>
      <c r="AA22">
        <f>IF(ピッキング!$G$26="","",ピッキング!$G$26)</f>
        <v>129.9769053117783</v>
      </c>
      <c r="AB22">
        <f>IF(ピッキング!$P$26="","",ピッキング!$P$26)</f>
        <v>88.606351039260971</v>
      </c>
      <c r="AD22">
        <f t="shared" si="0"/>
        <v>1</v>
      </c>
      <c r="AE22">
        <f>IF(AD22=1,SUM($AD$3:AD22),"")</f>
        <v>20</v>
      </c>
      <c r="AF22">
        <f t="shared" si="1"/>
        <v>0.44919168591224018</v>
      </c>
      <c r="AG22">
        <f t="shared" si="2"/>
        <v>129.9769053117783</v>
      </c>
      <c r="AI22">
        <f t="shared" si="3"/>
        <v>1</v>
      </c>
      <c r="AJ22">
        <f>IF(AI22=1,SUM($AI$3:AI22),"")</f>
        <v>20</v>
      </c>
      <c r="AK22">
        <f t="shared" si="4"/>
        <v>0.44919168591224018</v>
      </c>
      <c r="AL22">
        <f t="shared" si="5"/>
        <v>88.606351039260971</v>
      </c>
      <c r="AN22">
        <f>IF(ピッキング!$C$26="","",ピッキング!$C$26+ROW()/100000)</f>
        <v>866.00022000000001</v>
      </c>
    </row>
    <row r="23" spans="2:40" x14ac:dyDescent="0.15">
      <c r="B23" s="11" t="s">
        <v>57</v>
      </c>
      <c r="C23" s="12">
        <f>散布図!$C$10</f>
        <v>0.43394684051448162</v>
      </c>
      <c r="D23" s="11" t="s">
        <v>58</v>
      </c>
      <c r="E23" s="13">
        <f>散布図!$C$14</f>
        <v>1.8675328813917116E-2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片岡達也</v>
      </c>
      <c r="V23">
        <f>IFERROR(INDEX(ピッキング!$L$7:$L$66,MATCH($T23,ピッキング!$A$7:$A$66,0)),"")</f>
        <v>93.854516940062098</v>
      </c>
      <c r="W23" t="str">
        <f>IFERROR(INDEX(梱包!$B$7:$B$66,MATCH($T23,梱包!$A$7:$A$66,0)),"")</f>
        <v/>
      </c>
      <c r="X23" t="str">
        <f>IFERROR(INDEX(梱包!$L$7:$L$66,MATCH($T23,梱包!$A$7:$A$66,0)),"")</f>
        <v/>
      </c>
      <c r="Z23">
        <f>IF(OR(ピッキング!$E$27="",ピッキング!$C$27=""),"",ピッキング!$E$27/ピッキング!$C$27)</f>
        <v>0.71212121212121215</v>
      </c>
      <c r="AA23">
        <f>IF(ピッキング!$G$27="","",ピッキング!$G$27)</f>
        <v>183.63636363636363</v>
      </c>
      <c r="AB23">
        <f>IF(ピッキング!$P$27="","",ピッキング!$P$27)</f>
        <v>118.05000000000001</v>
      </c>
      <c r="AD23">
        <f t="shared" si="0"/>
        <v>1</v>
      </c>
      <c r="AE23">
        <f>IF(AD23=1,SUM($AD$3:AD23),"")</f>
        <v>21</v>
      </c>
      <c r="AF23">
        <f t="shared" si="1"/>
        <v>0.71212121212121215</v>
      </c>
      <c r="AG23">
        <f t="shared" si="2"/>
        <v>183.63636363636363</v>
      </c>
      <c r="AI23">
        <f t="shared" si="3"/>
        <v>1</v>
      </c>
      <c r="AJ23">
        <f>IF(AI23=1,SUM($AI$3:AI23),"")</f>
        <v>21</v>
      </c>
      <c r="AK23">
        <f t="shared" si="4"/>
        <v>0.71212121212121215</v>
      </c>
      <c r="AL23">
        <f t="shared" si="5"/>
        <v>118.05000000000001</v>
      </c>
      <c r="AN23">
        <f>IF(ピッキング!$C$27="","",ピッキング!$C$27+ROW()/100000)</f>
        <v>66.000230000000002</v>
      </c>
    </row>
    <row r="24" spans="2:40" x14ac:dyDescent="0.15">
      <c r="T24">
        <v>22</v>
      </c>
      <c r="U24" t="str">
        <f>IFERROR(INDEX(ピッキング!$B$7:$B$66,MATCH($T24,ピッキング!$A$7:$A$66,0)),"")</f>
        <v>廣瀬こずえ</v>
      </c>
      <c r="V24">
        <f>IFERROR(INDEX(ピッキング!$L$7:$L$66,MATCH($T24,ピッキング!$A$7:$A$66,0)),"")</f>
        <v>93.74674542156832</v>
      </c>
      <c r="W24" t="str">
        <f>IFERROR(INDEX(梱包!$B$7:$B$66,MATCH($T24,梱包!$A$7:$A$66,0)),"")</f>
        <v/>
      </c>
      <c r="X24" t="str">
        <f>IFERROR(INDEX(梱包!$L$7:$L$66,MATCH($T24,梱包!$A$7:$A$66,0)),"")</f>
        <v/>
      </c>
      <c r="Z24">
        <f>IF(OR(ピッキング!$E$28="",ピッキング!$C$28=""),"",ピッキング!$E$28/ピッキング!$C$28)</f>
        <v>0.52863961813842486</v>
      </c>
      <c r="AA24">
        <f>IF(ピッキング!$G$28="","",ピッキング!$G$28)</f>
        <v>141.19331742243438</v>
      </c>
      <c r="AB24">
        <f>IF(ピッキング!$P$28="","",ピッキング!$P$28)</f>
        <v>92.505608591885462</v>
      </c>
      <c r="AD24">
        <f t="shared" si="0"/>
        <v>1</v>
      </c>
      <c r="AE24">
        <f>IF(AD24=1,SUM($AD$3:AD24),"")</f>
        <v>22</v>
      </c>
      <c r="AF24">
        <f t="shared" si="1"/>
        <v>0.52863961813842486</v>
      </c>
      <c r="AG24">
        <f t="shared" si="2"/>
        <v>141.19331742243438</v>
      </c>
      <c r="AI24">
        <f t="shared" si="3"/>
        <v>1</v>
      </c>
      <c r="AJ24">
        <f>IF(AI24=1,SUM($AI$3:AI24),"")</f>
        <v>22</v>
      </c>
      <c r="AK24">
        <f t="shared" si="4"/>
        <v>0.52863961813842486</v>
      </c>
      <c r="AL24">
        <f t="shared" si="5"/>
        <v>92.505608591885462</v>
      </c>
      <c r="AN24">
        <f>IF(ピッキング!$C$28="","",ピッキング!$C$28+ROW()/100000)</f>
        <v>838.00023999999996</v>
      </c>
    </row>
    <row r="25" spans="2:40" x14ac:dyDescent="0.15">
      <c r="T25">
        <v>23</v>
      </c>
      <c r="U25" t="str">
        <f>IFERROR(INDEX(ピッキング!$B$7:$B$66,MATCH($T25,ピッキング!$A$7:$A$66,0)),"")</f>
        <v>森本久美</v>
      </c>
      <c r="V25">
        <f>IFERROR(INDEX(ピッキング!$L$7:$L$66,MATCH($T25,ピッキング!$A$7:$A$66,0)),"")</f>
        <v>91.373442052986164</v>
      </c>
      <c r="W25" t="str">
        <f>IFERROR(INDEX(梱包!$B$7:$B$66,MATCH($T25,梱包!$A$7:$A$66,0)),"")</f>
        <v/>
      </c>
      <c r="X25" t="str">
        <f>IFERROR(INDEX(梱包!$L$7:$L$66,MATCH($T25,梱包!$A$7:$A$66,0)),"")</f>
        <v/>
      </c>
      <c r="Z25">
        <f>IF(OR(ピッキング!$E$29="",ピッキング!$C$29=""),"",ピッキング!$E$29/ピッキング!$C$29)</f>
        <v>0.31940298507462689</v>
      </c>
      <c r="AA25">
        <f>IF(ピッキング!$G$29="","",ピッキング!$G$29)</f>
        <v>128.23880597014926</v>
      </c>
      <c r="AB25">
        <f>IF(ピッキング!$P$29="","",ピッキング!$P$29)</f>
        <v>98.821791044776134</v>
      </c>
      <c r="AD25">
        <f t="shared" si="0"/>
        <v>1</v>
      </c>
      <c r="AE25">
        <f>IF(AD25=1,SUM($AD$3:AD25),"")</f>
        <v>23</v>
      </c>
      <c r="AF25">
        <f t="shared" si="1"/>
        <v>0.31940298507462689</v>
      </c>
      <c r="AG25">
        <f t="shared" si="2"/>
        <v>128.23880597014926</v>
      </c>
      <c r="AI25">
        <f t="shared" si="3"/>
        <v>1</v>
      </c>
      <c r="AJ25">
        <f>IF(AI25=1,SUM($AI$3:AI25),"")</f>
        <v>23</v>
      </c>
      <c r="AK25">
        <f t="shared" si="4"/>
        <v>0.31940298507462689</v>
      </c>
      <c r="AL25">
        <f t="shared" si="5"/>
        <v>98.821791044776134</v>
      </c>
      <c r="AN25">
        <f>IF(ピッキング!$C$29="","",ピッキング!$C$29+ROW()/100000)</f>
        <v>335.00024999999999</v>
      </c>
    </row>
    <row r="26" spans="2:40" x14ac:dyDescent="0.15">
      <c r="T26">
        <v>24</v>
      </c>
      <c r="U26" t="str">
        <f>IFERROR(INDEX(ピッキング!$B$7:$B$66,MATCH($T26,ピッキング!$A$7:$A$66,0)),"")</f>
        <v>菊池敬</v>
      </c>
      <c r="V26">
        <f>IFERROR(INDEX(ピッキング!$L$7:$L$66,MATCH($T26,ピッキング!$A$7:$A$66,0)),"")</f>
        <v>91.02607335819954</v>
      </c>
      <c r="W26" t="str">
        <f>IFERROR(INDEX(梱包!$B$7:$B$66,MATCH($T26,梱包!$A$7:$A$66,0)),"")</f>
        <v/>
      </c>
      <c r="X26" t="str">
        <f>IFERROR(INDEX(梱包!$L$7:$L$66,MATCH($T26,梱包!$A$7:$A$66,0)),"")</f>
        <v/>
      </c>
      <c r="Z26">
        <f>IF(OR(ピッキング!$E$30="",ピッキング!$C$30=""),"",ピッキング!$E$30/ピッキング!$C$30)</f>
        <v>0.43838862559241704</v>
      </c>
      <c r="AA26">
        <f>IF(ピッキング!$G$30="","",ピッキング!$G$30)</f>
        <v>135.07109004739337</v>
      </c>
      <c r="AB26">
        <f>IF(ピッキング!$P$30="","",ピッキング!$P$30)</f>
        <v>94.695497630331758</v>
      </c>
      <c r="AD26">
        <f t="shared" si="0"/>
        <v>1</v>
      </c>
      <c r="AE26">
        <f>IF(AD26=1,SUM($AD$3:AD26),"")</f>
        <v>24</v>
      </c>
      <c r="AF26">
        <f t="shared" si="1"/>
        <v>0.43838862559241704</v>
      </c>
      <c r="AG26">
        <f t="shared" si="2"/>
        <v>135.07109004739337</v>
      </c>
      <c r="AI26">
        <f t="shared" si="3"/>
        <v>1</v>
      </c>
      <c r="AJ26">
        <f>IF(AI26=1,SUM($AI$3:AI26),"")</f>
        <v>24</v>
      </c>
      <c r="AK26">
        <f t="shared" si="4"/>
        <v>0.43838862559241704</v>
      </c>
      <c r="AL26">
        <f t="shared" si="5"/>
        <v>94.695497630331758</v>
      </c>
      <c r="AN26">
        <f>IF(ピッキング!$C$30="","",ピッキング!$C$30+ROW()/100000)</f>
        <v>422.00026000000003</v>
      </c>
    </row>
    <row r="27" spans="2:40" x14ac:dyDescent="0.15">
      <c r="T27">
        <v>25</v>
      </c>
      <c r="U27" t="str">
        <f>IFERROR(INDEX(ピッキング!$B$7:$B$66,MATCH($T27,ピッキング!$A$7:$A$66,0)),"")</f>
        <v>高橋正美</v>
      </c>
      <c r="V27">
        <f>IFERROR(INDEX(ピッキング!$L$7:$L$66,MATCH($T27,ピッキング!$A$7:$A$66,0)),"")</f>
        <v>89.248471214873774</v>
      </c>
      <c r="W27" t="str">
        <f>IFERROR(INDEX(梱包!$B$7:$B$66,MATCH($T27,梱包!$A$7:$A$66,0)),"")</f>
        <v/>
      </c>
      <c r="X27" t="str">
        <f>IFERROR(INDEX(梱包!$L$7:$L$66,MATCH($T27,梱包!$A$7:$A$66,0)),"")</f>
        <v/>
      </c>
      <c r="Z27">
        <f>IF(OR(ピッキング!$E$31="",ピッキング!$C$31=""),"",ピッキング!$E$31/ピッキング!$C$31)</f>
        <v>0.39266055045871562</v>
      </c>
      <c r="AA27">
        <f>IF(ピッキング!$G$31="","",ピッキング!$G$31)</f>
        <v>138.16513761467891</v>
      </c>
      <c r="AB27">
        <f>IF(ピッキング!$P$31="","",ピッキング!$P$31)</f>
        <v>102.00110091743119</v>
      </c>
      <c r="AD27">
        <f t="shared" si="0"/>
        <v>1</v>
      </c>
      <c r="AE27">
        <f>IF(AD27=1,SUM($AD$3:AD27),"")</f>
        <v>25</v>
      </c>
      <c r="AF27">
        <f t="shared" si="1"/>
        <v>0.39266055045871562</v>
      </c>
      <c r="AG27">
        <f t="shared" si="2"/>
        <v>138.16513761467891</v>
      </c>
      <c r="AI27">
        <f t="shared" si="3"/>
        <v>1</v>
      </c>
      <c r="AJ27">
        <f>IF(AI27=1,SUM($AI$3:AI27),"")</f>
        <v>25</v>
      </c>
      <c r="AK27">
        <f t="shared" si="4"/>
        <v>0.39266055045871562</v>
      </c>
      <c r="AL27">
        <f t="shared" si="5"/>
        <v>102.00110091743119</v>
      </c>
      <c r="AN27">
        <f>IF(ピッキング!$C$31="","",ピッキング!$C$31+ROW()/100000)</f>
        <v>1090.00027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IFERROR(INDEX(ピッキング!$L$7:$L$66,MATCH($T28,ピッキング!$A$7:$A$66,0)),"")</f>
        <v>88.868940872437221</v>
      </c>
      <c r="W28" t="str">
        <f>IFERROR(INDEX(梱包!$B$7:$B$66,MATCH($T28,梱包!$A$7:$A$66,0)),"")</f>
        <v/>
      </c>
      <c r="X28" t="str">
        <f>IFERROR(INDEX(梱包!$L$7:$L$66,MATCH($T28,梱包!$A$7:$A$66,0)),"")</f>
        <v/>
      </c>
      <c r="Z28">
        <f>IF(OR(ピッキング!$E$32="",ピッキング!$C$32=""),"",ピッキング!$E$32/ピッキング!$C$32)</f>
        <v>0.45571095571095571</v>
      </c>
      <c r="AA28">
        <f>IF(ピッキング!$G$32="","",ピッキング!$G$32)</f>
        <v>146.43356643356643</v>
      </c>
      <c r="AB28">
        <f>IF(ピッキング!$P$32="","",ピッキング!$P$32)</f>
        <v>104.46258741258742</v>
      </c>
      <c r="AD28">
        <f t="shared" si="0"/>
        <v>1</v>
      </c>
      <c r="AE28">
        <f>IF(AD28=1,SUM($AD$3:AD28),"")</f>
        <v>26</v>
      </c>
      <c r="AF28">
        <f t="shared" si="1"/>
        <v>0.45571095571095571</v>
      </c>
      <c r="AG28">
        <f t="shared" si="2"/>
        <v>146.43356643356643</v>
      </c>
      <c r="AI28">
        <f t="shared" si="3"/>
        <v>1</v>
      </c>
      <c r="AJ28">
        <f>IF(AI28=1,SUM($AI$3:AI28),"")</f>
        <v>26</v>
      </c>
      <c r="AK28">
        <f t="shared" si="4"/>
        <v>0.45571095571095571</v>
      </c>
      <c r="AL28">
        <f t="shared" si="5"/>
        <v>104.46258741258742</v>
      </c>
      <c r="AN28">
        <f>IF(ピッキング!$C$32="","",ピッキング!$C$32+ROW()/100000)</f>
        <v>858.00027999999998</v>
      </c>
    </row>
    <row r="29" spans="2:40" x14ac:dyDescent="0.15">
      <c r="T29">
        <v>27</v>
      </c>
      <c r="U29" t="str">
        <f>IFERROR(INDEX(ピッキング!$B$7:$B$66,MATCH($T29,ピッキング!$A$7:$A$66,0)),"")</f>
        <v>上村和恵</v>
      </c>
      <c r="V29">
        <f>IFERROR(INDEX(ピッキング!$L$7:$L$66,MATCH($T29,ピッキング!$A$7:$A$66,0)),"")</f>
        <v>87.836268797835658</v>
      </c>
      <c r="W29" t="str">
        <f>IFERROR(INDEX(梱包!$B$7:$B$66,MATCH($T29,梱包!$A$7:$A$66,0)),"")</f>
        <v/>
      </c>
      <c r="X29" t="str">
        <f>IFERROR(INDEX(梱包!$L$7:$L$66,MATCH($T29,梱包!$A$7:$A$66,0)),"")</f>
        <v/>
      </c>
      <c r="Z29">
        <f>IF(OR(ピッキング!$E$33="",ピッキング!$C$33=""),"",ピッキング!$E$33/ピッキング!$C$33)</f>
        <v>0.41816546762589929</v>
      </c>
      <c r="AA29">
        <f>IF(ピッキング!$G$33="","",ピッキング!$G$33)</f>
        <v>143.79496402877697</v>
      </c>
      <c r="AB29">
        <f>IF(ピッキング!$P$33="","",ピッキング!$P$33)</f>
        <v>105.28192446043165</v>
      </c>
      <c r="AD29">
        <f t="shared" si="0"/>
        <v>1</v>
      </c>
      <c r="AE29">
        <f>IF(AD29=1,SUM($AD$3:AD29),"")</f>
        <v>27</v>
      </c>
      <c r="AF29">
        <f t="shared" si="1"/>
        <v>0.41816546762589929</v>
      </c>
      <c r="AG29">
        <f t="shared" si="2"/>
        <v>143.79496402877697</v>
      </c>
      <c r="AI29">
        <f t="shared" si="3"/>
        <v>1</v>
      </c>
      <c r="AJ29">
        <f>IF(AI29=1,SUM($AI$3:AI29),"")</f>
        <v>27</v>
      </c>
      <c r="AK29">
        <f t="shared" si="4"/>
        <v>0.41816546762589929</v>
      </c>
      <c r="AL29">
        <f t="shared" si="5"/>
        <v>105.28192446043165</v>
      </c>
      <c r="AN29">
        <f>IF(ピッキング!$C$33="","",ピッキング!$C$33+ROW()/100000)</f>
        <v>1112.0002899999999</v>
      </c>
    </row>
    <row r="30" spans="2:40" x14ac:dyDescent="0.15">
      <c r="T30">
        <v>28</v>
      </c>
      <c r="U30" t="str">
        <f>IFERROR(INDEX(ピッキング!$B$7:$B$66,MATCH($T30,ピッキング!$A$7:$A$66,0)),"")</f>
        <v>平田学</v>
      </c>
      <c r="V30">
        <f>IFERROR(INDEX(ピッキング!$L$7:$L$66,MATCH($T30,ピッキング!$A$7:$A$66,0)),"")</f>
        <v>86.502213553209813</v>
      </c>
      <c r="W30" t="str">
        <f>IFERROR(INDEX(梱包!$B$7:$B$66,MATCH($T30,梱包!$A$7:$A$66,0)),"")</f>
        <v/>
      </c>
      <c r="X30" t="str">
        <f>IFERROR(INDEX(梱包!$L$7:$L$66,MATCH($T30,梱包!$A$7:$A$66,0)),"")</f>
        <v/>
      </c>
      <c r="Z30">
        <f>IF(OR(ピッキング!$E$34="",ピッキング!$C$34=""),"",ピッキング!$E$34/ピッキング!$C$34)</f>
        <v>0.4</v>
      </c>
      <c r="AA30">
        <f>IF(ピッキング!$G$34="","",ピッキング!$G$34)</f>
        <v>198.64864864864865</v>
      </c>
      <c r="AB30">
        <f>IF(ピッキング!$P$34="","",ピッキング!$P$34)</f>
        <v>161.80864864864867</v>
      </c>
      <c r="AD30">
        <f t="shared" si="0"/>
        <v>1</v>
      </c>
      <c r="AE30">
        <f>IF(AD30=1,SUM($AD$3:AD30),"")</f>
        <v>28</v>
      </c>
      <c r="AF30">
        <f t="shared" si="1"/>
        <v>0.4</v>
      </c>
      <c r="AG30">
        <f t="shared" si="2"/>
        <v>198.64864864864865</v>
      </c>
      <c r="AI30">
        <f t="shared" si="3"/>
        <v>1</v>
      </c>
      <c r="AJ30">
        <f>IF(AI30=1,SUM($AI$3:AI30),"")</f>
        <v>28</v>
      </c>
      <c r="AK30">
        <f t="shared" si="4"/>
        <v>0.4</v>
      </c>
      <c r="AL30">
        <f t="shared" si="5"/>
        <v>161.80864864864867</v>
      </c>
      <c r="AN30">
        <f>IF(ピッキング!$C$34="","",ピッキング!$C$34+ROW()/100000)</f>
        <v>370.00029999999998</v>
      </c>
    </row>
    <row r="31" spans="2:40" x14ac:dyDescent="0.15">
      <c r="T31">
        <v>29</v>
      </c>
      <c r="U31" t="str">
        <f>IFERROR(INDEX(ピッキング!$B$7:$B$66,MATCH($T31,ピッキング!$A$7:$A$66,0)),"")</f>
        <v>飯田由加里</v>
      </c>
      <c r="V31">
        <f>IFERROR(INDEX(ピッキング!$L$7:$L$66,MATCH($T31,ピッキング!$A$7:$A$66,0)),"")</f>
        <v>85.892657318260035</v>
      </c>
      <c r="W31" t="str">
        <f>IFERROR(INDEX(梱包!$B$7:$B$66,MATCH($T31,梱包!$A$7:$A$66,0)),"")</f>
        <v/>
      </c>
      <c r="X31" t="str">
        <f>IFERROR(INDEX(梱包!$L$7:$L$66,MATCH($T31,梱包!$A$7:$A$66,0)),"")</f>
        <v/>
      </c>
      <c r="Z31">
        <f>IF(OR(ピッキング!$E$35="",ピッキング!$C$35=""),"",ピッキング!$E$35/ピッキング!$C$35)</f>
        <v>0.54981549815498154</v>
      </c>
      <c r="AA31">
        <f>IF(ピッキング!$G$35="","",ピッキング!$G$35)</f>
        <v>169.15129151291512</v>
      </c>
      <c r="AB31">
        <f>IF(ピッキング!$P$35="","",ピッキング!$P$35)</f>
        <v>118.51328413284132</v>
      </c>
      <c r="AD31">
        <f t="shared" si="0"/>
        <v>1</v>
      </c>
      <c r="AE31">
        <f>IF(AD31=1,SUM($AD$3:AD31),"")</f>
        <v>29</v>
      </c>
      <c r="AF31">
        <f t="shared" si="1"/>
        <v>0.54981549815498154</v>
      </c>
      <c r="AG31">
        <f t="shared" si="2"/>
        <v>169.15129151291512</v>
      </c>
      <c r="AI31">
        <f t="shared" si="3"/>
        <v>1</v>
      </c>
      <c r="AJ31">
        <f>IF(AI31=1,SUM($AI$3:AI31),"")</f>
        <v>29</v>
      </c>
      <c r="AK31">
        <f t="shared" si="4"/>
        <v>0.54981549815498154</v>
      </c>
      <c r="AL31">
        <f t="shared" si="5"/>
        <v>118.51328413284132</v>
      </c>
      <c r="AN31">
        <f>IF(ピッキング!$C$35="","",ピッキング!$C$35+ROW()/100000)</f>
        <v>271.00031000000001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IFERROR(INDEX(ピッキング!$L$7:$L$66,MATCH($T32,ピッキング!$A$7:$A$66,0)),"")</f>
        <v/>
      </c>
      <c r="W32" t="str">
        <f>IFERROR(INDEX(梱包!$B$7:$B$66,MATCH($T32,梱包!$A$7:$A$66,0)),"")</f>
        <v/>
      </c>
      <c r="X32" t="str">
        <f>IFERROR(INDEX(梱包!$L$7:$L$66,MATCH($T32,梱包!$A$7:$A$66,0)),"")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str">
        <f t="shared" si="1"/>
        <v/>
      </c>
      <c r="AG32" t="str">
        <f t="shared" si="2"/>
        <v/>
      </c>
      <c r="AI32">
        <f t="shared" si="3"/>
        <v>0</v>
      </c>
      <c r="AJ32" t="str">
        <f>IF(AI32=1,SUM($AI$3:AI32),"")</f>
        <v/>
      </c>
      <c r="AK32" t="str">
        <f t="shared" si="4"/>
        <v/>
      </c>
      <c r="AL32" t="str">
        <f t="shared" si="5"/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IFERROR(INDEX(ピッキング!$L$7:$L$66,MATCH($T33,ピッキング!$A$7:$A$66,0)),"")</f>
        <v/>
      </c>
      <c r="W33" t="str">
        <f>IFERROR(INDEX(梱包!$B$7:$B$66,MATCH($T33,梱包!$A$7:$A$66,0)),"")</f>
        <v/>
      </c>
      <c r="X33" t="str">
        <f>IFERROR(INDEX(梱包!$L$7:$L$66,MATCH($T33,梱包!$A$7:$A$66,0)),"")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str">
        <f t="shared" si="1"/>
        <v/>
      </c>
      <c r="AG33" t="str">
        <f t="shared" si="2"/>
        <v/>
      </c>
      <c r="AI33">
        <f t="shared" si="3"/>
        <v>0</v>
      </c>
      <c r="AJ33" t="str">
        <f>IF(AI33=1,SUM($AI$3:AI33),"")</f>
        <v/>
      </c>
      <c r="AK33" t="str">
        <f t="shared" si="4"/>
        <v/>
      </c>
      <c r="AL33" t="str">
        <f t="shared" si="5"/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IFERROR(INDEX(ピッキング!$L$7:$L$66,MATCH($T34,ピッキング!$A$7:$A$66,0)),"")</f>
        <v/>
      </c>
      <c r="W34" t="str">
        <f>IFERROR(INDEX(梱包!$B$7:$B$66,MATCH($T34,梱包!$A$7:$A$66,0)),"")</f>
        <v/>
      </c>
      <c r="X34" t="str">
        <f>IFERROR(INDEX(梱包!$L$7:$L$66,MATCH($T34,梱包!$A$7:$A$66,0)),"")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str">
        <f t="shared" si="1"/>
        <v/>
      </c>
      <c r="AG34" t="str">
        <f t="shared" si="2"/>
        <v/>
      </c>
      <c r="AI34">
        <f t="shared" si="3"/>
        <v>0</v>
      </c>
      <c r="AJ34" t="str">
        <f>IF(AI34=1,SUM($AI$3:AI34),"")</f>
        <v/>
      </c>
      <c r="AK34" t="str">
        <f t="shared" si="4"/>
        <v/>
      </c>
      <c r="AL34" t="str">
        <f t="shared" si="5"/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IFERROR(INDEX(ピッキング!$L$7:$L$66,MATCH($T35,ピッキング!$A$7:$A$66,0)),"")</f>
        <v/>
      </c>
      <c r="W35" t="str">
        <f>IFERROR(INDEX(梱包!$B$7:$B$66,MATCH($T35,梱包!$A$7:$A$66,0)),"")</f>
        <v/>
      </c>
      <c r="X35" t="str">
        <f>IFERROR(INDEX(梱包!$L$7:$L$66,MATCH($T35,梱包!$A$7:$A$66,0)),"")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str">
        <f t="shared" ref="AF35:AF62" si="11">IFERROR(INDEX($Z$3:$Z$62,MATCH(T35,$AE$3:$AE$62,0)),"")</f>
        <v/>
      </c>
      <c r="AG35" t="str">
        <f t="shared" ref="AG35:AG62" si="12">IFERROR(INDEX($AA$3:$AA$62,MATCH(T35,$AE$3:$AE$62,0)),"")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str">
        <f t="shared" ref="AK35:AK62" si="14">IFERROR(INDEX($Z$3:$Z$62,MATCH(T35,$AJ$3:$AJ$62,0)),"")</f>
        <v/>
      </c>
      <c r="AL35" t="str">
        <f t="shared" ref="AL35:AL62" si="15">IFERROR(INDEX($AB$3:$AB$62,MATCH(T35,$AJ$3:$AJ$62,0)),"")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IFERROR(INDEX(ピッキング!$L$7:$L$66,MATCH($T36,ピッキング!$A$7:$A$66,0)),"")</f>
        <v/>
      </c>
      <c r="W36" t="str">
        <f>IFERROR(INDEX(梱包!$B$7:$B$66,MATCH($T36,梱包!$A$7:$A$66,0)),"")</f>
        <v/>
      </c>
      <c r="X36" t="str">
        <f>IFERROR(INDEX(梱包!$L$7:$L$66,MATCH($T36,梱包!$A$7:$A$66,0)),"")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str">
        <f t="shared" si="11"/>
        <v/>
      </c>
      <c r="AG36" t="str">
        <f t="shared" si="12"/>
        <v/>
      </c>
      <c r="AI36">
        <f t="shared" si="13"/>
        <v>0</v>
      </c>
      <c r="AJ36" t="str">
        <f>IF(AI36=1,SUM($AI$3:AI36),"")</f>
        <v/>
      </c>
      <c r="AK36" t="str">
        <f t="shared" si="14"/>
        <v/>
      </c>
      <c r="AL36" t="str">
        <f t="shared" si="15"/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IFERROR(INDEX(ピッキング!$L$7:$L$66,MATCH($T37,ピッキング!$A$7:$A$66,0)),"")</f>
        <v/>
      </c>
      <c r="W37" t="str">
        <f>IFERROR(INDEX(梱包!$B$7:$B$66,MATCH($T37,梱包!$A$7:$A$66,0)),"")</f>
        <v/>
      </c>
      <c r="X37" t="str">
        <f>IFERROR(INDEX(梱包!$L$7:$L$66,MATCH($T37,梱包!$A$7:$A$66,0)),"")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str">
        <f t="shared" si="11"/>
        <v/>
      </c>
      <c r="AG37" t="str">
        <f t="shared" si="12"/>
        <v/>
      </c>
      <c r="AI37">
        <f t="shared" si="13"/>
        <v>0</v>
      </c>
      <c r="AJ37" t="str">
        <f>IF(AI37=1,SUM($AI$3:AI37),"")</f>
        <v/>
      </c>
      <c r="AK37" t="str">
        <f t="shared" si="14"/>
        <v/>
      </c>
      <c r="AL37" t="str">
        <f t="shared" si="15"/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IFERROR(INDEX(ピッキング!$L$7:$L$66,MATCH($T38,ピッキング!$A$7:$A$66,0)),"")</f>
        <v/>
      </c>
      <c r="W38" t="str">
        <f>IFERROR(INDEX(梱包!$B$7:$B$66,MATCH($T38,梱包!$A$7:$A$66,0)),"")</f>
        <v/>
      </c>
      <c r="X38" t="str">
        <f>IFERROR(INDEX(梱包!$L$7:$L$66,MATCH($T38,梱包!$A$7:$A$66,0)),"")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str">
        <f t="shared" si="11"/>
        <v/>
      </c>
      <c r="AG38" t="str">
        <f t="shared" si="12"/>
        <v/>
      </c>
      <c r="AI38">
        <f t="shared" si="13"/>
        <v>0</v>
      </c>
      <c r="AJ38" t="str">
        <f>IF(AI38=1,SUM($AI$3:AI38),"")</f>
        <v/>
      </c>
      <c r="AK38" t="str">
        <f t="shared" si="14"/>
        <v/>
      </c>
      <c r="AL38" t="str">
        <f t="shared" si="15"/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IFERROR(INDEX(ピッキング!$L$7:$L$66,MATCH($T39,ピッキング!$A$7:$A$66,0)),"")</f>
        <v/>
      </c>
      <c r="W39" t="str">
        <f>IFERROR(INDEX(梱包!$B$7:$B$66,MATCH($T39,梱包!$A$7:$A$66,0)),"")</f>
        <v/>
      </c>
      <c r="X39" t="str">
        <f>IFERROR(INDEX(梱包!$L$7:$L$66,MATCH($T39,梱包!$A$7:$A$66,0)),"")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str">
        <f t="shared" si="11"/>
        <v/>
      </c>
      <c r="AG39" t="str">
        <f t="shared" si="12"/>
        <v/>
      </c>
      <c r="AI39">
        <f t="shared" si="13"/>
        <v>0</v>
      </c>
      <c r="AJ39" t="str">
        <f>IF(AI39=1,SUM($AI$3:AI39),"")</f>
        <v/>
      </c>
      <c r="AK39" t="str">
        <f t="shared" si="14"/>
        <v/>
      </c>
      <c r="AL39" t="str">
        <f t="shared" si="15"/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IFERROR(INDEX(ピッキング!$L$7:$L$66,MATCH($T40,ピッキング!$A$7:$A$66,0)),"")</f>
        <v/>
      </c>
      <c r="W40" t="str">
        <f>IFERROR(INDEX(梱包!$B$7:$B$66,MATCH($T40,梱包!$A$7:$A$66,0)),"")</f>
        <v/>
      </c>
      <c r="X40" t="str">
        <f>IFERROR(INDEX(梱包!$L$7:$L$66,MATCH($T40,梱包!$A$7:$A$66,0)),"")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str">
        <f t="shared" si="11"/>
        <v/>
      </c>
      <c r="AG40" t="str">
        <f t="shared" si="12"/>
        <v/>
      </c>
      <c r="AI40">
        <f t="shared" si="13"/>
        <v>0</v>
      </c>
      <c r="AJ40" t="str">
        <f>IF(AI40=1,SUM($AI$3:AI40),"")</f>
        <v/>
      </c>
      <c r="AK40" t="str">
        <f t="shared" si="14"/>
        <v/>
      </c>
      <c r="AL40" t="str">
        <f t="shared" si="15"/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IFERROR(INDEX(ピッキング!$L$7:$L$66,MATCH($T41,ピッキング!$A$7:$A$66,0)),"")</f>
        <v/>
      </c>
      <c r="W41" t="str">
        <f>IFERROR(INDEX(梱包!$B$7:$B$66,MATCH($T41,梱包!$A$7:$A$66,0)),"")</f>
        <v/>
      </c>
      <c r="X41" t="str">
        <f>IFERROR(INDEX(梱包!$L$7:$L$66,MATCH($T41,梱包!$A$7:$A$66,0)),"")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str">
        <f t="shared" si="11"/>
        <v/>
      </c>
      <c r="AG41" t="str">
        <f t="shared" si="12"/>
        <v/>
      </c>
      <c r="AI41">
        <f t="shared" si="13"/>
        <v>0</v>
      </c>
      <c r="AJ41" t="str">
        <f>IF(AI41=1,SUM($AI$3:AI41),"")</f>
        <v/>
      </c>
      <c r="AK41" t="str">
        <f t="shared" si="14"/>
        <v/>
      </c>
      <c r="AL41" t="str">
        <f t="shared" si="15"/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IFERROR(INDEX(ピッキング!$L$7:$L$66,MATCH($T42,ピッキング!$A$7:$A$66,0)),"")</f>
        <v/>
      </c>
      <c r="W42" t="str">
        <f>IFERROR(INDEX(梱包!$B$7:$B$66,MATCH($T42,梱包!$A$7:$A$66,0)),"")</f>
        <v/>
      </c>
      <c r="X42" t="str">
        <f>IFERROR(INDEX(梱包!$L$7:$L$66,MATCH($T42,梱包!$A$7:$A$66,0)),"")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str">
        <f t="shared" si="11"/>
        <v/>
      </c>
      <c r="AG42" t="str">
        <f t="shared" si="12"/>
        <v/>
      </c>
      <c r="AI42">
        <f t="shared" si="13"/>
        <v>0</v>
      </c>
      <c r="AJ42" t="str">
        <f>IF(AI42=1,SUM($AI$3:AI42),"")</f>
        <v/>
      </c>
      <c r="AK42" t="str">
        <f t="shared" si="14"/>
        <v/>
      </c>
      <c r="AL42" t="str">
        <f t="shared" si="15"/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IFERROR(INDEX(ピッキング!$L$7:$L$66,MATCH($T43,ピッキング!$A$7:$A$66,0)),"")</f>
        <v/>
      </c>
      <c r="W43" t="str">
        <f>IFERROR(INDEX(梱包!$B$7:$B$66,MATCH($T43,梱包!$A$7:$A$66,0)),"")</f>
        <v/>
      </c>
      <c r="X43" t="str">
        <f>IFERROR(INDEX(梱包!$L$7:$L$66,MATCH($T43,梱包!$A$7:$A$66,0)),"")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str">
        <f t="shared" si="11"/>
        <v/>
      </c>
      <c r="AG43" t="str">
        <f t="shared" si="12"/>
        <v/>
      </c>
      <c r="AI43">
        <f t="shared" si="13"/>
        <v>0</v>
      </c>
      <c r="AJ43" t="str">
        <f>IF(AI43=1,SUM($AI$3:AI43),"")</f>
        <v/>
      </c>
      <c r="AK43" t="str">
        <f t="shared" si="14"/>
        <v/>
      </c>
      <c r="AL43" t="str">
        <f t="shared" si="15"/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IFERROR(INDEX(ピッキング!$L$7:$L$66,MATCH($T44,ピッキング!$A$7:$A$66,0)),"")</f>
        <v/>
      </c>
      <c r="W44" t="str">
        <f>IFERROR(INDEX(梱包!$B$7:$B$66,MATCH($T44,梱包!$A$7:$A$66,0)),"")</f>
        <v/>
      </c>
      <c r="X44" t="str">
        <f>IFERROR(INDEX(梱包!$L$7:$L$66,MATCH($T44,梱包!$A$7:$A$66,0)),"")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str">
        <f t="shared" si="11"/>
        <v/>
      </c>
      <c r="AG44" t="str">
        <f t="shared" si="12"/>
        <v/>
      </c>
      <c r="AI44">
        <f t="shared" si="13"/>
        <v>0</v>
      </c>
      <c r="AJ44" t="str">
        <f>IF(AI44=1,SUM($AI$3:AI44),"")</f>
        <v/>
      </c>
      <c r="AK44" t="str">
        <f t="shared" si="14"/>
        <v/>
      </c>
      <c r="AL44" t="str">
        <f t="shared" si="15"/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IFERROR(INDEX(ピッキング!$L$7:$L$66,MATCH($T45,ピッキング!$A$7:$A$66,0)),"")</f>
        <v/>
      </c>
      <c r="W45" t="str">
        <f>IFERROR(INDEX(梱包!$B$7:$B$66,MATCH($T45,梱包!$A$7:$A$66,0)),"")</f>
        <v/>
      </c>
      <c r="X45" t="str">
        <f>IFERROR(INDEX(梱包!$L$7:$L$66,MATCH($T45,梱包!$A$7:$A$66,0)),"")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str">
        <f t="shared" si="11"/>
        <v/>
      </c>
      <c r="AG45" t="str">
        <f t="shared" si="12"/>
        <v/>
      </c>
      <c r="AI45">
        <f t="shared" si="13"/>
        <v>0</v>
      </c>
      <c r="AJ45" t="str">
        <f>IF(AI45=1,SUM($AI$3:AI45),"")</f>
        <v/>
      </c>
      <c r="AK45" t="str">
        <f t="shared" si="14"/>
        <v/>
      </c>
      <c r="AL45" t="str">
        <f t="shared" si="15"/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IFERROR(INDEX(ピッキング!$L$7:$L$66,MATCH($T46,ピッキング!$A$7:$A$66,0)),"")</f>
        <v/>
      </c>
      <c r="W46" t="str">
        <f>IFERROR(INDEX(梱包!$B$7:$B$66,MATCH($T46,梱包!$A$7:$A$66,0)),"")</f>
        <v/>
      </c>
      <c r="X46" t="str">
        <f>IFERROR(INDEX(梱包!$L$7:$L$66,MATCH($T46,梱包!$A$7:$A$66,0)),"")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str">
        <f t="shared" si="11"/>
        <v/>
      </c>
      <c r="AG46" t="str">
        <f t="shared" si="12"/>
        <v/>
      </c>
      <c r="AI46">
        <f t="shared" si="13"/>
        <v>0</v>
      </c>
      <c r="AJ46" t="str">
        <f>IF(AI46=1,SUM($AI$3:AI46),"")</f>
        <v/>
      </c>
      <c r="AK46" t="str">
        <f t="shared" si="14"/>
        <v/>
      </c>
      <c r="AL46" t="str">
        <f t="shared" si="15"/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IFERROR(INDEX(ピッキング!$L$7:$L$66,MATCH($T47,ピッキング!$A$7:$A$66,0)),"")</f>
        <v/>
      </c>
      <c r="W47" t="str">
        <f>IFERROR(INDEX(梱包!$B$7:$B$66,MATCH($T47,梱包!$A$7:$A$66,0)),"")</f>
        <v/>
      </c>
      <c r="X47" t="str">
        <f>IFERROR(INDEX(梱包!$L$7:$L$66,MATCH($T47,梱包!$A$7:$A$66,0)),"")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str">
        <f t="shared" si="11"/>
        <v/>
      </c>
      <c r="AG47" t="str">
        <f t="shared" si="12"/>
        <v/>
      </c>
      <c r="AI47">
        <f t="shared" si="13"/>
        <v>0</v>
      </c>
      <c r="AJ47" t="str">
        <f>IF(AI47=1,SUM($AI$3:AI47),"")</f>
        <v/>
      </c>
      <c r="AK47" t="str">
        <f t="shared" si="14"/>
        <v/>
      </c>
      <c r="AL47" t="str">
        <f t="shared" si="15"/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IFERROR(INDEX(ピッキング!$L$7:$L$66,MATCH($T48,ピッキング!$A$7:$A$66,0)),"")</f>
        <v/>
      </c>
      <c r="W48" t="str">
        <f>IFERROR(INDEX(梱包!$B$7:$B$66,MATCH($T48,梱包!$A$7:$A$66,0)),"")</f>
        <v/>
      </c>
      <c r="X48" t="str">
        <f>IFERROR(INDEX(梱包!$L$7:$L$66,MATCH($T48,梱包!$A$7:$A$66,0)),"")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str">
        <f t="shared" si="11"/>
        <v/>
      </c>
      <c r="AG48" t="str">
        <f t="shared" si="12"/>
        <v/>
      </c>
      <c r="AI48">
        <f t="shared" si="13"/>
        <v>0</v>
      </c>
      <c r="AJ48" t="str">
        <f>IF(AI48=1,SUM($AI$3:AI48),"")</f>
        <v/>
      </c>
      <c r="AK48" t="str">
        <f t="shared" si="14"/>
        <v/>
      </c>
      <c r="AL48" t="str">
        <f t="shared" si="15"/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9.0933680502395461E-2</v>
      </c>
      <c r="D49" s="11" t="s">
        <v>58</v>
      </c>
      <c r="E49" s="16">
        <f>散布図!$C$23</f>
        <v>0.63897915074996003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IFERROR(INDEX(ピッキング!$L$7:$L$66,MATCH($T49,ピッキング!$A$7:$A$66,0)),"")</f>
        <v/>
      </c>
      <c r="W49" t="str">
        <f>IFERROR(INDEX(梱包!$B$7:$B$66,MATCH($T49,梱包!$A$7:$A$66,0)),"")</f>
        <v/>
      </c>
      <c r="X49" t="str">
        <f>IFERROR(INDEX(梱包!$L$7:$L$66,MATCH($T49,梱包!$A$7:$A$66,0)),"")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str">
        <f t="shared" si="11"/>
        <v/>
      </c>
      <c r="AG49" t="str">
        <f t="shared" si="12"/>
        <v/>
      </c>
      <c r="AI49">
        <f t="shared" si="13"/>
        <v>0</v>
      </c>
      <c r="AJ49" t="str">
        <f>IF(AI49=1,SUM($AI$3:AI49),"")</f>
        <v/>
      </c>
      <c r="AK49" t="str">
        <f t="shared" si="14"/>
        <v/>
      </c>
      <c r="AL49" t="str">
        <f t="shared" si="15"/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IFERROR(INDEX(ピッキング!$L$7:$L$66,MATCH($T50,ピッキング!$A$7:$A$66,0)),"")</f>
        <v/>
      </c>
      <c r="W50" t="str">
        <f>IFERROR(INDEX(梱包!$B$7:$B$66,MATCH($T50,梱包!$A$7:$A$66,0)),"")</f>
        <v/>
      </c>
      <c r="X50" t="str">
        <f>IFERROR(INDEX(梱包!$L$7:$L$66,MATCH($T50,梱包!$A$7:$A$66,0)),"")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str">
        <f t="shared" si="11"/>
        <v/>
      </c>
      <c r="AG50" t="str">
        <f t="shared" si="12"/>
        <v/>
      </c>
      <c r="AI50">
        <f t="shared" si="13"/>
        <v>0</v>
      </c>
      <c r="AJ50" t="str">
        <f>IF(AI50=1,SUM($AI$3:AI50),"")</f>
        <v/>
      </c>
      <c r="AK50" t="str">
        <f t="shared" si="14"/>
        <v/>
      </c>
      <c r="AL50" t="str">
        <f t="shared" si="15"/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IFERROR(INDEX(ピッキング!$L$7:$L$66,MATCH($T51,ピッキング!$A$7:$A$66,0)),"")</f>
        <v/>
      </c>
      <c r="W51" t="str">
        <f>IFERROR(INDEX(梱包!$B$7:$B$66,MATCH($T51,梱包!$A$7:$A$66,0)),"")</f>
        <v/>
      </c>
      <c r="X51" t="str">
        <f>IFERROR(INDEX(梱包!$L$7:$L$66,MATCH($T51,梱包!$A$7:$A$66,0)),"")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str">
        <f t="shared" si="11"/>
        <v/>
      </c>
      <c r="AG51" t="str">
        <f t="shared" si="12"/>
        <v/>
      </c>
      <c r="AI51">
        <f t="shared" si="13"/>
        <v>0</v>
      </c>
      <c r="AJ51" t="str">
        <f>IF(AI51=1,SUM($AI$3:AI51),"")</f>
        <v/>
      </c>
      <c r="AK51" t="str">
        <f t="shared" si="14"/>
        <v/>
      </c>
      <c r="AL51" t="str">
        <f t="shared" si="15"/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IFERROR(INDEX(ピッキング!$L$7:$L$66,MATCH($T52,ピッキング!$A$7:$A$66,0)),"")</f>
        <v/>
      </c>
      <c r="W52" t="str">
        <f>IFERROR(INDEX(梱包!$B$7:$B$66,MATCH($T52,梱包!$A$7:$A$66,0)),"")</f>
        <v/>
      </c>
      <c r="X52" t="str">
        <f>IFERROR(INDEX(梱包!$L$7:$L$66,MATCH($T52,梱包!$A$7:$A$66,0)),"")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str">
        <f t="shared" si="11"/>
        <v/>
      </c>
      <c r="AG52" t="str">
        <f t="shared" si="12"/>
        <v/>
      </c>
      <c r="AI52">
        <f t="shared" si="13"/>
        <v>0</v>
      </c>
      <c r="AJ52" t="str">
        <f>IF(AI52=1,SUM($AI$3:AI52),"")</f>
        <v/>
      </c>
      <c r="AK52" t="str">
        <f t="shared" si="14"/>
        <v/>
      </c>
      <c r="AL52" t="str">
        <f t="shared" si="15"/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IFERROR(INDEX(ピッキング!$L$7:$L$66,MATCH($T53,ピッキング!$A$7:$A$66,0)),"")</f>
        <v/>
      </c>
      <c r="W53" t="str">
        <f>IFERROR(INDEX(梱包!$B$7:$B$66,MATCH($T53,梱包!$A$7:$A$66,0)),"")</f>
        <v/>
      </c>
      <c r="X53" t="str">
        <f>IFERROR(INDEX(梱包!$L$7:$L$66,MATCH($T53,梱包!$A$7:$A$66,0)),"")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str">
        <f t="shared" si="11"/>
        <v/>
      </c>
      <c r="AG53" t="str">
        <f t="shared" si="12"/>
        <v/>
      </c>
      <c r="AI53">
        <f t="shared" si="13"/>
        <v>0</v>
      </c>
      <c r="AJ53" t="str">
        <f>IF(AI53=1,SUM($AI$3:AI53),"")</f>
        <v/>
      </c>
      <c r="AK53" t="str">
        <f t="shared" si="14"/>
        <v/>
      </c>
      <c r="AL53" t="str">
        <f t="shared" si="15"/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IFERROR(INDEX(ピッキング!$L$7:$L$66,MATCH($T54,ピッキング!$A$7:$A$66,0)),"")</f>
        <v/>
      </c>
      <c r="W54" t="str">
        <f>IFERROR(INDEX(梱包!$B$7:$B$66,MATCH($T54,梱包!$A$7:$A$66,0)),"")</f>
        <v/>
      </c>
      <c r="X54" t="str">
        <f>IFERROR(INDEX(梱包!$L$7:$L$66,MATCH($T54,梱包!$A$7:$A$66,0)),"")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str">
        <f t="shared" si="11"/>
        <v/>
      </c>
      <c r="AG54" t="str">
        <f t="shared" si="12"/>
        <v/>
      </c>
      <c r="AI54">
        <f t="shared" si="13"/>
        <v>0</v>
      </c>
      <c r="AJ54" t="str">
        <f>IF(AI54=1,SUM($AI$3:AI54),"")</f>
        <v/>
      </c>
      <c r="AK54" t="str">
        <f t="shared" si="14"/>
        <v/>
      </c>
      <c r="AL54" t="str">
        <f t="shared" si="15"/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IFERROR(INDEX(ピッキング!$L$7:$L$66,MATCH($T55,ピッキング!$A$7:$A$66,0)),"")</f>
        <v/>
      </c>
      <c r="W55" t="str">
        <f>IFERROR(INDEX(梱包!$B$7:$B$66,MATCH($T55,梱包!$A$7:$A$66,0)),"")</f>
        <v/>
      </c>
      <c r="X55" t="str">
        <f>IFERROR(INDEX(梱包!$L$7:$L$66,MATCH($T55,梱包!$A$7:$A$66,0)),"")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str">
        <f t="shared" si="11"/>
        <v/>
      </c>
      <c r="AG55" t="str">
        <f t="shared" si="12"/>
        <v/>
      </c>
      <c r="AI55">
        <f t="shared" si="13"/>
        <v>0</v>
      </c>
      <c r="AJ55" t="str">
        <f>IF(AI55=1,SUM($AI$3:AI55),"")</f>
        <v/>
      </c>
      <c r="AK55" t="str">
        <f t="shared" si="14"/>
        <v/>
      </c>
      <c r="AL55" t="str">
        <f t="shared" si="15"/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IFERROR(INDEX(ピッキング!$L$7:$L$66,MATCH($T56,ピッキング!$A$7:$A$66,0)),"")</f>
        <v/>
      </c>
      <c r="W56" t="str">
        <f>IFERROR(INDEX(梱包!$B$7:$B$66,MATCH($T56,梱包!$A$7:$A$66,0)),"")</f>
        <v/>
      </c>
      <c r="X56" t="str">
        <f>IFERROR(INDEX(梱包!$L$7:$L$66,MATCH($T56,梱包!$A$7:$A$66,0)),"")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str">
        <f t="shared" si="11"/>
        <v/>
      </c>
      <c r="AG56" t="str">
        <f t="shared" si="12"/>
        <v/>
      </c>
      <c r="AI56">
        <f t="shared" si="13"/>
        <v>0</v>
      </c>
      <c r="AJ56" t="str">
        <f>IF(AI56=1,SUM($AI$3:AI56),"")</f>
        <v/>
      </c>
      <c r="AK56" t="str">
        <f t="shared" si="14"/>
        <v/>
      </c>
      <c r="AL56" t="str">
        <f t="shared" si="15"/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IFERROR(INDEX(ピッキング!$L$7:$L$66,MATCH($T57,ピッキング!$A$7:$A$66,0)),"")</f>
        <v/>
      </c>
      <c r="W57" t="str">
        <f>IFERROR(INDEX(梱包!$B$7:$B$66,MATCH($T57,梱包!$A$7:$A$66,0)),"")</f>
        <v/>
      </c>
      <c r="X57" t="str">
        <f>IFERROR(INDEX(梱包!$L$7:$L$66,MATCH($T57,梱包!$A$7:$A$66,0)),"")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str">
        <f t="shared" si="11"/>
        <v/>
      </c>
      <c r="AG57" t="str">
        <f t="shared" si="12"/>
        <v/>
      </c>
      <c r="AI57">
        <f t="shared" si="13"/>
        <v>0</v>
      </c>
      <c r="AJ57" t="str">
        <f>IF(AI57=1,SUM($AI$3:AI57),"")</f>
        <v/>
      </c>
      <c r="AK57" t="str">
        <f t="shared" si="14"/>
        <v/>
      </c>
      <c r="AL57" t="str">
        <f t="shared" si="15"/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IFERROR(INDEX(ピッキング!$L$7:$L$66,MATCH($T58,ピッキング!$A$7:$A$66,0)),"")</f>
        <v/>
      </c>
      <c r="W58" t="str">
        <f>IFERROR(INDEX(梱包!$B$7:$B$66,MATCH($T58,梱包!$A$7:$A$66,0)),"")</f>
        <v/>
      </c>
      <c r="X58" t="str">
        <f>IFERROR(INDEX(梱包!$L$7:$L$66,MATCH($T58,梱包!$A$7:$A$66,0)),"")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str">
        <f t="shared" si="11"/>
        <v/>
      </c>
      <c r="AG58" t="str">
        <f t="shared" si="12"/>
        <v/>
      </c>
      <c r="AI58">
        <f t="shared" si="13"/>
        <v>0</v>
      </c>
      <c r="AJ58" t="str">
        <f>IF(AI58=1,SUM($AI$3:AI58),"")</f>
        <v/>
      </c>
      <c r="AK58" t="str">
        <f t="shared" si="14"/>
        <v/>
      </c>
      <c r="AL58" t="str">
        <f t="shared" si="15"/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IFERROR(INDEX(ピッキング!$L$7:$L$66,MATCH($T59,ピッキング!$A$7:$A$66,0)),"")</f>
        <v/>
      </c>
      <c r="W59" t="str">
        <f>IFERROR(INDEX(梱包!$B$7:$B$66,MATCH($T59,梱包!$A$7:$A$66,0)),"")</f>
        <v/>
      </c>
      <c r="X59" t="str">
        <f>IFERROR(INDEX(梱包!$L$7:$L$66,MATCH($T59,梱包!$A$7:$A$66,0)),"")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str">
        <f t="shared" si="11"/>
        <v/>
      </c>
      <c r="AG59" t="str">
        <f t="shared" si="12"/>
        <v/>
      </c>
      <c r="AI59">
        <f t="shared" si="13"/>
        <v>0</v>
      </c>
      <c r="AJ59" t="str">
        <f>IF(AI59=1,SUM($AI$3:AI59),"")</f>
        <v/>
      </c>
      <c r="AK59" t="str">
        <f t="shared" si="14"/>
        <v/>
      </c>
      <c r="AL59" t="str">
        <f t="shared" si="15"/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IFERROR(INDEX(ピッキング!$L$7:$L$66,MATCH($T60,ピッキング!$A$7:$A$66,0)),"")</f>
        <v/>
      </c>
      <c r="W60" t="str">
        <f>IFERROR(INDEX(梱包!$B$7:$B$66,MATCH($T60,梱包!$A$7:$A$66,0)),"")</f>
        <v/>
      </c>
      <c r="X60" t="str">
        <f>IFERROR(INDEX(梱包!$L$7:$L$66,MATCH($T60,梱包!$A$7:$A$66,0)),"")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str">
        <f t="shared" si="11"/>
        <v/>
      </c>
      <c r="AG60" t="str">
        <f t="shared" si="12"/>
        <v/>
      </c>
      <c r="AI60">
        <f t="shared" si="13"/>
        <v>0</v>
      </c>
      <c r="AJ60" t="str">
        <f>IF(AI60=1,SUM($AI$3:AI60),"")</f>
        <v/>
      </c>
      <c r="AK60" t="str">
        <f t="shared" si="14"/>
        <v/>
      </c>
      <c r="AL60" t="str">
        <f t="shared" si="15"/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IFERROR(INDEX(ピッキング!$L$7:$L$66,MATCH($T61,ピッキング!$A$7:$A$66,0)),"")</f>
        <v/>
      </c>
      <c r="W61" t="str">
        <f>IFERROR(INDEX(梱包!$B$7:$B$66,MATCH($T61,梱包!$A$7:$A$66,0)),"")</f>
        <v/>
      </c>
      <c r="X61" t="str">
        <f>IFERROR(INDEX(梱包!$L$7:$L$66,MATCH($T61,梱包!$A$7:$A$66,0)),"")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str">
        <f t="shared" si="11"/>
        <v/>
      </c>
      <c r="AG61" t="str">
        <f t="shared" si="12"/>
        <v/>
      </c>
      <c r="AI61">
        <f t="shared" si="13"/>
        <v>0</v>
      </c>
      <c r="AJ61" t="str">
        <f>IF(AI61=1,SUM($AI$3:AI61),"")</f>
        <v/>
      </c>
      <c r="AK61" t="str">
        <f t="shared" si="14"/>
        <v/>
      </c>
      <c r="AL61" t="str">
        <f t="shared" si="15"/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IFERROR(INDEX(ピッキング!$L$7:$L$66,MATCH($T62,ピッキング!$A$7:$A$66,0)),"")</f>
        <v/>
      </c>
      <c r="W62" t="str">
        <f>IFERROR(INDEX(梱包!$B$7:$B$66,MATCH($T62,梱包!$A$7:$A$66,0)),"")</f>
        <v/>
      </c>
      <c r="X62" t="str">
        <f>IFERROR(INDEX(梱包!$L$7:$L$66,MATCH($T62,梱包!$A$7:$A$66,0)),"")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str">
        <f t="shared" si="11"/>
        <v/>
      </c>
      <c r="AG62" t="str">
        <f t="shared" si="12"/>
        <v/>
      </c>
      <c r="AI62">
        <f t="shared" si="13"/>
        <v>0</v>
      </c>
      <c r="AJ62" t="str">
        <f>IF(AI62=1,SUM($AI$3:AI62),"")</f>
        <v/>
      </c>
      <c r="AK62" t="str">
        <f t="shared" si="14"/>
        <v/>
      </c>
      <c r="AL62" t="str">
        <f t="shared" si="15"/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">
        <v>68</v>
      </c>
    </row>
    <row r="99" spans="2:10" ht="26.1" customHeight="1" x14ac:dyDescent="0.15">
      <c r="B99" s="18" t="s">
        <v>69</v>
      </c>
      <c r="E99" s="19">
        <f>IFERROR(AY5,"")</f>
        <v>0.32837798057109213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233.2</v>
      </c>
      <c r="I102" s="23">
        <f t="shared" si="16"/>
        <v>0.34324403885781574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</v>
      </c>
      <c r="I103" s="23">
        <f t="shared" si="16"/>
        <v>0.32837798057109213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</v>
      </c>
      <c r="I104" s="23">
        <f t="shared" si="16"/>
        <v>0.32837798057109213</v>
      </c>
      <c r="J104" s="24" t="s">
        <v>75</v>
      </c>
    </row>
    <row r="106" spans="2:10" x14ac:dyDescent="0.15">
      <c r="G106" s="78" t="s">
        <v>76</v>
      </c>
      <c r="H106" s="77"/>
      <c r="I106" s="77"/>
      <c r="J106" s="77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79</v>
      </c>
    </row>
    <row r="149" spans="2:10" x14ac:dyDescent="0.15">
      <c r="B149" s="3" t="s">
        <v>80</v>
      </c>
    </row>
    <row r="150" spans="2:10" x14ac:dyDescent="0.15">
      <c r="B150" s="7" t="s">
        <v>81</v>
      </c>
      <c r="D150" s="7" t="s">
        <v>82</v>
      </c>
    </row>
    <row r="152" spans="2:10" ht="20.100000000000001" customHeight="1" x14ac:dyDescent="0.15">
      <c r="B152" s="20" t="s">
        <v>83</v>
      </c>
      <c r="C152" s="20" t="s">
        <v>84</v>
      </c>
      <c r="D152" s="20" t="s">
        <v>85</v>
      </c>
      <c r="E152" s="84" t="s">
        <v>86</v>
      </c>
      <c r="F152" s="68"/>
      <c r="G152" s="68"/>
      <c r="H152" s="68"/>
      <c r="I152" s="68"/>
      <c r="J152" s="69"/>
    </row>
    <row r="153" spans="2:10" x14ac:dyDescent="0.15">
      <c r="B153" s="25" t="s">
        <v>87</v>
      </c>
      <c r="C153" s="26">
        <f>ピッキング!$T$5</f>
        <v>29</v>
      </c>
      <c r="D153" s="26">
        <f>梱包!$T$5</f>
        <v>19</v>
      </c>
      <c r="E153" s="71" t="s">
        <v>88</v>
      </c>
      <c r="F153" s="72"/>
      <c r="G153" s="72"/>
      <c r="H153" s="72"/>
      <c r="I153" s="72"/>
      <c r="J153" s="72"/>
    </row>
    <row r="154" spans="2:10" x14ac:dyDescent="0.15">
      <c r="B154" s="25" t="s">
        <v>89</v>
      </c>
      <c r="C154" s="26">
        <f>ピッキング!$T$10</f>
        <v>21249</v>
      </c>
      <c r="D154" s="26">
        <f>梱包!$T$10</f>
        <v>24467</v>
      </c>
      <c r="E154" s="71" t="s">
        <v>90</v>
      </c>
      <c r="F154" s="72"/>
      <c r="G154" s="72"/>
      <c r="H154" s="72"/>
      <c r="I154" s="72"/>
      <c r="J154" s="72"/>
    </row>
    <row r="155" spans="2:10" x14ac:dyDescent="0.15">
      <c r="B155" s="25" t="s">
        <v>91</v>
      </c>
      <c r="C155" s="26">
        <f>ピッキング!$T$11</f>
        <v>9114</v>
      </c>
      <c r="D155" s="26">
        <f>梱包!$T$11</f>
        <v>7069</v>
      </c>
      <c r="E155" s="71" t="s">
        <v>92</v>
      </c>
      <c r="F155" s="72"/>
      <c r="G155" s="72"/>
      <c r="H155" s="72"/>
      <c r="I155" s="72"/>
      <c r="J155" s="72"/>
    </row>
    <row r="156" spans="2:10" x14ac:dyDescent="0.15">
      <c r="B156" s="25" t="s">
        <v>93</v>
      </c>
      <c r="C156" s="27">
        <f>ピッキング!$T$16</f>
        <v>2.3314680710994073</v>
      </c>
      <c r="D156" s="27">
        <f>梱包!$T$16</f>
        <v>3.4611684821049655</v>
      </c>
      <c r="E156" s="71" t="s">
        <v>94</v>
      </c>
      <c r="F156" s="72"/>
      <c r="G156" s="72"/>
      <c r="H156" s="72"/>
      <c r="I156" s="72"/>
      <c r="J156" s="72"/>
    </row>
    <row r="157" spans="2:10" x14ac:dyDescent="0.15">
      <c r="B157" s="25" t="s">
        <v>95</v>
      </c>
      <c r="C157" s="28">
        <f>IFERROR(ピッキング!$T$12/60,"")</f>
        <v>679.7166666666667</v>
      </c>
      <c r="D157" s="28">
        <f>IFERROR(梱包!$T$12/60,"")</f>
        <v>653.11666666666667</v>
      </c>
      <c r="E157" s="71" t="s">
        <v>96</v>
      </c>
      <c r="F157" s="72"/>
      <c r="G157" s="72"/>
      <c r="H157" s="72"/>
      <c r="I157" s="72"/>
      <c r="J157" s="72"/>
    </row>
    <row r="158" spans="2:10" x14ac:dyDescent="0.15">
      <c r="B158" s="25" t="s">
        <v>97</v>
      </c>
      <c r="C158" s="28">
        <f>IFERROR(ピッキング!$T$13/60,"")</f>
        <v>233.16649999999998</v>
      </c>
      <c r="D158" s="28">
        <f>IFERROR(梱包!$T$13/60,"")</f>
        <v>180.84858333333332</v>
      </c>
      <c r="E158" s="71" t="s">
        <v>98</v>
      </c>
      <c r="F158" s="72"/>
      <c r="G158" s="72"/>
      <c r="H158" s="72"/>
      <c r="I158" s="72"/>
      <c r="J158" s="72"/>
    </row>
    <row r="159" spans="2:10" x14ac:dyDescent="0.15">
      <c r="B159" s="29" t="s">
        <v>50</v>
      </c>
      <c r="C159" s="30">
        <f>ピッキング!$T$15</f>
        <v>0.34319700380706092</v>
      </c>
      <c r="D159" s="30">
        <f>梱包!$T$15</f>
        <v>0.27686657185672164</v>
      </c>
      <c r="E159" s="71" t="s">
        <v>99</v>
      </c>
      <c r="F159" s="72"/>
      <c r="G159" s="72"/>
      <c r="H159" s="72"/>
      <c r="I159" s="72"/>
      <c r="J159" s="72"/>
    </row>
    <row r="160" spans="2:10" x14ac:dyDescent="0.15">
      <c r="B160" s="25" t="s">
        <v>100</v>
      </c>
      <c r="C160" s="22">
        <f>ピッキング!$T$17</f>
        <v>115.15741917266695</v>
      </c>
      <c r="D160" s="22">
        <f>梱包!$T$17</f>
        <v>96.097600850124664</v>
      </c>
      <c r="E160" s="71" t="s">
        <v>101</v>
      </c>
      <c r="F160" s="72"/>
      <c r="G160" s="72"/>
      <c r="H160" s="72"/>
      <c r="I160" s="72"/>
      <c r="J160" s="72"/>
    </row>
    <row r="161" spans="2:10" x14ac:dyDescent="0.15">
      <c r="B161" s="29" t="s">
        <v>102</v>
      </c>
      <c r="C161" s="31">
        <f>ピッキング!$T$3</f>
        <v>103.50535792805509</v>
      </c>
      <c r="D161" s="31">
        <f>梱包!$T$3</f>
        <v>108.88546342059843</v>
      </c>
      <c r="E161" s="71" t="s">
        <v>103</v>
      </c>
      <c r="F161" s="72"/>
      <c r="G161" s="72"/>
      <c r="H161" s="72"/>
      <c r="I161" s="72"/>
      <c r="J161" s="72"/>
    </row>
    <row r="162" spans="2:10" x14ac:dyDescent="0.15">
      <c r="B162" s="25" t="s">
        <v>104</v>
      </c>
      <c r="C162" s="26">
        <f>ピッキング!$T$6</f>
        <v>3</v>
      </c>
      <c r="D162" s="26">
        <f>梱包!$T$6</f>
        <v>4</v>
      </c>
      <c r="E162" s="71" t="s">
        <v>105</v>
      </c>
      <c r="F162" s="72"/>
      <c r="G162" s="72"/>
      <c r="H162" s="72"/>
      <c r="I162" s="72"/>
      <c r="J162" s="72"/>
    </row>
    <row r="163" spans="2:10" x14ac:dyDescent="0.15">
      <c r="B163" s="25" t="s">
        <v>106</v>
      </c>
      <c r="C163" s="26">
        <f>ピッキング!$T$7</f>
        <v>26</v>
      </c>
      <c r="D163" s="26">
        <f>梱包!$T$7</f>
        <v>9</v>
      </c>
      <c r="E163" s="71" t="s">
        <v>107</v>
      </c>
      <c r="F163" s="72"/>
      <c r="G163" s="72"/>
      <c r="H163" s="72"/>
      <c r="I163" s="72"/>
      <c r="J163" s="72"/>
    </row>
    <row r="164" spans="2:10" x14ac:dyDescent="0.15">
      <c r="B164" s="25" t="s">
        <v>108</v>
      </c>
      <c r="C164" s="26">
        <f>ピッキング!$T$8</f>
        <v>0</v>
      </c>
      <c r="D164" s="26">
        <f>梱包!$T$8</f>
        <v>6</v>
      </c>
      <c r="E164" s="71" t="s">
        <v>109</v>
      </c>
      <c r="F164" s="72"/>
      <c r="G164" s="72"/>
      <c r="H164" s="72"/>
      <c r="I164" s="72"/>
      <c r="J164" s="72"/>
    </row>
    <row r="166" spans="2:10" x14ac:dyDescent="0.15">
      <c r="B166" s="3" t="s">
        <v>110</v>
      </c>
    </row>
    <row r="234" spans="2:2" x14ac:dyDescent="0.15">
      <c r="B234" s="3" t="s">
        <v>111</v>
      </c>
    </row>
    <row r="235" spans="2:2" x14ac:dyDescent="0.15">
      <c r="B235" s="3" t="s">
        <v>112</v>
      </c>
    </row>
  </sheetData>
  <mergeCells count="33">
    <mergeCell ref="E161:J161"/>
    <mergeCell ref="E154:J154"/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  <mergeCell ref="E155:J155"/>
    <mergeCell ref="B15:E15"/>
    <mergeCell ref="G2:J2"/>
    <mergeCell ref="F16:I16"/>
    <mergeCell ref="E162:J162"/>
    <mergeCell ref="F10:I10"/>
    <mergeCell ref="B18:E18"/>
    <mergeCell ref="E159:J159"/>
    <mergeCell ref="B12:E12"/>
    <mergeCell ref="G3:J3"/>
    <mergeCell ref="B10:E10"/>
    <mergeCell ref="B8:J8"/>
    <mergeCell ref="E158:J158"/>
    <mergeCell ref="E157:J157"/>
    <mergeCell ref="G106:J106"/>
    <mergeCell ref="F11:I11"/>
    <mergeCell ref="B16:E16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A63"/>
  <sheetViews>
    <sheetView showGridLines="0" topLeftCell="A4" workbookViewId="0">
      <selection activeCell="B3" sqref="B3:R34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8" t="s">
        <v>113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T1" s="87" t="s">
        <v>114</v>
      </c>
      <c r="U1" s="77"/>
      <c r="V1" s="77"/>
      <c r="W1" s="77"/>
      <c r="X1" s="77"/>
      <c r="Y1" s="77"/>
      <c r="Z1" s="77"/>
      <c r="AA1" s="77"/>
    </row>
    <row r="2" spans="2:27" ht="6" customHeight="1" x14ac:dyDescent="0.15"/>
    <row r="3" spans="2:27" ht="20.100000000000001" customHeight="1" x14ac:dyDescent="0.15">
      <c r="B3" s="64" t="str">
        <f>"① 個人別 総合達成率（全員 "&amp;COUNT(印刷用データ!$AS$3:$AS$62)&amp;"名）"</f>
        <v>① 個人別 総合達成率（全員 29名）</v>
      </c>
      <c r="C3" s="64"/>
      <c r="D3" s="64"/>
      <c r="E3" s="64"/>
      <c r="F3" s="64"/>
      <c r="G3" s="64"/>
      <c r="H3" s="64"/>
      <c r="I3" s="64"/>
      <c r="J3" s="64"/>
      <c r="K3" s="64"/>
      <c r="L3" s="63"/>
      <c r="M3" s="64" t="str">
        <f>"④ 改善優先順位（全員 "&amp;COUNT(印刷用データ!$AS$3:$AS$62)&amp;"名）"</f>
        <v>④ 改善優先順位（全員 29名）</v>
      </c>
      <c r="N3" s="64"/>
      <c r="O3" s="64"/>
      <c r="P3" s="64"/>
      <c r="Q3" s="64"/>
      <c r="R3" s="64"/>
      <c r="T3" s="86" t="str">
        <f>"② ピッキング・梱包 内訳比較（改善優先 上位 "&amp;MIN(20,COUNT(印刷用データ!$AS$3:$AS$62))&amp;"名）"</f>
        <v>② ピッキング・梱包 内訳比較（改善優先 上位 20名）</v>
      </c>
      <c r="U3" s="77"/>
      <c r="V3" s="77"/>
      <c r="W3" s="77"/>
      <c r="X3" s="77"/>
      <c r="Y3" s="77"/>
      <c r="Z3" s="77"/>
      <c r="AA3" s="77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117</v>
      </c>
      <c r="O4" s="32" t="s">
        <v>118</v>
      </c>
      <c r="P4" s="32" t="s">
        <v>119</v>
      </c>
      <c r="Q4" s="32" t="s">
        <v>120</v>
      </c>
      <c r="R4" s="32" t="s">
        <v>121</v>
      </c>
    </row>
    <row r="5" spans="2:27" ht="21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56.602448979591827</v>
      </c>
      <c r="Q5" s="36">
        <f t="shared" ref="Q5:Q54" si="0">IF(P5="","",P5-100)</f>
        <v>-43.397551020408173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21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森田美加</v>
      </c>
      <c r="O6" s="34" t="str">
        <f>IFERROR(INDEX(印刷用データ!$AK$3:$AK$62,MATCH(SMALL(印刷用データ!$AM$3:$AM$62,2),印刷用データ!$AM$3:$AM$62,0)),"")</f>
        <v>両方</v>
      </c>
      <c r="P6" s="35">
        <f>IFERROR(INDEX(印刷用データ!$AJ$3:$AJ$62,MATCH(SMALL(印刷用データ!$AM$3:$AM$62,2),印刷用データ!$AM$3:$AM$62,0)),"")</f>
        <v>60.9098121085595</v>
      </c>
      <c r="Q6" s="36">
        <f t="shared" si="0"/>
        <v>-39.0901878914405</v>
      </c>
      <c r="R6" s="37" t="str">
        <f>IFERROR(INDEX(印刷用データ!$AL$3:$AL$62,MATCH(SMALL(印刷用データ!$AM$3:$AM$62,2),印刷用データ!$AM$3:$AM$62,0)),"")</f>
        <v>両工程を見直し</v>
      </c>
    </row>
    <row r="7" spans="2:27" ht="21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菊池敬</v>
      </c>
      <c r="O7" s="34" t="str">
        <f>IFERROR(INDEX(印刷用データ!$AK$3:$AK$62,MATCH(SMALL(印刷用データ!$AM$3:$AM$62,3),印刷用データ!$AM$3:$AM$62,0)),"")</f>
        <v>両方</v>
      </c>
      <c r="P7" s="35">
        <f>IFERROR(INDEX(印刷用データ!$AJ$3:$AJ$62,MATCH(SMALL(印刷用データ!$AM$3:$AM$62,3),印刷用データ!$AM$3:$AM$62,0)),"")</f>
        <v>70.622870108742191</v>
      </c>
      <c r="Q7" s="36">
        <f t="shared" si="0"/>
        <v>-29.377129891257809</v>
      </c>
      <c r="R7" s="37" t="str">
        <f>IFERROR(INDEX(印刷用データ!$AL$3:$AL$62,MATCH(SMALL(印刷用データ!$AM$3:$AM$62,3),印刷用データ!$AM$3:$AM$62,0)),"")</f>
        <v>両工程を見直し</v>
      </c>
    </row>
    <row r="8" spans="2:27" ht="21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片岡達也</v>
      </c>
      <c r="O8" s="34" t="str">
        <f>IFERROR(INDEX(印刷用データ!$AK$3:$AK$62,MATCH(SMALL(印刷用データ!$AM$3:$AM$62,4),印刷用データ!$AM$3:$AM$62,0)),"")</f>
        <v>PKのみ</v>
      </c>
      <c r="P8" s="35">
        <f>IFERROR(INDEX(印刷用データ!$AJ$3:$AJ$62,MATCH(SMALL(印刷用データ!$AM$3:$AM$62,4),印刷用データ!$AM$3:$AM$62,0)),"")</f>
        <v>76.883663366336634</v>
      </c>
      <c r="Q8" s="36">
        <f t="shared" si="0"/>
        <v>-23.116336633663366</v>
      </c>
      <c r="R8" s="37" t="str">
        <f>IFERROR(INDEX(印刷用データ!$AL$3:$AL$62,MATCH(SMALL(印刷用データ!$AM$3:$AM$62,4),印刷用データ!$AM$3:$AM$62,0)),"")</f>
        <v>ピッキング改善</v>
      </c>
    </row>
    <row r="9" spans="2:27" ht="21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木村千鶴</v>
      </c>
      <c r="O9" s="34" t="str">
        <f>IFERROR(INDEX(印刷用データ!$AK$3:$AK$62,MATCH(SMALL(印刷用データ!$AM$3:$AM$62,5),印刷用データ!$AM$3:$AM$62,0)),"")</f>
        <v>両方</v>
      </c>
      <c r="P9" s="35">
        <f>IFERROR(INDEX(印刷用データ!$AJ$3:$AJ$62,MATCH(SMALL(印刷用データ!$AM$3:$AM$62,5),印刷用データ!$AM$3:$AM$62,0)),"")</f>
        <v>79.319605195473258</v>
      </c>
      <c r="Q9" s="36">
        <f t="shared" si="0"/>
        <v>-20.680394804526742</v>
      </c>
      <c r="R9" s="37" t="str">
        <f>IFERROR(INDEX(印刷用データ!$AL$3:$AL$62,MATCH(SMALL(印刷用データ!$AM$3:$AM$62,5),印刷用データ!$AM$3:$AM$62,0)),"")</f>
        <v>両工程を見直し</v>
      </c>
    </row>
    <row r="10" spans="2:27" ht="21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上村和恵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79.358161350844284</v>
      </c>
      <c r="Q10" s="36">
        <f t="shared" si="0"/>
        <v>-20.641838649155716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21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秋草文恵</v>
      </c>
      <c r="O11" s="34" t="str">
        <f>IFERROR(INDEX(印刷用データ!$AK$3:$AK$62,MATCH(SMALL(印刷用データ!$AM$3:$AM$62,7),印刷用データ!$AM$3:$AM$62,0)),"")</f>
        <v>PKのみ</v>
      </c>
      <c r="P11" s="35">
        <f>IFERROR(INDEX(印刷用データ!$AJ$3:$AJ$62,MATCH(SMALL(印刷用データ!$AM$3:$AM$62,7),印刷用データ!$AM$3:$AM$62,0)),"")</f>
        <v>80.289637058261704</v>
      </c>
      <c r="Q11" s="36">
        <f t="shared" si="0"/>
        <v>-19.710362941738296</v>
      </c>
      <c r="R11" s="37" t="str">
        <f>IFERROR(INDEX(印刷用データ!$AL$3:$AL$62,MATCH(SMALL(印刷用データ!$AM$3:$AM$62,7),印刷用データ!$AM$3:$AM$62,0)),"")</f>
        <v>ピッキング改善</v>
      </c>
    </row>
    <row r="12" spans="2:27" ht="21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高橋正美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80.89163346613546</v>
      </c>
      <c r="Q12" s="36">
        <f t="shared" si="0"/>
        <v>-19.10836653386454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21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中村美佳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87.373529411764707</v>
      </c>
      <c r="Q13" s="36">
        <f t="shared" si="0"/>
        <v>-12.626470588235293</v>
      </c>
      <c r="R13" s="37" t="str">
        <f>IFERROR(INDEX(印刷用データ!$AL$3:$AL$62,MATCH(SMALL(印刷用データ!$AM$3:$AM$62,9),印刷用データ!$AM$3:$AM$62,0)),"")</f>
        <v>梱包手順を改善</v>
      </c>
    </row>
    <row r="14" spans="2:27" ht="21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廣瀬こずえ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88.026622718052721</v>
      </c>
      <c r="Q14" s="36">
        <f t="shared" si="0"/>
        <v>-11.973377281947279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21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向井ひかり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89.993336886993617</v>
      </c>
      <c r="Q15" s="36">
        <f t="shared" si="0"/>
        <v>-10.006663113006383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21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奥野愛海</v>
      </c>
      <c r="O16" s="34" t="str">
        <f>IFERROR(INDEX(印刷用データ!$AK$3:$AK$62,MATCH(SMALL(印刷用データ!$AM$3:$AM$62,12),印刷用データ!$AM$3:$AM$62,0)),"")</f>
        <v>PKのみ</v>
      </c>
      <c r="P16" s="35">
        <f>IFERROR(INDEX(印刷用データ!$AJ$3:$AJ$62,MATCH(SMALL(印刷用データ!$AM$3:$AM$62,12),印刷用データ!$AM$3:$AM$62,0)),"")</f>
        <v>91.348648648648634</v>
      </c>
      <c r="Q16" s="36">
        <f t="shared" si="0"/>
        <v>-8.6513513513513658</v>
      </c>
      <c r="R16" s="37" t="str">
        <f>IFERROR(INDEX(印刷用データ!$AL$3:$AL$62,MATCH(SMALL(印刷用データ!$AM$3:$AM$62,12),印刷用データ!$AM$3:$AM$62,0)),"")</f>
        <v>ピッキング改善</v>
      </c>
    </row>
    <row r="17" spans="2:27" ht="21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森本久美</v>
      </c>
      <c r="O17" s="34" t="str">
        <f>IFERROR(INDEX(印刷用データ!$AK$3:$AK$62,MATCH(SMALL(印刷用データ!$AM$3:$AM$62,13),印刷用データ!$AM$3:$AM$62,0)),"")</f>
        <v>両方</v>
      </c>
      <c r="P17" s="35">
        <f>IFERROR(INDEX(印刷用データ!$AJ$3:$AJ$62,MATCH(SMALL(印刷用データ!$AM$3:$AM$62,13),印刷用データ!$AM$3:$AM$62,0)),"")</f>
        <v>94.972881852829062</v>
      </c>
      <c r="Q17" s="36">
        <f t="shared" si="0"/>
        <v>-5.0271181471709383</v>
      </c>
      <c r="R17" s="37" t="str">
        <f>IFERROR(INDEX(印刷用データ!$AL$3:$AL$62,MATCH(SMALL(印刷用データ!$AM$3:$AM$62,13),印刷用データ!$AM$3:$AM$62,0)),"")</f>
        <v>ピッキング改善</v>
      </c>
      <c r="T17" s="86" t="str">
        <f>"③ 改善優先度マトリクス（全員 "&amp;COUNT(印刷用データ!$AS$3:$AS$62)&amp;"名）"</f>
        <v>③ 改善優先度マトリクス（全員 29名）</v>
      </c>
      <c r="U17" s="77"/>
      <c r="V17" s="77"/>
      <c r="W17" s="77"/>
      <c r="X17" s="77"/>
      <c r="Y17" s="77"/>
      <c r="Z17" s="77"/>
      <c r="AA17" s="77"/>
    </row>
    <row r="18" spans="2:27" ht="21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中納沙織</v>
      </c>
      <c r="O18" s="34" t="str">
        <f>IFERROR(INDEX(印刷用データ!$AK$3:$AK$62,MATCH(SMALL(印刷用データ!$AM$3:$AM$62,14),印刷用データ!$AM$3:$AM$62,0)),"")</f>
        <v>両方</v>
      </c>
      <c r="P18" s="35">
        <f>IFERROR(INDEX(印刷用データ!$AJ$3:$AJ$62,MATCH(SMALL(印刷用データ!$AM$3:$AM$62,14),印刷用データ!$AM$3:$AM$62,0)),"")</f>
        <v>95.657020757020746</v>
      </c>
      <c r="Q18" s="36">
        <f t="shared" si="0"/>
        <v>-4.3429792429792542</v>
      </c>
      <c r="R18" s="37" t="str">
        <f>IFERROR(INDEX(印刷用データ!$AL$3:$AL$62,MATCH(SMALL(印刷用データ!$AM$3:$AM$62,14),印刷用データ!$AM$3:$AM$62,0)),"")</f>
        <v>梱包手順を改善</v>
      </c>
    </row>
    <row r="19" spans="2:27" ht="21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山本祥吉</v>
      </c>
      <c r="O19" s="34" t="str">
        <f>IFERROR(INDEX(印刷用データ!$AK$3:$AK$62,MATCH(SMALL(印刷用データ!$AM$3:$AM$62,15),印刷用データ!$AM$3:$AM$62,0)),"")</f>
        <v>両方</v>
      </c>
      <c r="P19" s="35">
        <f>IFERROR(INDEX(印刷用データ!$AJ$3:$AJ$62,MATCH(SMALL(印刷用データ!$AM$3:$AM$62,15),印刷用データ!$AM$3:$AM$62,0)),"")</f>
        <v>96.753233598254624</v>
      </c>
      <c r="Q19" s="36">
        <f t="shared" si="0"/>
        <v>-3.2467664017453757</v>
      </c>
      <c r="R19" s="37" t="str">
        <f>IFERROR(INDEX(印刷用データ!$AL$3:$AL$62,MATCH(SMALL(印刷用データ!$AM$3:$AM$62,15),印刷用データ!$AM$3:$AM$62,0)),"")</f>
        <v>梱包手順を改善</v>
      </c>
    </row>
    <row r="20" spans="2:27" ht="21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鈴木香織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97.198895027624303</v>
      </c>
      <c r="Q20" s="36">
        <f t="shared" si="0"/>
        <v>-2.8011049723756969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21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高橋佐織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97.612314480545521</v>
      </c>
      <c r="Q21" s="36">
        <f t="shared" si="0"/>
        <v>-2.3876855194544788</v>
      </c>
      <c r="R21" s="37" t="str">
        <f>IFERROR(INDEX(印刷用データ!$AL$3:$AL$62,MATCH(SMALL(印刷用データ!$AM$3:$AM$62,17),印刷用データ!$AM$3:$AM$62,0)),"")</f>
        <v>梱包手順を改善</v>
      </c>
    </row>
    <row r="22" spans="2:27" ht="21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後藤克行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97.9967953769372</v>
      </c>
      <c r="Q22" s="36">
        <f t="shared" si="0"/>
        <v>-2.0032046230627998</v>
      </c>
      <c r="R22" s="37" t="str">
        <f>IFERROR(INDEX(印刷用データ!$AL$3:$AL$62,MATCH(SMALL(印刷用データ!$AM$3:$AM$62,18),印刷用データ!$AM$3:$AM$62,0)),"")</f>
        <v>梱包手順を改善</v>
      </c>
    </row>
    <row r="23" spans="2:27" ht="21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石戸谷亜子</v>
      </c>
      <c r="O23" s="34" t="str">
        <f>IFERROR(INDEX(印刷用データ!$AK$3:$AK$62,MATCH(SMALL(印刷用データ!$AM$3:$AM$62,19),印刷用データ!$AM$3:$AM$62,0)),"")</f>
        <v>PKのみ</v>
      </c>
      <c r="P23" s="35">
        <f>IFERROR(INDEX(印刷用データ!$AJ$3:$AJ$62,MATCH(SMALL(印刷用データ!$AM$3:$AM$62,19),印刷用データ!$AM$3:$AM$62,0)),"")</f>
        <v>100.59261744966443</v>
      </c>
      <c r="Q23" s="36">
        <f t="shared" si="0"/>
        <v>0.59261744966443075</v>
      </c>
      <c r="R23" s="37" t="str">
        <f>IFERROR(INDEX(印刷用データ!$AL$3:$AL$62,MATCH(SMALL(印刷用データ!$AM$3:$AM$62,19),印刷用データ!$AM$3:$AM$62,0)),"")</f>
        <v>目標達成</v>
      </c>
    </row>
    <row r="24" spans="2:27" ht="21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澤田凌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102.3828228228228</v>
      </c>
      <c r="Q24" s="36">
        <f t="shared" si="0"/>
        <v>2.3828228228228028</v>
      </c>
      <c r="R24" s="37" t="str">
        <f>IFERROR(INDEX(印刷用データ!$AL$3:$AL$62,MATCH(SMALL(印刷用データ!$AM$3:$AM$62,20),印刷用データ!$AM$3:$AM$62,0)),"")</f>
        <v>梱包手順を改善</v>
      </c>
    </row>
    <row r="25" spans="2:27" ht="21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河野忠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108.24710320668282</v>
      </c>
      <c r="Q25" s="36">
        <f t="shared" si="0"/>
        <v>8.2471032066828229</v>
      </c>
      <c r="R25" s="37" t="str">
        <f>IFERROR(INDEX(印刷用データ!$AL$3:$AL$62,MATCH(SMALL(印刷用データ!$AM$3:$AM$62,21),印刷用データ!$AM$3:$AM$62,0)),"")</f>
        <v>ピッキング改善</v>
      </c>
    </row>
    <row r="26" spans="2:27" ht="21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飯田由加里</v>
      </c>
      <c r="O26" s="34" t="str">
        <f>IFERROR(INDEX(印刷用データ!$AK$3:$AK$62,MATCH(SMALL(印刷用データ!$AM$3:$AM$62,22),印刷用データ!$AM$3:$AM$62,0)),"")</f>
        <v>両方</v>
      </c>
      <c r="P26" s="35">
        <f>IFERROR(INDEX(印刷用データ!$AJ$3:$AJ$62,MATCH(SMALL(印刷用データ!$AM$3:$AM$62,22),印刷用データ!$AM$3:$AM$62,0)),"")</f>
        <v>110.4852765321375</v>
      </c>
      <c r="Q26" s="36">
        <f t="shared" si="0"/>
        <v>10.485276532137505</v>
      </c>
      <c r="R26" s="37" t="str">
        <f>IFERROR(INDEX(印刷用データ!$AL$3:$AL$62,MATCH(SMALL(印刷用データ!$AM$3:$AM$62,22),印刷用データ!$AM$3:$AM$62,0)),"")</f>
        <v>ピッキング改善</v>
      </c>
    </row>
    <row r="27" spans="2:27" ht="21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晩田恵美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117.94028270751602</v>
      </c>
      <c r="Q27" s="36">
        <f t="shared" si="0"/>
        <v>17.940282707516019</v>
      </c>
      <c r="R27" s="37" t="str">
        <f>IFERROR(INDEX(印刷用データ!$AL$3:$AL$62,MATCH(SMALL(印刷用データ!$AM$3:$AM$62,23),印刷用データ!$AM$3:$AM$62,0)),"")</f>
        <v>目標達成</v>
      </c>
    </row>
    <row r="28" spans="2:27" ht="21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北田倫子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123.80759937175306</v>
      </c>
      <c r="Q28" s="36">
        <f t="shared" si="0"/>
        <v>23.807599371753057</v>
      </c>
      <c r="R28" s="37" t="str">
        <f>IFERROR(INDEX(印刷用データ!$AL$3:$AL$62,MATCH(SMALL(印刷用データ!$AM$3:$AM$62,24),印刷用データ!$AM$3:$AM$62,0)),"")</f>
        <v>目標達成</v>
      </c>
    </row>
    <row r="29" spans="2:27" ht="21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春谷智子</v>
      </c>
      <c r="O29" s="34" t="str">
        <f>IFERROR(INDEX(印刷用データ!$AK$3:$AK$62,MATCH(SMALL(印刷用データ!$AM$3:$AM$62,25),印刷用データ!$AM$3:$AM$62,0)),"")</f>
        <v>PKのみ</v>
      </c>
      <c r="P29" s="35">
        <f>IFERROR(INDEX(印刷用データ!$AJ$3:$AJ$62,MATCH(SMALL(印刷用データ!$AM$3:$AM$62,25),印刷用データ!$AM$3:$AM$62,0)),"")</f>
        <v>126.5595238095238</v>
      </c>
      <c r="Q29" s="36">
        <f t="shared" si="0"/>
        <v>26.559523809523796</v>
      </c>
      <c r="R29" s="37" t="str">
        <f>IFERROR(INDEX(印刷用データ!$AL$3:$AL$62,MATCH(SMALL(印刷用データ!$AM$3:$AM$62,25),印刷用データ!$AM$3:$AM$62,0)),"")</f>
        <v>目標達成</v>
      </c>
    </row>
    <row r="30" spans="2:27" ht="21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大江美記子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131.46289445048964</v>
      </c>
      <c r="Q30" s="36">
        <f t="shared" si="0"/>
        <v>31.462894450489642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21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佐藤辰成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131.99835575485798</v>
      </c>
      <c r="Q31" s="36">
        <f t="shared" si="0"/>
        <v>31.998355754857982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21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佐々木千恵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133.65802735781136</v>
      </c>
      <c r="Q32" s="36">
        <f t="shared" si="0"/>
        <v>33.658027357811363</v>
      </c>
      <c r="R32" s="37" t="str">
        <f>IFERROR(INDEX(印刷用データ!$AL$3:$AL$62,MATCH(SMALL(印刷用データ!$AM$3:$AM$62,28),印刷用データ!$AM$3:$AM$62,0)),"")</f>
        <v>目標達成</v>
      </c>
    </row>
    <row r="33" spans="2:27" ht="21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本吉有美子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143.93786470715366</v>
      </c>
      <c r="Q33" s="36">
        <f t="shared" si="0"/>
        <v>43.937864707153665</v>
      </c>
      <c r="R33" s="37" t="str">
        <f>IFERROR(INDEX(印刷用データ!$AL$3:$AL$62,MATCH(SMALL(印刷用データ!$AM$3:$AM$62,29),印刷用データ!$AM$3:$AM$62,0)),"")</f>
        <v>目標達成</v>
      </c>
    </row>
    <row r="34" spans="2:27" ht="21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38" t="str">
        <f>IFERROR(IF(SMALL(印刷用データ!$AM$3:$AM$62,30)&gt;0,30,""),"")</f>
        <v/>
      </c>
      <c r="N34" s="34" t="str">
        <f>IFERROR(INDEX(印刷用データ!$AG$3:$AG$62,MATCH(SMALL(印刷用データ!$AM$3:$AM$62,30),印刷用データ!$AM$3:$AM$62,0)),"")</f>
        <v/>
      </c>
      <c r="O34" s="34" t="str">
        <f>IFERROR(INDEX(印刷用データ!$AK$3:$AK$62,MATCH(SMALL(印刷用データ!$AM$3:$AM$62,30),印刷用データ!$AM$3:$AM$62,0)),"")</f>
        <v/>
      </c>
      <c r="P34" s="35" t="str">
        <f>IFERROR(INDEX(印刷用データ!$AJ$3:$AJ$62,MATCH(SMALL(印刷用データ!$AM$3:$AM$62,30),印刷用データ!$AM$3:$AM$62,0)),"")</f>
        <v/>
      </c>
      <c r="Q34" s="36" t="str">
        <f t="shared" si="0"/>
        <v/>
      </c>
      <c r="R34" s="37" t="str">
        <f>IFERROR(INDEX(印刷用データ!$AL$3:$AL$62,MATCH(SMALL(印刷用データ!$AM$3:$AM$62,30),印刷用データ!$AM$3:$AM$62,0)),"")</f>
        <v/>
      </c>
    </row>
    <row r="35" spans="2:27" ht="21" customHeight="1" x14ac:dyDescent="0.1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38" t="str">
        <f>IFERROR(IF(SMALL(印刷用データ!$AM$3:$AM$62,31)&gt;0,31,""),"")</f>
        <v/>
      </c>
      <c r="N35" s="34" t="str">
        <f>IFERROR(INDEX(印刷用データ!$AG$3:$AG$62,MATCH(SMALL(印刷用データ!$AM$3:$AM$62,31),印刷用データ!$AM$3:$AM$62,0)),"")</f>
        <v/>
      </c>
      <c r="O35" s="34" t="str">
        <f>IFERROR(INDEX(印刷用データ!$AK$3:$AK$62,MATCH(SMALL(印刷用データ!$AM$3:$AM$62,31),印刷用データ!$AM$3:$AM$62,0)),"")</f>
        <v/>
      </c>
      <c r="P35" s="35" t="str">
        <f>IFERROR(INDEX(印刷用データ!$AJ$3:$AJ$62,MATCH(SMALL(印刷用データ!$AM$3:$AM$62,31),印刷用データ!$AM$3:$AM$62,0)),"")</f>
        <v/>
      </c>
      <c r="Q35" s="36" t="str">
        <f t="shared" si="0"/>
        <v/>
      </c>
      <c r="R35" s="37" t="str">
        <f>IFERROR(INDEX(印刷用データ!$AL$3:$AL$62,MATCH(SMALL(印刷用データ!$AM$3:$AM$62,31),印刷用データ!$AM$3:$AM$62,0)),"")</f>
        <v/>
      </c>
    </row>
    <row r="36" spans="2:27" ht="21" customHeight="1" x14ac:dyDescent="0.1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38" t="str">
        <f>IFERROR(IF(SMALL(印刷用データ!$AM$3:$AM$62,32)&gt;0,32,""),"")</f>
        <v/>
      </c>
      <c r="N36" s="34" t="str">
        <f>IFERROR(INDEX(印刷用データ!$AG$3:$AG$62,MATCH(SMALL(印刷用データ!$AM$3:$AM$62,32),印刷用データ!$AM$3:$AM$62,0)),"")</f>
        <v/>
      </c>
      <c r="O36" s="34" t="str">
        <f>IFERROR(INDEX(印刷用データ!$AK$3:$AK$62,MATCH(SMALL(印刷用データ!$AM$3:$AM$62,32),印刷用データ!$AM$3:$AM$62,0)),"")</f>
        <v/>
      </c>
      <c r="P36" s="35" t="str">
        <f>IFERROR(INDEX(印刷用データ!$AJ$3:$AJ$62,MATCH(SMALL(印刷用データ!$AM$3:$AM$62,32),印刷用データ!$AM$3:$AM$62,0)),"")</f>
        <v/>
      </c>
      <c r="Q36" s="36" t="str">
        <f t="shared" si="0"/>
        <v/>
      </c>
      <c r="R36" s="37" t="str">
        <f>IFERROR(INDEX(印刷用データ!$AL$3:$AL$62,MATCH(SMALL(印刷用データ!$AM$3:$AM$62,32),印刷用データ!$AM$3:$AM$62,0)),"")</f>
        <v/>
      </c>
    </row>
    <row r="37" spans="2:27" ht="21" customHeight="1" x14ac:dyDescent="0.1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38" t="str">
        <f>IFERROR(IF(SMALL(印刷用データ!$AM$3:$AM$62,33)&gt;0,33,""),"")</f>
        <v/>
      </c>
      <c r="N37" s="34" t="str">
        <f>IFERROR(INDEX(印刷用データ!$AG$3:$AG$62,MATCH(SMALL(印刷用データ!$AM$3:$AM$62,33),印刷用データ!$AM$3:$AM$62,0)),"")</f>
        <v/>
      </c>
      <c r="O37" s="34" t="str">
        <f>IFERROR(INDEX(印刷用データ!$AK$3:$AK$62,MATCH(SMALL(印刷用データ!$AM$3:$AM$62,33),印刷用データ!$AM$3:$AM$62,0)),"")</f>
        <v/>
      </c>
      <c r="P37" s="35" t="str">
        <f>IFERROR(INDEX(印刷用データ!$AJ$3:$AJ$62,MATCH(SMALL(印刷用データ!$AM$3:$AM$62,33),印刷用データ!$AM$3:$AM$62,0)),"")</f>
        <v/>
      </c>
      <c r="Q37" s="36" t="str">
        <f t="shared" si="0"/>
        <v/>
      </c>
      <c r="R37" s="37" t="str">
        <f>IFERROR(INDEX(印刷用データ!$AL$3:$AL$62,MATCH(SMALL(印刷用データ!$AM$3:$AM$62,33),印刷用データ!$AM$3:$AM$62,0)),"")</f>
        <v/>
      </c>
    </row>
    <row r="38" spans="2:27" ht="21" customHeight="1" x14ac:dyDescent="0.15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38" t="str">
        <f>IFERROR(IF(SMALL(印刷用データ!$AM$3:$AM$62,34)&gt;0,34,""),"")</f>
        <v/>
      </c>
      <c r="N38" s="34" t="str">
        <f>IFERROR(INDEX(印刷用データ!$AG$3:$AG$62,MATCH(SMALL(印刷用データ!$AM$3:$AM$62,34),印刷用データ!$AM$3:$AM$62,0)),"")</f>
        <v/>
      </c>
      <c r="O38" s="34" t="str">
        <f>IFERROR(INDEX(印刷用データ!$AK$3:$AK$62,MATCH(SMALL(印刷用データ!$AM$3:$AM$62,34),印刷用データ!$AM$3:$AM$62,0)),"")</f>
        <v/>
      </c>
      <c r="P38" s="35" t="str">
        <f>IFERROR(INDEX(印刷用データ!$AJ$3:$AJ$62,MATCH(SMALL(印刷用データ!$AM$3:$AM$62,34),印刷用データ!$AM$3:$AM$62,0)),"")</f>
        <v/>
      </c>
      <c r="Q38" s="36" t="str">
        <f t="shared" si="0"/>
        <v/>
      </c>
      <c r="R38" s="37" t="str">
        <f>IFERROR(INDEX(印刷用データ!$AL$3:$AL$62,MATCH(SMALL(印刷用データ!$AM$3:$AM$62,34),印刷用データ!$AM$3:$AM$62,0)),"")</f>
        <v/>
      </c>
    </row>
    <row r="39" spans="2:27" ht="21" customHeight="1" x14ac:dyDescent="0.1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38" t="str">
        <f>IFERROR(IF(SMALL(印刷用データ!$AM$3:$AM$62,35)&gt;0,35,""),"")</f>
        <v/>
      </c>
      <c r="N39" s="34" t="str">
        <f>IFERROR(INDEX(印刷用データ!$AG$3:$AG$62,MATCH(SMALL(印刷用データ!$AM$3:$AM$62,35),印刷用データ!$AM$3:$AM$62,0)),"")</f>
        <v/>
      </c>
      <c r="O39" s="34" t="str">
        <f>IFERROR(INDEX(印刷用データ!$AK$3:$AK$62,MATCH(SMALL(印刷用データ!$AM$3:$AM$62,35),印刷用データ!$AM$3:$AM$62,0)),"")</f>
        <v/>
      </c>
      <c r="P39" s="35" t="str">
        <f>IFERROR(INDEX(印刷用データ!$AJ$3:$AJ$62,MATCH(SMALL(印刷用データ!$AM$3:$AM$62,35),印刷用データ!$AM$3:$AM$62,0)),"")</f>
        <v/>
      </c>
      <c r="Q39" s="36" t="str">
        <f t="shared" si="0"/>
        <v/>
      </c>
      <c r="R39" s="37" t="str">
        <f>IFERROR(INDEX(印刷用データ!$AL$3:$AL$62,MATCH(SMALL(印刷用データ!$AM$3:$AM$62,35),印刷用データ!$AM$3:$AM$62,0)),"")</f>
        <v/>
      </c>
    </row>
    <row r="40" spans="2:27" ht="21" customHeight="1" x14ac:dyDescent="0.1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38" t="str">
        <f>IFERROR(IF(SMALL(印刷用データ!$AM$3:$AM$62,36)&gt;0,36,""),"")</f>
        <v/>
      </c>
      <c r="N40" s="34" t="str">
        <f>IFERROR(INDEX(印刷用データ!$AG$3:$AG$62,MATCH(SMALL(印刷用データ!$AM$3:$AM$62,36),印刷用データ!$AM$3:$AM$62,0)),"")</f>
        <v/>
      </c>
      <c r="O40" s="34" t="str">
        <f>IFERROR(INDEX(印刷用データ!$AK$3:$AK$62,MATCH(SMALL(印刷用データ!$AM$3:$AM$62,36),印刷用データ!$AM$3:$AM$62,0)),"")</f>
        <v/>
      </c>
      <c r="P40" s="35" t="str">
        <f>IFERROR(INDEX(印刷用データ!$AJ$3:$AJ$62,MATCH(SMALL(印刷用データ!$AM$3:$AM$62,36),印刷用データ!$AM$3:$AM$62,0)),"")</f>
        <v/>
      </c>
      <c r="Q40" s="36" t="str">
        <f t="shared" si="0"/>
        <v/>
      </c>
      <c r="R40" s="37" t="str">
        <f>IFERROR(INDEX(印刷用データ!$AL$3:$AL$62,MATCH(SMALL(印刷用データ!$AM$3:$AM$62,36),印刷用データ!$AM$3:$AM$62,0)),"")</f>
        <v/>
      </c>
    </row>
    <row r="41" spans="2:27" ht="21" customHeight="1" x14ac:dyDescent="0.1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38" t="str">
        <f>IFERROR(IF(SMALL(印刷用データ!$AM$3:$AM$62,37)&gt;0,37,""),"")</f>
        <v/>
      </c>
      <c r="N41" s="34" t="str">
        <f>IFERROR(INDEX(印刷用データ!$AG$3:$AG$62,MATCH(SMALL(印刷用データ!$AM$3:$AM$62,37),印刷用データ!$AM$3:$AM$62,0)),"")</f>
        <v/>
      </c>
      <c r="O41" s="34" t="str">
        <f>IFERROR(INDEX(印刷用データ!$AK$3:$AK$62,MATCH(SMALL(印刷用データ!$AM$3:$AM$62,37),印刷用データ!$AM$3:$AM$62,0)),"")</f>
        <v/>
      </c>
      <c r="P41" s="35" t="str">
        <f>IFERROR(INDEX(印刷用データ!$AJ$3:$AJ$62,MATCH(SMALL(印刷用データ!$AM$3:$AM$62,37),印刷用データ!$AM$3:$AM$62,0)),"")</f>
        <v/>
      </c>
      <c r="Q41" s="36" t="str">
        <f t="shared" si="0"/>
        <v/>
      </c>
      <c r="R41" s="37" t="str">
        <f>IFERROR(INDEX(印刷用データ!$AL$3:$AL$62,MATCH(SMALL(印刷用データ!$AM$3:$AM$62,37),印刷用データ!$AM$3:$AM$62,0)),"")</f>
        <v/>
      </c>
    </row>
    <row r="42" spans="2:27" ht="21" customHeight="1" x14ac:dyDescent="0.1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38" t="str">
        <f>IFERROR(IF(SMALL(印刷用データ!$AM$3:$AM$62,38)&gt;0,38,""),"")</f>
        <v/>
      </c>
      <c r="N42" s="34" t="str">
        <f>IFERROR(INDEX(印刷用データ!$AG$3:$AG$62,MATCH(SMALL(印刷用データ!$AM$3:$AM$62,38),印刷用データ!$AM$3:$AM$62,0)),"")</f>
        <v/>
      </c>
      <c r="O42" s="34" t="str">
        <f>IFERROR(INDEX(印刷用データ!$AK$3:$AK$62,MATCH(SMALL(印刷用データ!$AM$3:$AM$62,38),印刷用データ!$AM$3:$AM$62,0)),"")</f>
        <v/>
      </c>
      <c r="P42" s="35" t="str">
        <f>IFERROR(INDEX(印刷用データ!$AJ$3:$AJ$62,MATCH(SMALL(印刷用データ!$AM$3:$AM$62,38),印刷用データ!$AM$3:$AM$62,0)),"")</f>
        <v/>
      </c>
      <c r="Q42" s="36" t="str">
        <f t="shared" si="0"/>
        <v/>
      </c>
      <c r="R42" s="37" t="str">
        <f>IFERROR(INDEX(印刷用データ!$AL$3:$AL$62,MATCH(SMALL(印刷用データ!$AM$3:$AM$62,38),印刷用データ!$AM$3:$AM$62,0)),"")</f>
        <v/>
      </c>
    </row>
    <row r="43" spans="2:27" ht="21" customHeight="1" x14ac:dyDescent="0.1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38" t="str">
        <f>IFERROR(IF(SMALL(印刷用データ!$AM$3:$AM$62,39)&gt;0,39,""),"")</f>
        <v/>
      </c>
      <c r="N43" s="34" t="str">
        <f>IFERROR(INDEX(印刷用データ!$AG$3:$AG$62,MATCH(SMALL(印刷用データ!$AM$3:$AM$62,39),印刷用データ!$AM$3:$AM$62,0)),"")</f>
        <v/>
      </c>
      <c r="O43" s="34" t="str">
        <f>IFERROR(INDEX(印刷用データ!$AK$3:$AK$62,MATCH(SMALL(印刷用データ!$AM$3:$AM$62,39),印刷用データ!$AM$3:$AM$62,0)),"")</f>
        <v/>
      </c>
      <c r="P43" s="35" t="str">
        <f>IFERROR(INDEX(印刷用データ!$AJ$3:$AJ$62,MATCH(SMALL(印刷用データ!$AM$3:$AM$62,39),印刷用データ!$AM$3:$AM$62,0)),"")</f>
        <v/>
      </c>
      <c r="Q43" s="36" t="str">
        <f t="shared" si="0"/>
        <v/>
      </c>
      <c r="R43" s="37" t="str">
        <f>IFERROR(INDEX(印刷用データ!$AL$3:$AL$62,MATCH(SMALL(印刷用データ!$AM$3:$AM$62,39),印刷用データ!$AM$3:$AM$62,0)),"")</f>
        <v/>
      </c>
    </row>
    <row r="44" spans="2:27" ht="21" customHeight="1" x14ac:dyDescent="0.1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38" t="str">
        <f>IFERROR(IF(SMALL(印刷用データ!$AM$3:$AM$62,40)&gt;0,40,""),"")</f>
        <v/>
      </c>
      <c r="N44" s="34" t="str">
        <f>IFERROR(INDEX(印刷用データ!$AG$3:$AG$62,MATCH(SMALL(印刷用データ!$AM$3:$AM$62,40),印刷用データ!$AM$3:$AM$62,0)),"")</f>
        <v/>
      </c>
      <c r="O44" s="34" t="str">
        <f>IFERROR(INDEX(印刷用データ!$AK$3:$AK$62,MATCH(SMALL(印刷用データ!$AM$3:$AM$62,40),印刷用データ!$AM$3:$AM$62,0)),"")</f>
        <v/>
      </c>
      <c r="P44" s="35" t="str">
        <f>IFERROR(INDEX(印刷用データ!$AJ$3:$AJ$62,MATCH(SMALL(印刷用データ!$AM$3:$AM$62,40),印刷用データ!$AM$3:$AM$62,0)),"")</f>
        <v/>
      </c>
      <c r="Q44" s="36" t="str">
        <f t="shared" si="0"/>
        <v/>
      </c>
      <c r="R44" s="37" t="str">
        <f>IFERROR(INDEX(印刷用データ!$AL$3:$AL$62,MATCH(SMALL(印刷用データ!$AM$3:$AM$62,40),印刷用データ!$AM$3:$AM$62,0)),"")</f>
        <v/>
      </c>
    </row>
    <row r="45" spans="2:27" ht="21" customHeight="1" x14ac:dyDescent="0.1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38" t="str">
        <f>IFERROR(IF(SMALL(印刷用データ!$AM$3:$AM$62,41)&gt;0,41,""),"")</f>
        <v/>
      </c>
      <c r="N45" s="34" t="str">
        <f>IFERROR(INDEX(印刷用データ!$AG$3:$AG$62,MATCH(SMALL(印刷用データ!$AM$3:$AM$62,41),印刷用データ!$AM$3:$AM$62,0)),"")</f>
        <v/>
      </c>
      <c r="O45" s="34" t="str">
        <f>IFERROR(INDEX(印刷用データ!$AK$3:$AK$62,MATCH(SMALL(印刷用データ!$AM$3:$AM$62,41),印刷用データ!$AM$3:$AM$62,0)),"")</f>
        <v/>
      </c>
      <c r="P45" s="35" t="str">
        <f>IFERROR(INDEX(印刷用データ!$AJ$3:$AJ$62,MATCH(SMALL(印刷用データ!$AM$3:$AM$62,41),印刷用データ!$AM$3:$AM$62,0)),"")</f>
        <v/>
      </c>
      <c r="Q45" s="36" t="str">
        <f t="shared" si="0"/>
        <v/>
      </c>
      <c r="R45" s="37" t="str">
        <f>IFERROR(INDEX(印刷用データ!$AL$3:$AL$62,MATCH(SMALL(印刷用データ!$AM$3:$AM$62,41),印刷用データ!$AM$3:$AM$62,0)),"")</f>
        <v/>
      </c>
    </row>
    <row r="46" spans="2:27" ht="21" customHeight="1" x14ac:dyDescent="0.1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38" t="str">
        <f>IFERROR(IF(SMALL(印刷用データ!$AM$3:$AM$62,42)&gt;0,42,""),"")</f>
        <v/>
      </c>
      <c r="N46" s="34" t="str">
        <f>IFERROR(INDEX(印刷用データ!$AG$3:$AG$62,MATCH(SMALL(印刷用データ!$AM$3:$AM$62,42),印刷用データ!$AM$3:$AM$62,0)),"")</f>
        <v/>
      </c>
      <c r="O46" s="34" t="str">
        <f>IFERROR(INDEX(印刷用データ!$AK$3:$AK$62,MATCH(SMALL(印刷用データ!$AM$3:$AM$62,42),印刷用データ!$AM$3:$AM$62,0)),"")</f>
        <v/>
      </c>
      <c r="P46" s="35" t="str">
        <f>IFERROR(INDEX(印刷用データ!$AJ$3:$AJ$62,MATCH(SMALL(印刷用データ!$AM$3:$AM$62,42),印刷用データ!$AM$3:$AM$62,0)),"")</f>
        <v/>
      </c>
      <c r="Q46" s="36" t="str">
        <f t="shared" si="0"/>
        <v/>
      </c>
      <c r="R46" s="37" t="str">
        <f>IFERROR(INDEX(印刷用データ!$AL$3:$AL$62,MATCH(SMALL(印刷用データ!$AM$3:$AM$62,42),印刷用データ!$AM$3:$AM$62,0)),"")</f>
        <v/>
      </c>
    </row>
    <row r="47" spans="2:27" ht="21" customHeight="1" x14ac:dyDescent="0.15"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38" t="str">
        <f>IFERROR(IF(SMALL(印刷用データ!$AM$3:$AM$62,43)&gt;0,43,""),"")</f>
        <v/>
      </c>
      <c r="N47" s="34" t="str">
        <f>IFERROR(INDEX(印刷用データ!$AG$3:$AG$62,MATCH(SMALL(印刷用データ!$AM$3:$AM$62,43),印刷用データ!$AM$3:$AM$62,0)),"")</f>
        <v/>
      </c>
      <c r="O47" s="34" t="str">
        <f>IFERROR(INDEX(印刷用データ!$AK$3:$AK$62,MATCH(SMALL(印刷用データ!$AM$3:$AM$62,43),印刷用データ!$AM$3:$AM$62,0)),"")</f>
        <v/>
      </c>
      <c r="P47" s="35" t="str">
        <f>IFERROR(INDEX(印刷用データ!$AJ$3:$AJ$62,MATCH(SMALL(印刷用データ!$AM$3:$AM$62,43),印刷用データ!$AM$3:$AM$62,0)),"")</f>
        <v/>
      </c>
      <c r="Q47" s="36" t="str">
        <f t="shared" si="0"/>
        <v/>
      </c>
      <c r="R47" s="37" t="str">
        <f>IFERROR(INDEX(印刷用データ!$AL$3:$AL$62,MATCH(SMALL(印刷用データ!$AM$3:$AM$62,43),印刷用データ!$AM$3:$AM$62,0)),"")</f>
        <v/>
      </c>
    </row>
    <row r="48" spans="2:27" ht="21" customHeight="1" x14ac:dyDescent="0.15"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38" t="str">
        <f>IFERROR(IF(SMALL(印刷用データ!$AM$3:$AM$62,44)&gt;0,44,""),"")</f>
        <v/>
      </c>
      <c r="N48" s="34" t="str">
        <f>IFERROR(INDEX(印刷用データ!$AG$3:$AG$62,MATCH(SMALL(印刷用データ!$AM$3:$AM$62,44),印刷用データ!$AM$3:$AM$62,0)),"")</f>
        <v/>
      </c>
      <c r="O48" s="34" t="str">
        <f>IFERROR(INDEX(印刷用データ!$AK$3:$AK$62,MATCH(SMALL(印刷用データ!$AM$3:$AM$62,44),印刷用データ!$AM$3:$AM$62,0)),"")</f>
        <v/>
      </c>
      <c r="P48" s="35" t="str">
        <f>IFERROR(INDEX(印刷用データ!$AJ$3:$AJ$62,MATCH(SMALL(印刷用データ!$AM$3:$AM$62,44),印刷用データ!$AM$3:$AM$62,0)),"")</f>
        <v/>
      </c>
      <c r="Q48" s="36" t="str">
        <f t="shared" si="0"/>
        <v/>
      </c>
      <c r="R48" s="37" t="str">
        <f>IFERROR(INDEX(印刷用データ!$AL$3:$AL$62,MATCH(SMALL(印刷用データ!$AM$3:$AM$62,44),印刷用データ!$AM$3:$AM$62,0)),"")</f>
        <v/>
      </c>
    </row>
    <row r="49" spans="2:27" ht="21" customHeight="1" x14ac:dyDescent="0.15"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38" t="str">
        <f>IFERROR(IF(SMALL(印刷用データ!$AM$3:$AM$62,45)&gt;0,45,""),"")</f>
        <v/>
      </c>
      <c r="N49" s="34" t="str">
        <f>IFERROR(INDEX(印刷用データ!$AG$3:$AG$62,MATCH(SMALL(印刷用データ!$AM$3:$AM$62,45),印刷用データ!$AM$3:$AM$62,0)),"")</f>
        <v/>
      </c>
      <c r="O49" s="34" t="str">
        <f>IFERROR(INDEX(印刷用データ!$AK$3:$AK$62,MATCH(SMALL(印刷用データ!$AM$3:$AM$62,45),印刷用データ!$AM$3:$AM$62,0)),"")</f>
        <v/>
      </c>
      <c r="P49" s="35" t="str">
        <f>IFERROR(INDEX(印刷用データ!$AJ$3:$AJ$62,MATCH(SMALL(印刷用データ!$AM$3:$AM$62,45),印刷用データ!$AM$3:$AM$62,0)),"")</f>
        <v/>
      </c>
      <c r="Q49" s="36" t="str">
        <f t="shared" si="0"/>
        <v/>
      </c>
      <c r="R49" s="37" t="str">
        <f>IFERROR(INDEX(印刷用データ!$AL$3:$AL$62,MATCH(SMALL(印刷用データ!$AM$3:$AM$62,45),印刷用データ!$AM$3:$AM$62,0)),"")</f>
        <v/>
      </c>
    </row>
    <row r="50" spans="2:27" ht="21" customHeight="1" x14ac:dyDescent="0.15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38" t="str">
        <f>IFERROR(IF(SMALL(印刷用データ!$AM$3:$AM$62,46)&gt;0,46,""),"")</f>
        <v/>
      </c>
      <c r="N50" s="34" t="str">
        <f>IFERROR(INDEX(印刷用データ!$AG$3:$AG$62,MATCH(SMALL(印刷用データ!$AM$3:$AM$62,46),印刷用データ!$AM$3:$AM$62,0)),"")</f>
        <v/>
      </c>
      <c r="O50" s="34" t="str">
        <f>IFERROR(INDEX(印刷用データ!$AK$3:$AK$62,MATCH(SMALL(印刷用データ!$AM$3:$AM$62,46),印刷用データ!$AM$3:$AM$62,0)),"")</f>
        <v/>
      </c>
      <c r="P50" s="35" t="str">
        <f>IFERROR(INDEX(印刷用データ!$AJ$3:$AJ$62,MATCH(SMALL(印刷用データ!$AM$3:$AM$62,46),印刷用データ!$AM$3:$AM$62,0)),"")</f>
        <v/>
      </c>
      <c r="Q50" s="36" t="str">
        <f t="shared" si="0"/>
        <v/>
      </c>
      <c r="R50" s="37" t="str">
        <f>IFERROR(INDEX(印刷用データ!$AL$3:$AL$62,MATCH(SMALL(印刷用データ!$AM$3:$AM$62,46),印刷用データ!$AM$3:$AM$62,0)),"")</f>
        <v/>
      </c>
    </row>
    <row r="51" spans="2:27" ht="21" customHeight="1" x14ac:dyDescent="0.15"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38" t="str">
        <f>IFERROR(IF(SMALL(印刷用データ!$AM$3:$AM$62,47)&gt;0,47,""),"")</f>
        <v/>
      </c>
      <c r="N51" s="34" t="str">
        <f>IFERROR(INDEX(印刷用データ!$AG$3:$AG$62,MATCH(SMALL(印刷用データ!$AM$3:$AM$62,47),印刷用データ!$AM$3:$AM$62,0)),"")</f>
        <v/>
      </c>
      <c r="O51" s="34" t="str">
        <f>IFERROR(INDEX(印刷用データ!$AK$3:$AK$62,MATCH(SMALL(印刷用データ!$AM$3:$AM$62,47),印刷用データ!$AM$3:$AM$62,0)),"")</f>
        <v/>
      </c>
      <c r="P51" s="35" t="str">
        <f>IFERROR(INDEX(印刷用データ!$AJ$3:$AJ$62,MATCH(SMALL(印刷用データ!$AM$3:$AM$62,47),印刷用データ!$AM$3:$AM$62,0)),"")</f>
        <v/>
      </c>
      <c r="Q51" s="36" t="str">
        <f t="shared" si="0"/>
        <v/>
      </c>
      <c r="R51" s="37" t="str">
        <f>IFERROR(INDEX(印刷用データ!$AL$3:$AL$62,MATCH(SMALL(印刷用データ!$AM$3:$AM$62,47),印刷用データ!$AM$3:$AM$62,0)),"")</f>
        <v/>
      </c>
    </row>
    <row r="52" spans="2:27" ht="21" customHeight="1" x14ac:dyDescent="0.15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38" t="str">
        <f>IFERROR(IF(SMALL(印刷用データ!$AM$3:$AM$62,48)&gt;0,48,""),"")</f>
        <v/>
      </c>
      <c r="N52" s="34" t="str">
        <f>IFERROR(INDEX(印刷用データ!$AG$3:$AG$62,MATCH(SMALL(印刷用データ!$AM$3:$AM$62,48),印刷用データ!$AM$3:$AM$62,0)),"")</f>
        <v/>
      </c>
      <c r="O52" s="34" t="str">
        <f>IFERROR(INDEX(印刷用データ!$AK$3:$AK$62,MATCH(SMALL(印刷用データ!$AM$3:$AM$62,48),印刷用データ!$AM$3:$AM$62,0)),"")</f>
        <v/>
      </c>
      <c r="P52" s="35" t="str">
        <f>IFERROR(INDEX(印刷用データ!$AJ$3:$AJ$62,MATCH(SMALL(印刷用データ!$AM$3:$AM$62,48),印刷用データ!$AM$3:$AM$62,0)),"")</f>
        <v/>
      </c>
      <c r="Q52" s="36" t="str">
        <f t="shared" si="0"/>
        <v/>
      </c>
      <c r="R52" s="37" t="str">
        <f>IFERROR(INDEX(印刷用データ!$AL$3:$AL$62,MATCH(SMALL(印刷用データ!$AM$3:$AM$62,48),印刷用データ!$AM$3:$AM$62,0)),"")</f>
        <v/>
      </c>
    </row>
    <row r="53" spans="2:27" ht="21" customHeight="1" x14ac:dyDescent="0.15"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38" t="str">
        <f>IFERROR(IF(SMALL(印刷用データ!$AM$3:$AM$62,49)&gt;0,49,""),"")</f>
        <v/>
      </c>
      <c r="N53" s="34" t="str">
        <f>IFERROR(INDEX(印刷用データ!$AG$3:$AG$62,MATCH(SMALL(印刷用データ!$AM$3:$AM$62,49),印刷用データ!$AM$3:$AM$62,0)),"")</f>
        <v/>
      </c>
      <c r="O53" s="34" t="str">
        <f>IFERROR(INDEX(印刷用データ!$AK$3:$AK$62,MATCH(SMALL(印刷用データ!$AM$3:$AM$62,49),印刷用データ!$AM$3:$AM$62,0)),"")</f>
        <v/>
      </c>
      <c r="P53" s="35" t="str">
        <f>IFERROR(INDEX(印刷用データ!$AJ$3:$AJ$62,MATCH(SMALL(印刷用データ!$AM$3:$AM$62,49),印刷用データ!$AM$3:$AM$62,0)),"")</f>
        <v/>
      </c>
      <c r="Q53" s="36" t="str">
        <f t="shared" si="0"/>
        <v/>
      </c>
      <c r="R53" s="37" t="str">
        <f>IFERROR(INDEX(印刷用データ!$AL$3:$AL$62,MATCH(SMALL(印刷用データ!$AM$3:$AM$62,49),印刷用データ!$AM$3:$AM$62,0)),"")</f>
        <v/>
      </c>
    </row>
    <row r="54" spans="2:27" ht="21" customHeight="1" x14ac:dyDescent="0.15"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38" t="str">
        <f>IFERROR(IF(SMALL(印刷用データ!$AM$3:$AM$62,50)&gt;0,50,""),"")</f>
        <v/>
      </c>
      <c r="N54" s="34" t="str">
        <f>IFERROR(INDEX(印刷用データ!$AG$3:$AG$62,MATCH(SMALL(印刷用データ!$AM$3:$AM$62,50),印刷用データ!$AM$3:$AM$62,0)),"")</f>
        <v/>
      </c>
      <c r="O54" s="34" t="str">
        <f>IFERROR(INDEX(印刷用データ!$AK$3:$AK$62,MATCH(SMALL(印刷用データ!$AM$3:$AM$62,50),印刷用データ!$AM$3:$AM$62,0)),"")</f>
        <v/>
      </c>
      <c r="P54" s="35" t="str">
        <f>IFERROR(INDEX(印刷用データ!$AJ$3:$AJ$62,MATCH(SMALL(印刷用データ!$AM$3:$AM$62,50),印刷用データ!$AM$3:$AM$62,0)),"")</f>
        <v/>
      </c>
      <c r="Q54" s="36" t="str">
        <f t="shared" si="0"/>
        <v/>
      </c>
      <c r="R54" s="37" t="str">
        <f>IFERROR(INDEX(印刷用データ!$AL$3:$AL$62,MATCH(SMALL(印刷用データ!$AM$3:$AM$62,50),印刷用データ!$AM$3:$AM$62,0)),"")</f>
        <v/>
      </c>
    </row>
    <row r="55" spans="2:27" ht="6" customHeight="1" x14ac:dyDescent="0.15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</row>
    <row r="56" spans="2:27" ht="20.100000000000001" customHeight="1" x14ac:dyDescent="0.15"/>
    <row r="57" spans="2:27" ht="20.100000000000001" customHeight="1" x14ac:dyDescent="0.15"/>
    <row r="58" spans="2:27" ht="20.100000000000001" customHeight="1" x14ac:dyDescent="0.15"/>
    <row r="59" spans="2:27" ht="20.100000000000001" customHeight="1" x14ac:dyDescent="0.15"/>
    <row r="60" spans="2:27" ht="20.100000000000001" customHeight="1" x14ac:dyDescent="0.15"/>
    <row r="61" spans="2:27" ht="15.95" customHeight="1" x14ac:dyDescent="0.35">
      <c r="B61" s="85" t="s">
        <v>123</v>
      </c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</row>
    <row r="62" spans="2:27" ht="15.95" customHeight="1" x14ac:dyDescent="0.35">
      <c r="B62" s="85" t="str">
        <f>"※ ①③④ は実績のある全員 "&amp;COUNT(印刷用データ!AS3:AS62)&amp;" 名。② は改善優先の上位 "&amp;MIN(20,COUNT(印刷用データ!$AS$3:$AS$62))&amp;" 名です（全員の順位は④の表）。「工程」が PKのみ／梱包のみ の人は、その工程だけの標準時間 ÷ 実測時間です。③ でもう一方の実績が無い "&amp;(COUNT(印刷用データ!AS3:AS62)-COUNT(印刷用データ!N3:N62))&amp;" 名は、下の帯に灰色の三角で並べています。出典: 2026年4月 実績。"&amp;IF(SUM(印刷用データ!BD3:BD62)&gt;0,"　【要確認】③ は縦横とも 10〜190% の範囲で描いています。範囲外のため図に出ていない人が "&amp;SUM(印刷用データ!BD3:BD62)&amp;" 名います。","")</f>
        <v>※ ①③④ は実績のある全員 29 名。② は改善優先の上位 20 名です（全員の順位は④の表）。「工程」が PKのみ／梱包のみ の人は、その工程だけの標準時間 ÷ 実測時間です。③ でもう一方の実績が無い 10 名は、下の帯に灰色の三角で並べています。出典: 2026年4月 実績。</v>
      </c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</row>
    <row r="63" spans="2:27" ht="15.95" customHeight="1" x14ac:dyDescent="0.35">
      <c r="B63" s="85" t="str">
        <f>"■ 会社目標（工程ごと 1.6分/件）に対する達成率は ピッキング "&amp;TEXT(印刷用データ!$BL$6,"0.0")&amp;"％・梱包 "&amp;TEXT(印刷用データ!$BL$13,"0.0")&amp;"％。ピッキングは1社あたり "&amp;TEXT(印刷用データ!$BL$7,"0.00")&amp;" 件のため段取りだけで "&amp;TEXT(印刷用データ!$BL$8,"0.0")&amp;" 秒/件かかり、1.6分に収めるには1社あたり "&amp;TEXT(印刷用データ!$BL$9,"0.00")&amp;" 件が必要です。"</f>
        <v>■ 会社目標（工程ごと 1.6分/件）に対する達成率は ピッキング 83.4％・梱包 99.9％。ピッキングは1社あたり 2.33 件のため段取りだけで 24.0 秒/件かかり、1.6分に収めるには1社あたり 2.75 件が必要です。</v>
      </c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</row>
  </sheetData>
  <mergeCells count="9">
    <mergeCell ref="B63:AA63"/>
    <mergeCell ref="B3:K3"/>
    <mergeCell ref="M3:R3"/>
    <mergeCell ref="B62:AA62"/>
    <mergeCell ref="T17:AA17"/>
    <mergeCell ref="T1:AA1"/>
    <mergeCell ref="B1:R1"/>
    <mergeCell ref="T3:AA3"/>
    <mergeCell ref="B61:AA61"/>
  </mergeCells>
  <phoneticPr fontId="34"/>
  <conditionalFormatting sqref="M5:M54">
    <cfRule type="expression" dxfId="7" priority="1" stopIfTrue="1">
      <formula>$M5=""</formula>
    </cfRule>
  </conditionalFormatting>
  <conditionalFormatting sqref="M5:M54">
    <cfRule type="expression" dxfId="6" priority="2">
      <formula>AND($M5&lt;&gt;"",$M5&gt;4,$P5&lt;100)</formula>
    </cfRule>
  </conditionalFormatting>
  <printOptions horizontalCentered="1"/>
  <pageMargins left="0.3" right="0.3" top="0.3" bottom="0.3" header="0" footer="0"/>
  <pageSetup paperSize="8" orientation="landscape" fitToWidth="1" fitToHeight="2" horizontalDpi="600" verticalDpi="600"/>
  <rowBreaks count="1" manualBreakCount="1">
    <brk id="36" max="16383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124</v>
      </c>
    </row>
    <row r="3" spans="1:12" x14ac:dyDescent="0.15">
      <c r="B3" s="3" t="s">
        <v>125</v>
      </c>
    </row>
    <row r="4" spans="1:12" x14ac:dyDescent="0.15">
      <c r="B4" s="3" t="s">
        <v>126</v>
      </c>
    </row>
    <row r="6" spans="1:12" x14ac:dyDescent="0.15">
      <c r="B6" s="7" t="s">
        <v>127</v>
      </c>
    </row>
    <row r="8" spans="1:12" x14ac:dyDescent="0.15">
      <c r="C8" s="89" t="s">
        <v>84</v>
      </c>
      <c r="D8" s="77"/>
      <c r="E8" s="77"/>
      <c r="F8" s="77"/>
      <c r="G8" s="90" t="s">
        <v>85</v>
      </c>
      <c r="H8" s="77"/>
      <c r="I8" s="77"/>
      <c r="J8" s="77"/>
    </row>
    <row r="9" spans="1:12" ht="32.1" customHeight="1" x14ac:dyDescent="0.15">
      <c r="A9" s="20" t="s">
        <v>128</v>
      </c>
      <c r="B9" s="20" t="s">
        <v>129</v>
      </c>
      <c r="C9" s="20" t="s">
        <v>130</v>
      </c>
      <c r="D9" s="20" t="s">
        <v>131</v>
      </c>
      <c r="E9" s="20" t="s">
        <v>132</v>
      </c>
      <c r="F9" s="20" t="s">
        <v>133</v>
      </c>
      <c r="G9" s="20" t="s">
        <v>130</v>
      </c>
      <c r="H9" s="20" t="s">
        <v>131</v>
      </c>
      <c r="I9" s="20" t="s">
        <v>132</v>
      </c>
      <c r="J9" s="20" t="s">
        <v>133</v>
      </c>
      <c r="L9" s="9" t="s">
        <v>134</v>
      </c>
    </row>
    <row r="10" spans="1:12" x14ac:dyDescent="0.15">
      <c r="A10" s="41">
        <f>IF(B10="","",COUNTA($B$10:B10))</f>
        <v>1</v>
      </c>
      <c r="B10" s="42" t="s">
        <v>135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136</v>
      </c>
    </row>
    <row r="11" spans="1:12" x14ac:dyDescent="0.15">
      <c r="A11" s="41">
        <f>IF(B11="","",COUNTA($B$10:B11))</f>
        <v>2</v>
      </c>
      <c r="B11" s="42" t="s">
        <v>137</v>
      </c>
      <c r="C11" s="43">
        <v>790</v>
      </c>
      <c r="D11" s="43">
        <v>1245</v>
      </c>
      <c r="E11" s="43">
        <v>475</v>
      </c>
      <c r="F11" s="43">
        <v>11</v>
      </c>
      <c r="G11" s="43">
        <v>634</v>
      </c>
      <c r="H11" s="43">
        <v>1530</v>
      </c>
      <c r="I11" s="43">
        <v>249</v>
      </c>
      <c r="J11" s="43">
        <v>10</v>
      </c>
      <c r="L11" s="3" t="s">
        <v>138</v>
      </c>
    </row>
    <row r="12" spans="1:12" x14ac:dyDescent="0.15">
      <c r="A12" s="41">
        <f>IF(B12="","",COUNTA($B$10:B12))</f>
        <v>3</v>
      </c>
      <c r="B12" s="42" t="s">
        <v>139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140</v>
      </c>
    </row>
    <row r="13" spans="1:12" x14ac:dyDescent="0.15">
      <c r="A13" s="41">
        <f>IF(B13="","",COUNTA($B$10:B13))</f>
        <v>4</v>
      </c>
      <c r="B13" s="42" t="s">
        <v>141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142</v>
      </c>
    </row>
    <row r="14" spans="1:12" x14ac:dyDescent="0.15">
      <c r="A14" s="41">
        <f>IF(B14="","",COUNTA($B$10:B14))</f>
        <v>5</v>
      </c>
      <c r="B14" s="42" t="s">
        <v>143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144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145</v>
      </c>
    </row>
    <row r="16" spans="1:12" x14ac:dyDescent="0.15">
      <c r="A16" s="41">
        <f>IF(B16="","",COUNTA($B$10:B16))</f>
        <v>7</v>
      </c>
      <c r="B16" s="42" t="s">
        <v>146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147</v>
      </c>
    </row>
    <row r="17" spans="1:12" x14ac:dyDescent="0.15">
      <c r="A17" s="41">
        <f>IF(B17="","",COUNTA($B$10:B17))</f>
        <v>8</v>
      </c>
      <c r="B17" s="42" t="s">
        <v>148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149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150</v>
      </c>
    </row>
    <row r="19" spans="1:12" x14ac:dyDescent="0.15">
      <c r="A19" s="41">
        <f>IF(B19="","",COUNTA($B$10:B19))</f>
        <v>10</v>
      </c>
      <c r="B19" s="42" t="s">
        <v>151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152</v>
      </c>
    </row>
    <row r="20" spans="1:12" x14ac:dyDescent="0.15">
      <c r="A20" s="41">
        <f>IF(B20="","",COUNTA($B$10:B20))</f>
        <v>11</v>
      </c>
      <c r="B20" s="42" t="s">
        <v>153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154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155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156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157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158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159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160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161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162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163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164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165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166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167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168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169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170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171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66"/>
  <sheetViews>
    <sheetView showGridLines="0" workbookViewId="0">
      <pane xSplit="2" ySplit="6" topLeftCell="C13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2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44" t="s">
        <v>172</v>
      </c>
      <c r="S2" s="9" t="s">
        <v>173</v>
      </c>
    </row>
    <row r="3" spans="1:21" ht="14.25" x14ac:dyDescent="0.15">
      <c r="B3" s="3" t="s">
        <v>174</v>
      </c>
      <c r="S3" s="45" t="s">
        <v>102</v>
      </c>
      <c r="T3" s="46">
        <f>IFERROR(SUM(U7:U66)/SUMIF(I7:I66,"&gt;0",C7:C66),"")</f>
        <v>103.50535792805509</v>
      </c>
    </row>
    <row r="4" spans="1:21" x14ac:dyDescent="0.15">
      <c r="B4" s="3" t="s">
        <v>175</v>
      </c>
      <c r="S4" s="47" t="s">
        <v>176</v>
      </c>
      <c r="T4" s="21"/>
    </row>
    <row r="5" spans="1:21" x14ac:dyDescent="0.15">
      <c r="B5" s="7" t="s">
        <v>127</v>
      </c>
      <c r="S5" s="47" t="s">
        <v>87</v>
      </c>
      <c r="T5" s="26">
        <f>COUNT(L7:L66)</f>
        <v>29</v>
      </c>
    </row>
    <row r="6" spans="1:21" ht="36" customHeight="1" x14ac:dyDescent="0.15">
      <c r="A6" s="20" t="s">
        <v>3</v>
      </c>
      <c r="B6" s="20" t="s">
        <v>129</v>
      </c>
      <c r="C6" s="20" t="s">
        <v>130</v>
      </c>
      <c r="D6" s="20" t="s">
        <v>131</v>
      </c>
      <c r="E6" s="20" t="s">
        <v>132</v>
      </c>
      <c r="F6" s="20" t="s">
        <v>177</v>
      </c>
      <c r="G6" s="20" t="s">
        <v>178</v>
      </c>
      <c r="H6" s="20" t="s">
        <v>179</v>
      </c>
      <c r="I6" s="20" t="s">
        <v>180</v>
      </c>
      <c r="J6" s="20" t="s">
        <v>181</v>
      </c>
      <c r="K6" s="20" t="s">
        <v>182</v>
      </c>
      <c r="L6" s="20" t="s">
        <v>183</v>
      </c>
      <c r="M6" s="20" t="s">
        <v>184</v>
      </c>
      <c r="N6" s="20" t="s">
        <v>185</v>
      </c>
      <c r="O6" s="20" t="s">
        <v>186</v>
      </c>
      <c r="P6" s="20" t="s">
        <v>187</v>
      </c>
      <c r="Q6" s="20" t="s">
        <v>188</v>
      </c>
      <c r="S6" s="47" t="s">
        <v>104</v>
      </c>
      <c r="T6" s="26">
        <f>COUNTIF(O7:O66,"◎上位")</f>
        <v>3</v>
      </c>
    </row>
    <row r="7" spans="1:21" x14ac:dyDescent="0.15">
      <c r="A7" s="48">
        <f t="shared" ref="A7:A38" si="0">IF(L7="","",RANK(L7,$L$7:$L$66,0))</f>
        <v>1</v>
      </c>
      <c r="B7" s="21" t="str">
        <f>IF(入力!$B$10="","",入力!$B$10)</f>
        <v>本吉有美子</v>
      </c>
      <c r="C7" s="26">
        <f>IF(AND(入力!$B$10&lt;&gt;"",ISNUMBER(入力!$C$10),ISNUMBER(入力!$D$10),入力!$C$10&gt;0,入力!$D$10&gt;0),入力!$C$10,"")</f>
        <v>1454</v>
      </c>
      <c r="D7" s="26">
        <f>IF(AND(入力!$B$10&lt;&gt;"",ISNUMBER(入力!$C$10),ISNUMBER(入力!$D$10),入力!$C$10&gt;0,入力!$D$10&gt;0),入力!$D$10,"")</f>
        <v>2028</v>
      </c>
      <c r="E7" s="26">
        <f>IF(AND(AND(入力!$B$10&lt;&gt;"",ISNUMBER(入力!$C$10),ISNUMBER(入力!$D$10),入力!$C$10&gt;0,入力!$D$10&gt;0),ISNUMBER(入力!$E$10),入力!$E$10&gt;0),入力!$E$10,"")</f>
        <v>611</v>
      </c>
      <c r="F7" s="27">
        <f t="shared" ref="F7:F38" si="1">IF(C7="","",IF(E7="","",C7/E7))</f>
        <v>2.3797054009819969</v>
      </c>
      <c r="G7" s="22">
        <f t="shared" ref="G7:G38" si="2">IF(C7="","",D7*60/C7)</f>
        <v>83.686382393397523</v>
      </c>
      <c r="H7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937.88499999999999</v>
      </c>
      <c r="I7" s="26">
        <f>IF(AND(入力!$B$10&lt;&gt;"",ISNUMBER(入力!$C$10),ISNUMBER(入力!$D$10),入力!$C$10&gt;0,入力!$D$10&gt;0),H7+設定!$E$7*C7/60,"")</f>
        <v>2769.9250000000002</v>
      </c>
      <c r="J7" s="49">
        <f t="shared" ref="J7:J38" si="3">IF(I7="","",H7/I7)</f>
        <v>0.33859581035587605</v>
      </c>
      <c r="K7" s="22">
        <f t="shared" ref="K7:K38" si="4">IF(I7="","",I7/D7*100)</f>
        <v>136.58407297830374</v>
      </c>
      <c r="L7" s="22">
        <f>IF(K7="","",IF(AND(K7&lt;&gt;"",ISNUMBER(入力!$F$10),入力!$F$10&gt;0),$T$3+(設定!$D$14/(設定!$D$14+設定!$D$15/入力!$F$10))*(K7-$T$3),K7))</f>
        <v>127.28974526492047</v>
      </c>
      <c r="M7" s="22">
        <f>IF(AND(K7&lt;&gt;"",ISNUMBER(入力!$F$10),入力!$F$10&gt;0),L7-設定!$C$21*SQRT((設定!$D$14/(設定!$D$14+設定!$D$15/入力!$F$10))*設定!$D$15/入力!$F$10),"")</f>
        <v>112.05234234092869</v>
      </c>
      <c r="N7" s="22">
        <f>IF(AND(K7&lt;&gt;"",ISNUMBER(入力!$F$10),入力!$F$10&gt;0),L7+設定!$C$21*SQRT((設定!$D$14/(設定!$D$14+設定!$D$15/入力!$F$10))*設定!$D$15/入力!$F$10),"")</f>
        <v>142.52714818891224</v>
      </c>
      <c r="O7" s="50" t="str">
        <f t="shared" ref="O7:O38" si="5">IF(L7="","",IF(M7="","日数未入力",IF(M7&gt;$T$3,"◎上位",IF(N7&lt;$T$3,"△要支援","○標準"))))</f>
        <v>◎上位</v>
      </c>
      <c r="P7" s="22">
        <f t="shared" ref="P7:P38" si="6">IF(C7="","",(D7-H7)*60/C7)</f>
        <v>44.984112792297111</v>
      </c>
      <c r="Q7" s="27">
        <f t="shared" ref="Q7:Q38" si="7">IF(I7="","",I7/C7)</f>
        <v>1.905037826685007</v>
      </c>
      <c r="S7" s="47" t="s">
        <v>106</v>
      </c>
      <c r="T7" s="26">
        <f>COUNTIF(O7:O66,"○標準")</f>
        <v>26</v>
      </c>
      <c r="U7">
        <f t="shared" ref="U7:U38" si="8">IF(K7="",0,K7*C7)</f>
        <v>198593.24211045363</v>
      </c>
    </row>
    <row r="8" spans="1:21" x14ac:dyDescent="0.15">
      <c r="A8" s="48">
        <f t="shared" si="0"/>
        <v>2</v>
      </c>
      <c r="B8" s="21" t="str">
        <f>IF(入力!$B$11="","",入力!$B$11)</f>
        <v>澤田凌</v>
      </c>
      <c r="C8" s="26">
        <f>IF(AND(入力!$B$11&lt;&gt;"",ISNUMBER(入力!$C$11),ISNUMBER(入力!$D$11),入力!$C$11&gt;0,入力!$D$11&gt;0),入力!$C$11,"")</f>
        <v>790</v>
      </c>
      <c r="D8" s="26">
        <f>IF(AND(入力!$B$11&lt;&gt;"",ISNUMBER(入力!$C$11),ISNUMBER(入力!$D$11),入力!$C$11&gt;0,入力!$D$11&gt;0),入力!$D$11,"")</f>
        <v>1245</v>
      </c>
      <c r="E8" s="26">
        <f>IF(AND(AND(入力!$B$11&lt;&gt;"",ISNUMBER(入力!$C$11),ISNUMBER(入力!$D$11),入力!$C$11&gt;0,入力!$D$11&gt;0),ISNUMBER(入力!$E$11),入力!$E$11&gt;0),入力!$E$11,"")</f>
        <v>475</v>
      </c>
      <c r="F8" s="27">
        <f t="shared" si="1"/>
        <v>1.6631578947368422</v>
      </c>
      <c r="G8" s="22">
        <f t="shared" si="2"/>
        <v>94.556962025316452</v>
      </c>
      <c r="H8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729.125</v>
      </c>
      <c r="I8" s="26">
        <f>IF(AND(入力!$B$11&lt;&gt;"",ISNUMBER(入力!$C$11),ISNUMBER(入力!$D$11),入力!$C$11&gt;0,入力!$D$11&gt;0),H8+設定!$E$7*C8/60,"")</f>
        <v>1724.5249999999999</v>
      </c>
      <c r="J8" s="49">
        <f t="shared" si="3"/>
        <v>0.42279758194285388</v>
      </c>
      <c r="K8" s="22">
        <f t="shared" si="4"/>
        <v>138.51606425702809</v>
      </c>
      <c r="L8" s="22">
        <f>IF(K8="","",IF(AND(K8&lt;&gt;"",ISNUMBER(入力!$F$11),入力!$F$11&gt;0),$T$3+(設定!$D$14/(設定!$D$14+設定!$D$15/入力!$F$11))*(K8-$T$3),K8))</f>
        <v>124.86052594253862</v>
      </c>
      <c r="M8" s="22">
        <f>IF(AND(K8&lt;&gt;"",ISNUMBER(入力!$F$11),入力!$F$11&gt;0),L8-設定!$C$21*SQRT((設定!$D$14/(設定!$D$14+設定!$D$15/入力!$F$11))*設定!$D$15/入力!$F$11),"")</f>
        <v>106.90780613442389</v>
      </c>
      <c r="N8" s="22">
        <f>IF(AND(K8&lt;&gt;"",ISNUMBER(入力!$F$11),入力!$F$11&gt;0),L8+設定!$C$21*SQRT((設定!$D$14/(設定!$D$14+設定!$D$15/入力!$F$11))*設定!$D$15/入力!$F$11),"")</f>
        <v>142.81324575065332</v>
      </c>
      <c r="O8" s="50" t="str">
        <f t="shared" si="5"/>
        <v>◎上位</v>
      </c>
      <c r="P8" s="22">
        <f t="shared" si="6"/>
        <v>39.180379746835442</v>
      </c>
      <c r="Q8" s="27">
        <f t="shared" si="7"/>
        <v>2.1829430379746833</v>
      </c>
      <c r="S8" s="47" t="s">
        <v>108</v>
      </c>
      <c r="T8" s="26">
        <f>COUNTIF(O7:O66,"△要支援")</f>
        <v>0</v>
      </c>
      <c r="U8">
        <f t="shared" si="8"/>
        <v>109427.69076305219</v>
      </c>
    </row>
    <row r="9" spans="1:21" x14ac:dyDescent="0.15">
      <c r="A9" s="48">
        <f t="shared" si="0"/>
        <v>3</v>
      </c>
      <c r="B9" s="21" t="str">
        <f>IF(入力!$B$12="","",入力!$B$12)</f>
        <v>大江美記子</v>
      </c>
      <c r="C9" s="26">
        <f>IF(AND(入力!$B$12&lt;&gt;"",ISNUMBER(入力!$C$12),ISNUMBER(入力!$D$12),入力!$C$12&gt;0,入力!$D$12&gt;0),入力!$C$12,"")</f>
        <v>981</v>
      </c>
      <c r="D9" s="26">
        <f>IF(AND(入力!$B$12&lt;&gt;"",ISNUMBER(入力!$C$12),ISNUMBER(入力!$D$12),入力!$C$12&gt;0,入力!$D$12&gt;0),入力!$D$12,"")</f>
        <v>1535</v>
      </c>
      <c r="E9" s="26">
        <f>IF(AND(AND(入力!$B$12&lt;&gt;"",ISNUMBER(入力!$C$12),ISNUMBER(入力!$D$12),入力!$C$12&gt;0,入力!$D$12&gt;0),ISNUMBER(入力!$E$12),入力!$E$12&gt;0),入力!$E$12,"")</f>
        <v>481</v>
      </c>
      <c r="F9" s="27">
        <f t="shared" si="1"/>
        <v>2.0395010395010393</v>
      </c>
      <c r="G9" s="22">
        <f t="shared" si="2"/>
        <v>93.883792048929664</v>
      </c>
      <c r="H9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738.33499999999992</v>
      </c>
      <c r="I9" s="26">
        <f>IF(AND(入力!$B$12&lt;&gt;"",ISNUMBER(入力!$C$12),ISNUMBER(入力!$D$12),入力!$C$12&gt;0,入力!$D$12&gt;0),H9+設定!$E$7*C9/60,"")</f>
        <v>1974.395</v>
      </c>
      <c r="J9" s="49">
        <f t="shared" si="3"/>
        <v>0.37395505965118425</v>
      </c>
      <c r="K9" s="22">
        <f t="shared" si="4"/>
        <v>128.62508143322475</v>
      </c>
      <c r="L9" s="22">
        <f>IF(K9="","",IF(AND(K9&lt;&gt;"",ISNUMBER(入力!$F$12),入力!$F$12&gt;0),$T$3+(設定!$D$14/(設定!$D$14+設定!$D$15/入力!$F$12))*(K9-$T$3),K9))</f>
        <v>120.95420151086539</v>
      </c>
      <c r="M9" s="22">
        <f>IF(AND(K9&lt;&gt;"",ISNUMBER(入力!$F$12),入力!$F$12&gt;0),L9-設定!$C$21*SQRT((設定!$D$14/(設定!$D$14+設定!$D$15/入力!$F$12))*設定!$D$15/入力!$F$12),"")</f>
        <v>105.06904707505451</v>
      </c>
      <c r="N9" s="22">
        <f>IF(AND(K9&lt;&gt;"",ISNUMBER(入力!$F$12),入力!$F$12&gt;0),L9+設定!$C$21*SQRT((設定!$D$14/(設定!$D$14+設定!$D$15/入力!$F$12))*設定!$D$15/入力!$F$12),"")</f>
        <v>136.83935594667628</v>
      </c>
      <c r="O9" s="50" t="str">
        <f t="shared" si="5"/>
        <v>◎上位</v>
      </c>
      <c r="P9" s="22">
        <f t="shared" si="6"/>
        <v>48.725688073394494</v>
      </c>
      <c r="Q9" s="27">
        <f t="shared" si="7"/>
        <v>2.0126350662589196</v>
      </c>
      <c r="S9" s="47"/>
      <c r="T9" s="21"/>
      <c r="U9">
        <f t="shared" si="8"/>
        <v>126181.20488599347</v>
      </c>
    </row>
    <row r="10" spans="1:21" x14ac:dyDescent="0.15">
      <c r="A10" s="48">
        <f t="shared" si="0"/>
        <v>4</v>
      </c>
      <c r="B10" s="21" t="str">
        <f>IF(入力!$B$13="","",入力!$B$13)</f>
        <v>佐藤辰成</v>
      </c>
      <c r="C10" s="26">
        <f>IF(AND(入力!$B$13&lt;&gt;"",ISNUMBER(入力!$C$13),ISNUMBER(入力!$D$13),入力!$C$13&gt;0,入力!$D$13&gt;0),入力!$C$13,"")</f>
        <v>667</v>
      </c>
      <c r="D10" s="26">
        <f>IF(AND(入力!$B$13&lt;&gt;"",ISNUMBER(入力!$C$13),ISNUMBER(入力!$D$13),入力!$C$13&gt;0,入力!$D$13&gt;0),入力!$D$13,"")</f>
        <v>810</v>
      </c>
      <c r="E10" s="26">
        <f>IF(AND(AND(入力!$B$13&lt;&gt;"",ISNUMBER(入力!$C$13),ISNUMBER(入力!$D$13),入力!$C$13&gt;0,入力!$D$13&gt;0),ISNUMBER(入力!$E$13),入力!$E$13&gt;0),入力!$E$13,"")</f>
        <v>148</v>
      </c>
      <c r="F10" s="27">
        <f t="shared" si="1"/>
        <v>4.506756756756757</v>
      </c>
      <c r="G10" s="22">
        <f t="shared" si="2"/>
        <v>72.863568215892059</v>
      </c>
      <c r="H10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227.17999999999998</v>
      </c>
      <c r="I10" s="26">
        <f>IF(AND(入力!$B$13&lt;&gt;"",ISNUMBER(入力!$C$13),ISNUMBER(入力!$D$13),入力!$C$13&gt;0,入力!$D$13&gt;0),H10+設定!$E$7*C10/60,"")</f>
        <v>1067.5999999999999</v>
      </c>
      <c r="J10" s="49">
        <f t="shared" si="3"/>
        <v>0.21279505432746346</v>
      </c>
      <c r="K10" s="22">
        <f t="shared" si="4"/>
        <v>131.80246913580245</v>
      </c>
      <c r="L10" s="22">
        <f>IF(K10="","",IF(AND(K10&lt;&gt;"",ISNUMBER(入力!$F$13),入力!$F$13&gt;0),$T$3+(設定!$D$14/(設定!$D$14+設定!$D$15/入力!$F$13))*(K10-$T$3),K10))</f>
        <v>120.11755394548538</v>
      </c>
      <c r="M10" s="22">
        <f>IF(AND(K10&lt;&gt;"",ISNUMBER(入力!$F$13),入力!$F$13&gt;0),L10-設定!$C$21*SQRT((設定!$D$14/(設定!$D$14+設定!$D$15/入力!$F$13))*設定!$D$15/入力!$F$13),"")</f>
        <v>101.64538006174159</v>
      </c>
      <c r="N10" s="22">
        <f>IF(AND(K10&lt;&gt;"",ISNUMBER(入力!$F$13),入力!$F$13&gt;0),L10+設定!$C$21*SQRT((設定!$D$14/(設定!$D$14+設定!$D$15/入力!$F$13))*設定!$D$15/入力!$F$13),"")</f>
        <v>138.58972782922919</v>
      </c>
      <c r="O10" s="50" t="str">
        <f t="shared" si="5"/>
        <v>○標準</v>
      </c>
      <c r="P10" s="22">
        <f t="shared" si="6"/>
        <v>52.427586206896557</v>
      </c>
      <c r="Q10" s="27">
        <f t="shared" si="7"/>
        <v>1.6005997001499248</v>
      </c>
      <c r="S10" s="47" t="s">
        <v>89</v>
      </c>
      <c r="T10" s="26">
        <f>SUMIF(I7:I66,"&gt;0",C7:C66)</f>
        <v>21249</v>
      </c>
      <c r="U10">
        <f t="shared" si="8"/>
        <v>87912.246913580238</v>
      </c>
    </row>
    <row r="11" spans="1:21" x14ac:dyDescent="0.15">
      <c r="A11" s="48">
        <f t="shared" si="0"/>
        <v>5</v>
      </c>
      <c r="B11" s="21" t="str">
        <f>IF(入力!$B$14="","",入力!$B$14)</f>
        <v>春谷智子</v>
      </c>
      <c r="C11" s="26">
        <f>IF(AND(入力!$B$14&lt;&gt;"",ISNUMBER(入力!$C$14),ISNUMBER(入力!$D$14),入力!$C$14&gt;0,入力!$D$14&gt;0),入力!$C$14,"")</f>
        <v>122</v>
      </c>
      <c r="D11" s="26">
        <f>IF(AND(入力!$B$14&lt;&gt;"",ISNUMBER(入力!$C$14),ISNUMBER(入力!$D$14),入力!$C$14&gt;0,入力!$D$14&gt;0),入力!$D$14,"")</f>
        <v>210</v>
      </c>
      <c r="E11" s="26">
        <f>IF(AND(AND(入力!$B$14&lt;&gt;"",ISNUMBER(入力!$C$14),ISNUMBER(入力!$D$14),入力!$C$14&gt;0,入力!$D$14&gt;0),ISNUMBER(入力!$E$14),入力!$E$14&gt;0),入力!$E$14,"")</f>
        <v>73</v>
      </c>
      <c r="F11" s="27">
        <f t="shared" si="1"/>
        <v>1.6712328767123288</v>
      </c>
      <c r="G11" s="22">
        <f t="shared" si="2"/>
        <v>103.27868852459017</v>
      </c>
      <c r="H11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112.05499999999999</v>
      </c>
      <c r="I11" s="26">
        <f>IF(AND(入力!$B$14&lt;&gt;"",ISNUMBER(入力!$C$14),ISNUMBER(入力!$D$14),入力!$C$14&gt;0,入力!$D$14&gt;0),H11+設定!$E$7*C11/60,"")</f>
        <v>265.77499999999998</v>
      </c>
      <c r="J11" s="49">
        <f t="shared" si="3"/>
        <v>0.42161602859561659</v>
      </c>
      <c r="K11" s="22">
        <f t="shared" si="4"/>
        <v>126.5595238095238</v>
      </c>
      <c r="L11" s="22">
        <f>IF(K11="","",IF(AND(K11&lt;&gt;"",ISNUMBER(入力!$F$14),入力!$F$14&gt;0),$T$3+(設定!$D$14/(設定!$D$14+設定!$D$15/入力!$F$14))*(K11-$T$3),K11))</f>
        <v>111.86290588643365</v>
      </c>
      <c r="M11" s="22">
        <f>IF(AND(K11&lt;&gt;"",ISNUMBER(入力!$F$14),入力!$F$14&gt;0),L11-設定!$C$21*SQRT((設定!$D$14/(設定!$D$14+設定!$D$15/入力!$F$14))*設定!$D$15/入力!$F$14),"")</f>
        <v>88.911448305125262</v>
      </c>
      <c r="N11" s="22">
        <f>IF(AND(K11&lt;&gt;"",ISNUMBER(入力!$F$14),入力!$F$14&gt;0),L11+設定!$C$21*SQRT((設定!$D$14/(設定!$D$14+設定!$D$15/入力!$F$14))*設定!$D$15/入力!$F$14),"")</f>
        <v>134.81436346774203</v>
      </c>
      <c r="O11" s="50" t="str">
        <f t="shared" si="5"/>
        <v>○標準</v>
      </c>
      <c r="P11" s="22">
        <f t="shared" si="6"/>
        <v>48.16967213114755</v>
      </c>
      <c r="Q11" s="27">
        <f t="shared" si="7"/>
        <v>2.1784836065573767</v>
      </c>
      <c r="S11" s="47" t="s">
        <v>91</v>
      </c>
      <c r="T11" s="26">
        <f>SUMIF(I7:I66,"&gt;0",E7:E66)</f>
        <v>9114</v>
      </c>
      <c r="U11">
        <f t="shared" si="8"/>
        <v>15440.261904761903</v>
      </c>
    </row>
    <row r="12" spans="1:21" x14ac:dyDescent="0.15">
      <c r="A12" s="48">
        <f t="shared" si="0"/>
        <v>6</v>
      </c>
      <c r="B12" s="21" t="str">
        <f>IF(入力!$B$15="","",入力!$B$15)</f>
        <v>後藤克行</v>
      </c>
      <c r="C12" s="26">
        <f>IF(AND(入力!$B$15&lt;&gt;"",ISNUMBER(入力!$C$15),ISNUMBER(入力!$D$15),入力!$C$15&gt;0,入力!$D$15&gt;0),入力!$C$15,"")</f>
        <v>2007</v>
      </c>
      <c r="D12" s="26">
        <f>IF(AND(入力!$B$15&lt;&gt;"",ISNUMBER(入力!$C$15),ISNUMBER(入力!$D$15),入力!$C$15&gt;0,入力!$D$15&gt;0),入力!$D$15,"")</f>
        <v>3585</v>
      </c>
      <c r="E12" s="26">
        <f>IF(AND(AND(入力!$B$15&lt;&gt;"",ISNUMBER(入力!$C$15),ISNUMBER(入力!$D$15),入力!$C$15&gt;0,入力!$D$15&gt;0),ISNUMBER(入力!$E$15),入力!$E$15&gt;0),入力!$E$15,"")</f>
        <v>959</v>
      </c>
      <c r="F12" s="27">
        <f t="shared" si="1"/>
        <v>2.0928050052137643</v>
      </c>
      <c r="G12" s="22">
        <f t="shared" si="2"/>
        <v>107.17488789237669</v>
      </c>
      <c r="H12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1472.0649999999998</v>
      </c>
      <c r="I12" s="26">
        <f>IF(AND(入力!$B$15&lt;&gt;"",ISNUMBER(入力!$C$15),ISNUMBER(入力!$D$15),入力!$C$15&gt;0,入力!$D$15&gt;0),H12+設定!$E$7*C12/60,"")</f>
        <v>4000.8849999999993</v>
      </c>
      <c r="J12" s="49">
        <f t="shared" si="3"/>
        <v>0.36793484441567303</v>
      </c>
      <c r="K12" s="22">
        <f t="shared" si="4"/>
        <v>111.60069735006972</v>
      </c>
      <c r="L12" s="22">
        <f>IF(K12="","",IF(AND(K12&lt;&gt;"",ISNUMBER(入力!$F$15),入力!$F$15&gt;0),$T$3+(設定!$D$14/(設定!$D$14+設定!$D$15/入力!$F$15))*(K12-$T$3),K12))</f>
        <v>109.49437773777254</v>
      </c>
      <c r="M12" s="22">
        <f>IF(AND(K12&lt;&gt;"",ISNUMBER(入力!$F$15),入力!$F$15&gt;0),L12-設定!$C$21*SQRT((設定!$D$14/(設定!$D$14+設定!$D$15/入力!$F$15))*設定!$D$15/入力!$F$15),"")</f>
        <v>94.831443694699686</v>
      </c>
      <c r="N12" s="22">
        <f>IF(AND(K12&lt;&gt;"",ISNUMBER(入力!$F$15),入力!$F$15&gt;0),L12+設定!$C$21*SQRT((設定!$D$14/(設定!$D$14+設定!$D$15/入力!$F$15))*設定!$D$15/入力!$F$15),"")</f>
        <v>124.15731178084539</v>
      </c>
      <c r="O12" s="50" t="str">
        <f t="shared" si="5"/>
        <v>○標準</v>
      </c>
      <c r="P12" s="22">
        <f t="shared" si="6"/>
        <v>63.16696562032886</v>
      </c>
      <c r="Q12" s="27">
        <f t="shared" si="7"/>
        <v>1.9934653712007968</v>
      </c>
      <c r="S12" s="47" t="s">
        <v>189</v>
      </c>
      <c r="T12" s="26">
        <f>SUMIF(I7:I66,"&gt;0",D7:D66)</f>
        <v>40783</v>
      </c>
      <c r="U12">
        <f t="shared" si="8"/>
        <v>223982.59958158992</v>
      </c>
    </row>
    <row r="13" spans="1:21" x14ac:dyDescent="0.15">
      <c r="A13" s="48">
        <f t="shared" si="0"/>
        <v>7</v>
      </c>
      <c r="B13" s="21" t="str">
        <f>IF(入力!$B$16="","",入力!$B$16)</f>
        <v>中村美佳</v>
      </c>
      <c r="C13" s="26">
        <f>IF(AND(入力!$B$16&lt;&gt;"",ISNUMBER(入力!$C$16),ISNUMBER(入力!$D$16),入力!$C$16&gt;0,入力!$D$16&gt;0),入力!$C$16,"")</f>
        <v>79</v>
      </c>
      <c r="D13" s="26">
        <f>IF(AND(入力!$B$16&lt;&gt;"",ISNUMBER(入力!$C$16),ISNUMBER(入力!$D$16),入力!$C$16&gt;0,入力!$D$16&gt;0),入力!$D$16,"")</f>
        <v>120</v>
      </c>
      <c r="E13" s="26">
        <f>IF(AND(AND(入力!$B$16&lt;&gt;"",ISNUMBER(入力!$C$16),ISNUMBER(入力!$D$16),入力!$C$16&gt;0,入力!$D$16&gt;0),ISNUMBER(入力!$E$16),入力!$E$16&gt;0),入力!$E$16,"")</f>
        <v>30</v>
      </c>
      <c r="F13" s="27">
        <f t="shared" si="1"/>
        <v>2.6333333333333333</v>
      </c>
      <c r="G13" s="22">
        <f t="shared" si="2"/>
        <v>91.139240506329116</v>
      </c>
      <c r="H13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46.05</v>
      </c>
      <c r="I13" s="26">
        <f>IF(AND(入力!$B$16&lt;&gt;"",ISNUMBER(入力!$C$16),ISNUMBER(入力!$D$16),入力!$C$16&gt;0,入力!$D$16&gt;0),H13+設定!$E$7*C13/60,"")</f>
        <v>145.58999999999997</v>
      </c>
      <c r="J13" s="49">
        <f t="shared" si="3"/>
        <v>0.31629919637337733</v>
      </c>
      <c r="K13" s="22">
        <f t="shared" si="4"/>
        <v>121.32499999999997</v>
      </c>
      <c r="L13" s="22">
        <f>IF(K13="","",IF(AND(K13&lt;&gt;"",ISNUMBER(入力!$F$16),入力!$F$16&gt;0),$T$3+(設定!$D$14/(設定!$D$14+設定!$D$15/入力!$F$16))*(K13-$T$3),K13))</f>
        <v>108.83316918183169</v>
      </c>
      <c r="M13" s="22">
        <f>IF(AND(K13&lt;&gt;"",ISNUMBER(入力!$F$16),入力!$F$16&gt;0),L13-設定!$C$21*SQRT((設定!$D$14/(設定!$D$14+設定!$D$15/入力!$F$16))*設定!$D$15/入力!$F$16),"")</f>
        <v>84.765178471286589</v>
      </c>
      <c r="N13" s="22">
        <f>IF(AND(K13&lt;&gt;"",ISNUMBER(入力!$F$16),入力!$F$16&gt;0),L13+設定!$C$21*SQRT((設定!$D$14/(設定!$D$14+設定!$D$15/入力!$F$16))*設定!$D$15/入力!$F$16),"")</f>
        <v>132.9011598923768</v>
      </c>
      <c r="O13" s="50" t="str">
        <f t="shared" si="5"/>
        <v>○標準</v>
      </c>
      <c r="P13" s="22">
        <f t="shared" si="6"/>
        <v>56.164556962025316</v>
      </c>
      <c r="Q13" s="27">
        <f t="shared" si="7"/>
        <v>1.8429113924050631</v>
      </c>
      <c r="S13" s="47" t="s">
        <v>190</v>
      </c>
      <c r="T13" s="26">
        <f>SUMIF(I7:I66,"&gt;0",H7:H66)</f>
        <v>13989.99</v>
      </c>
      <c r="U13">
        <f t="shared" si="8"/>
        <v>9584.6749999999975</v>
      </c>
    </row>
    <row r="14" spans="1:21" x14ac:dyDescent="0.15">
      <c r="A14" s="48">
        <f t="shared" si="0"/>
        <v>8</v>
      </c>
      <c r="B14" s="21" t="str">
        <f>IF(入力!$B$17="","",入力!$B$17)</f>
        <v>晩田恵美</v>
      </c>
      <c r="C14" s="26">
        <f>IF(AND(入力!$B$17&lt;&gt;"",ISNUMBER(入力!$C$17),ISNUMBER(入力!$D$17),入力!$C$17&gt;0,入力!$D$17&gt;0),入力!$C$17,"")</f>
        <v>877</v>
      </c>
      <c r="D14" s="26">
        <f>IF(AND(入力!$B$17&lt;&gt;"",ISNUMBER(入力!$C$17),ISNUMBER(入力!$D$17),入力!$C$17&gt;0,入力!$D$17&gt;0),入力!$D$17,"")</f>
        <v>1346</v>
      </c>
      <c r="E14" s="26">
        <f>IF(AND(AND(入力!$B$17&lt;&gt;"",ISNUMBER(入力!$C$17),ISNUMBER(入力!$D$17),入力!$C$17&gt;0,入力!$D$17&gt;0),ISNUMBER(入力!$E$17),入力!$E$17&gt;0),入力!$E$17,"")</f>
        <v>231</v>
      </c>
      <c r="F14" s="27">
        <f t="shared" si="1"/>
        <v>3.7965367965367967</v>
      </c>
      <c r="G14" s="22">
        <f t="shared" si="2"/>
        <v>92.086659064994294</v>
      </c>
      <c r="H14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354.58499999999998</v>
      </c>
      <c r="I14" s="26">
        <f>IF(AND(入力!$B$17&lt;&gt;"",ISNUMBER(入力!$C$17),ISNUMBER(入力!$D$17),入力!$C$17&gt;0,入力!$D$17&gt;0),H14+設定!$E$7*C14/60,"")</f>
        <v>1459.605</v>
      </c>
      <c r="J14" s="49">
        <f t="shared" si="3"/>
        <v>0.24293216315372992</v>
      </c>
      <c r="K14" s="22">
        <f t="shared" si="4"/>
        <v>108.44019316493313</v>
      </c>
      <c r="L14" s="22">
        <f>IF(K14="","",IF(AND(K14&lt;&gt;"",ISNUMBER(入力!$F$17),入力!$F$17&gt;0),$T$3+(設定!$D$14/(設定!$D$14+設定!$D$15/入力!$F$17))*(K14-$T$3),K14))</f>
        <v>106.78993993502498</v>
      </c>
      <c r="M14" s="22">
        <f>IF(AND(K14&lt;&gt;"",ISNUMBER(入力!$F$17),入力!$F$17&gt;0),L14-設定!$C$21*SQRT((設定!$D$14/(設定!$D$14+設定!$D$15/入力!$F$17))*設定!$D$15/入力!$F$17),"")</f>
        <v>90.166716447402564</v>
      </c>
      <c r="N14" s="22">
        <f>IF(AND(K14&lt;&gt;"",ISNUMBER(入力!$F$17),入力!$F$17&gt;0),L14+設定!$C$21*SQRT((設定!$D$14/(設定!$D$14+設定!$D$15/入力!$F$17))*設定!$D$15/入力!$F$17),"")</f>
        <v>123.41316342264739</v>
      </c>
      <c r="O14" s="50" t="str">
        <f t="shared" si="5"/>
        <v>○標準</v>
      </c>
      <c r="P14" s="22">
        <f t="shared" si="6"/>
        <v>67.827708095781063</v>
      </c>
      <c r="Q14" s="27">
        <f t="shared" si="7"/>
        <v>1.664315849486887</v>
      </c>
      <c r="S14" s="47" t="s">
        <v>191</v>
      </c>
      <c r="T14" s="26">
        <f>SUM(I7:I66)</f>
        <v>40763.729999999989</v>
      </c>
      <c r="U14">
        <f t="shared" si="8"/>
        <v>95102.049405646365</v>
      </c>
    </row>
    <row r="15" spans="1:21" x14ac:dyDescent="0.15">
      <c r="A15" s="48">
        <f t="shared" si="0"/>
        <v>9</v>
      </c>
      <c r="B15" s="21" t="str">
        <f>IF(入力!$B$18="","",入力!$B$18)</f>
        <v>高橋佐織</v>
      </c>
      <c r="C15" s="26">
        <f>IF(AND(入力!$B$18&lt;&gt;"",ISNUMBER(入力!$C$18),ISNUMBER(入力!$D$18),入力!$C$18&gt;0,入力!$D$18&gt;0),入力!$C$18,"")</f>
        <v>941</v>
      </c>
      <c r="D15" s="26">
        <f>IF(AND(入力!$B$18&lt;&gt;"",ISNUMBER(入力!$C$18),ISNUMBER(入力!$D$18),入力!$C$18&gt;0,入力!$D$18&gt;0),入力!$D$18,"")</f>
        <v>1685</v>
      </c>
      <c r="E15" s="26">
        <f>IF(AND(AND(入力!$B$18&lt;&gt;"",ISNUMBER(入力!$C$18),ISNUMBER(入力!$D$18),入力!$C$18&gt;0,入力!$D$18&gt;0),ISNUMBER(入力!$E$18),入力!$E$18&gt;0),入力!$E$18,"")</f>
        <v>400</v>
      </c>
      <c r="F15" s="27">
        <f t="shared" si="1"/>
        <v>2.3525</v>
      </c>
      <c r="G15" s="22">
        <f t="shared" si="2"/>
        <v>107.43889479277364</v>
      </c>
      <c r="H15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614</v>
      </c>
      <c r="I15" s="26">
        <f>IF(AND(入力!$B$18&lt;&gt;"",ISNUMBER(入力!$C$18),ISNUMBER(入力!$D$18),入力!$C$18&gt;0,入力!$D$18&gt;0),H15+設定!$E$7*C15/60,"")</f>
        <v>1799.6599999999999</v>
      </c>
      <c r="J15" s="49">
        <f t="shared" si="3"/>
        <v>0.3411755553826834</v>
      </c>
      <c r="K15" s="22">
        <f t="shared" si="4"/>
        <v>106.8047477744807</v>
      </c>
      <c r="L15" s="22">
        <f>IF(K15="","",IF(AND(K15&lt;&gt;"",ISNUMBER(入力!$F$18),入力!$F$18&gt;0),$T$3+(設定!$D$14/(設定!$D$14+設定!$D$15/入力!$F$18))*(K15-$T$3),K15))</f>
        <v>105.79720390865057</v>
      </c>
      <c r="M15" s="22">
        <f>IF(AND(K15&lt;&gt;"",ISNUMBER(入力!$F$18),入力!$F$18&gt;0),L15-設定!$C$21*SQRT((設定!$D$14/(設定!$D$14+設定!$D$15/入力!$F$18))*設定!$D$15/入力!$F$18),"")</f>
        <v>89.912049472839698</v>
      </c>
      <c r="N15" s="22">
        <f>IF(AND(K15&lt;&gt;"",ISNUMBER(入力!$F$18),入力!$F$18&gt;0),L15+設定!$C$21*SQRT((設定!$D$14/(設定!$D$14+設定!$D$15/入力!$F$18))*設定!$D$15/入力!$F$18),"")</f>
        <v>121.68235834446145</v>
      </c>
      <c r="O15" s="50" t="str">
        <f t="shared" si="5"/>
        <v>○標準</v>
      </c>
      <c r="P15" s="22">
        <f t="shared" si="6"/>
        <v>68.289054197662068</v>
      </c>
      <c r="Q15" s="27">
        <f t="shared" si="7"/>
        <v>1.9124973432518595</v>
      </c>
      <c r="S15" s="47" t="s">
        <v>50</v>
      </c>
      <c r="T15" s="23">
        <f>IFERROR(T13/T14,"")</f>
        <v>0.34319700380706092</v>
      </c>
      <c r="U15">
        <f t="shared" si="8"/>
        <v>100503.26765578635</v>
      </c>
    </row>
    <row r="16" spans="1:21" x14ac:dyDescent="0.15">
      <c r="A16" s="48">
        <f t="shared" si="0"/>
        <v>10</v>
      </c>
      <c r="B16" s="21" t="str">
        <f>IF(入力!$B$19="","",入力!$B$19)</f>
        <v>山本祥吉</v>
      </c>
      <c r="C16" s="26">
        <f>IF(AND(入力!$B$19&lt;&gt;"",ISNUMBER(入力!$C$19),ISNUMBER(入力!$D$19),入力!$C$19&gt;0,入力!$D$19&gt;0),入力!$C$19,"")</f>
        <v>2129</v>
      </c>
      <c r="D16" s="26">
        <f>IF(AND(入力!$B$19&lt;&gt;"",ISNUMBER(入力!$C$19),ISNUMBER(入力!$D$19),入力!$C$19&gt;0,入力!$D$19&gt;0),入力!$D$19,"")</f>
        <v>3589</v>
      </c>
      <c r="E16" s="26">
        <f>IF(AND(AND(入力!$B$19&lt;&gt;"",ISNUMBER(入力!$C$19),ISNUMBER(入力!$D$19),入力!$C$19&gt;0,入力!$D$19&gt;0),ISNUMBER(入力!$E$19),入力!$E$19&gt;0),入力!$E$19,"")</f>
        <v>736</v>
      </c>
      <c r="F16" s="27">
        <f t="shared" si="1"/>
        <v>2.8926630434782608</v>
      </c>
      <c r="G16" s="22">
        <f t="shared" si="2"/>
        <v>101.14607797087835</v>
      </c>
      <c r="H16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1129.7599999999998</v>
      </c>
      <c r="I16" s="26">
        <f>IF(AND(入力!$B$19&lt;&gt;"",ISNUMBER(入力!$C$19),ISNUMBER(入力!$D$19),入力!$C$19&gt;0,入力!$D$19&gt;0),H16+設定!$E$7*C16/60,"")</f>
        <v>3812.2999999999997</v>
      </c>
      <c r="J16" s="49">
        <f t="shared" si="3"/>
        <v>0.29634603782493502</v>
      </c>
      <c r="K16" s="22">
        <f t="shared" si="4"/>
        <v>106.22178879910837</v>
      </c>
      <c r="L16" s="22">
        <f>IF(K16="","",IF(AND(K16&lt;&gt;"",ISNUMBER(入力!$F$19),入力!$F$19&gt;0),$T$3+(設定!$D$14/(設定!$D$14+設定!$D$15/入力!$F$19))*(K16-$T$3),K16))</f>
        <v>105.51500291640784</v>
      </c>
      <c r="M16" s="22">
        <f>IF(AND(K16&lt;&gt;"",ISNUMBER(入力!$F$19),入力!$F$19&gt;0),L16-設定!$C$21*SQRT((設定!$D$14/(設定!$D$14+設定!$D$15/入力!$F$19))*設定!$D$15/入力!$F$19),"")</f>
        <v>90.852068873334986</v>
      </c>
      <c r="N16" s="22">
        <f>IF(AND(K16&lt;&gt;"",ISNUMBER(入力!$F$19),入力!$F$19&gt;0),L16+設定!$C$21*SQRT((設定!$D$14/(設定!$D$14+設定!$D$15/入力!$F$19))*設定!$D$15/入力!$F$19),"")</f>
        <v>120.17793695948069</v>
      </c>
      <c r="O16" s="50" t="str">
        <f t="shared" si="5"/>
        <v>○標準</v>
      </c>
      <c r="P16" s="22">
        <f t="shared" si="6"/>
        <v>69.306904650070464</v>
      </c>
      <c r="Q16" s="27">
        <f t="shared" si="7"/>
        <v>1.7906528886801314</v>
      </c>
      <c r="S16" s="47" t="s">
        <v>93</v>
      </c>
      <c r="T16" s="27">
        <f>IFERROR(T10/T11,"")</f>
        <v>2.3314680710994073</v>
      </c>
      <c r="U16">
        <f t="shared" si="8"/>
        <v>226146.18835330172</v>
      </c>
    </row>
    <row r="17" spans="1:21" x14ac:dyDescent="0.15">
      <c r="A17" s="48">
        <f t="shared" si="0"/>
        <v>11</v>
      </c>
      <c r="B17" s="21" t="str">
        <f>IF(入力!$B$20="","",入力!$B$20)</f>
        <v>佐々木千恵</v>
      </c>
      <c r="C17" s="26">
        <f>IF(AND(入力!$B$20&lt;&gt;"",ISNUMBER(入力!$C$20),ISNUMBER(入力!$D$20),入力!$C$20&gt;0,入力!$D$20&gt;0),入力!$C$20,"")</f>
        <v>681</v>
      </c>
      <c r="D17" s="26">
        <f>IF(AND(入力!$B$20&lt;&gt;"",ISNUMBER(入力!$C$20),ISNUMBER(入力!$D$20),入力!$C$20&gt;0,入力!$D$20&gt;0),入力!$D$20,"")</f>
        <v>1082</v>
      </c>
      <c r="E17" s="26">
        <f>IF(AND(AND(入力!$B$20&lt;&gt;"",ISNUMBER(入力!$C$20),ISNUMBER(入力!$D$20),入力!$C$20&gt;0,入力!$D$20&gt;0),ISNUMBER(入力!$E$20),入力!$E$20&gt;0),入力!$E$20,"")</f>
        <v>191</v>
      </c>
      <c r="F17" s="27">
        <f t="shared" si="1"/>
        <v>3.5654450261780104</v>
      </c>
      <c r="G17" s="22">
        <f t="shared" si="2"/>
        <v>95.330396475770925</v>
      </c>
      <c r="H17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293.185</v>
      </c>
      <c r="I17" s="26">
        <f>IF(AND(入力!$B$20&lt;&gt;"",ISNUMBER(入力!$C$20),ISNUMBER(入力!$D$20),入力!$C$20&gt;0,入力!$D$20&gt;0),H17+設定!$E$7*C17/60,"")</f>
        <v>1151.2449999999999</v>
      </c>
      <c r="J17" s="49">
        <f t="shared" si="3"/>
        <v>0.2546677727156253</v>
      </c>
      <c r="K17" s="22">
        <f t="shared" si="4"/>
        <v>106.39972273567466</v>
      </c>
      <c r="L17" s="22">
        <f>IF(K17="","",IF(AND(K17&lt;&gt;"",ISNUMBER(入力!$F$20),入力!$F$20&gt;0),$T$3+(設定!$D$14/(設定!$D$14+設定!$D$15/入力!$F$20))*(K17-$T$3),K17))</f>
        <v>105.20453333776844</v>
      </c>
      <c r="M17" s="22">
        <f>IF(AND(K17&lt;&gt;"",ISNUMBER(入力!$F$20),入力!$F$20&gt;0),L17-設定!$C$21*SQRT((設定!$D$14/(設定!$D$14+設定!$D$15/入力!$F$20))*設定!$D$15/入力!$F$20),"")</f>
        <v>86.732359454024646</v>
      </c>
      <c r="N17" s="22">
        <f>IF(AND(K17&lt;&gt;"",ISNUMBER(入力!$F$20),入力!$F$20&gt;0),L17+設定!$C$21*SQRT((設定!$D$14/(設定!$D$14+設定!$D$15/入力!$F$20))*設定!$D$15/入力!$F$20),"")</f>
        <v>123.67670722151223</v>
      </c>
      <c r="O17" s="50" t="str">
        <f t="shared" si="5"/>
        <v>○標準</v>
      </c>
      <c r="P17" s="22">
        <f t="shared" si="6"/>
        <v>69.499118942731286</v>
      </c>
      <c r="Q17" s="27">
        <f t="shared" si="7"/>
        <v>1.6905212922173274</v>
      </c>
      <c r="S17" s="47" t="s">
        <v>100</v>
      </c>
      <c r="T17" s="22">
        <f>IFERROR(T12*60/T10,"")</f>
        <v>115.15741917266695</v>
      </c>
      <c r="U17">
        <f t="shared" si="8"/>
        <v>72458.211182994448</v>
      </c>
    </row>
    <row r="18" spans="1:21" x14ac:dyDescent="0.15">
      <c r="A18" s="48">
        <f t="shared" si="0"/>
        <v>12</v>
      </c>
      <c r="B18" s="21" t="str">
        <f>IF(入力!$B$21="","",入力!$B$21)</f>
        <v>北田倫子</v>
      </c>
      <c r="C18" s="26">
        <f>IF(AND(入力!$B$21&lt;&gt;"",ISNUMBER(入力!$C$21),ISNUMBER(入力!$D$21),入力!$C$21&gt;0,入力!$D$21&gt;0),入力!$C$21,"")</f>
        <v>468</v>
      </c>
      <c r="D18" s="26">
        <f>IF(AND(入力!$B$21&lt;&gt;"",ISNUMBER(入力!$C$21),ISNUMBER(入力!$D$21),入力!$C$21&gt;0,入力!$D$21&gt;0),入力!$D$21,"")</f>
        <v>1001</v>
      </c>
      <c r="E18" s="26">
        <f>IF(AND(AND(入力!$B$21&lt;&gt;"",ISNUMBER(入力!$C$21),ISNUMBER(入力!$D$21),入力!$C$21&gt;0,入力!$D$21&gt;0),ISNUMBER(入力!$E$21),入力!$E$21&gt;0),入力!$E$21,"")</f>
        <v>281</v>
      </c>
      <c r="F18" s="27">
        <f t="shared" si="1"/>
        <v>1.6654804270462633</v>
      </c>
      <c r="G18" s="22">
        <f t="shared" si="2"/>
        <v>128.33333333333334</v>
      </c>
      <c r="H18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431.33499999999998</v>
      </c>
      <c r="I18" s="26">
        <f>IF(AND(入力!$B$21&lt;&gt;"",ISNUMBER(入力!$C$21),ISNUMBER(入力!$D$21),入力!$C$21&gt;0,入力!$D$21&gt;0),H18+設定!$E$7*C18/60,"")</f>
        <v>1021.0149999999999</v>
      </c>
      <c r="J18" s="49">
        <f t="shared" si="3"/>
        <v>0.42245706478357326</v>
      </c>
      <c r="K18" s="22">
        <f t="shared" si="4"/>
        <v>101.99950049950048</v>
      </c>
      <c r="L18" s="22">
        <f>IF(K18="","",IF(AND(K18&lt;&gt;"",ISNUMBER(入力!$F$21),入力!$F$21&gt;0),$T$3+(設定!$D$14/(設定!$D$14+設定!$D$15/入力!$F$21))*(K18-$T$3),K18))</f>
        <v>102.50307274983271</v>
      </c>
      <c r="M18" s="22">
        <f>IF(AND(K18&lt;&gt;"",ISNUMBER(入力!$F$21),入力!$F$21&gt;0),L18-設定!$C$21*SQRT((設定!$D$14/(設定!$D$14+設定!$D$15/入力!$F$21))*設定!$D$15/入力!$F$21),"")</f>
        <v>85.879849262210314</v>
      </c>
      <c r="N18" s="22">
        <f>IF(AND(K18&lt;&gt;"",ISNUMBER(入力!$F$21),入力!$F$21&gt;0),L18+設定!$C$21*SQRT((設定!$D$14/(設定!$D$14+設定!$D$15/入力!$F$21))*設定!$D$15/入力!$F$21),"")</f>
        <v>119.12629623745511</v>
      </c>
      <c r="O18" s="50" t="str">
        <f t="shared" si="5"/>
        <v>○標準</v>
      </c>
      <c r="P18" s="22">
        <f t="shared" si="6"/>
        <v>73.033974358974348</v>
      </c>
      <c r="Q18" s="27">
        <f t="shared" si="7"/>
        <v>2.1816559829059825</v>
      </c>
      <c r="U18">
        <f t="shared" si="8"/>
        <v>47735.766233766226</v>
      </c>
    </row>
    <row r="19" spans="1:21" x14ac:dyDescent="0.15">
      <c r="A19" s="48">
        <f t="shared" si="0"/>
        <v>13</v>
      </c>
      <c r="B19" s="21" t="str">
        <f>IF(入力!$B$22="","",入力!$B$22)</f>
        <v>中納沙織</v>
      </c>
      <c r="C19" s="26">
        <f>IF(AND(入力!$B$22&lt;&gt;"",ISNUMBER(入力!$C$22),ISNUMBER(入力!$D$22),入力!$C$22&gt;0,入力!$D$22&gt;0),入力!$C$22,"")</f>
        <v>1143</v>
      </c>
      <c r="D19" s="26">
        <f>IF(AND(入力!$B$22&lt;&gt;"",ISNUMBER(入力!$C$22),ISNUMBER(入力!$D$22),入力!$C$22&gt;0,入力!$D$22&gt;0),入力!$D$22,"")</f>
        <v>2255</v>
      </c>
      <c r="E19" s="26">
        <f>IF(AND(AND(入力!$B$22&lt;&gt;"",ISNUMBER(入力!$C$22),ISNUMBER(入力!$D$22),入力!$C$22&gt;0,入力!$D$22&gt;0),ISNUMBER(入力!$E$22),入力!$E$22&gt;0),入力!$E$22,"")</f>
        <v>556</v>
      </c>
      <c r="F19" s="27">
        <f t="shared" si="1"/>
        <v>2.0557553956834531</v>
      </c>
      <c r="G19" s="22">
        <f t="shared" si="2"/>
        <v>118.37270341207349</v>
      </c>
      <c r="H19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853.45999999999992</v>
      </c>
      <c r="I19" s="26">
        <f>IF(AND(入力!$B$22&lt;&gt;"",ISNUMBER(入力!$C$22),ISNUMBER(入力!$D$22),入力!$C$22&gt;0,入力!$D$22&gt;0),H19+設定!$E$7*C19/60,"")</f>
        <v>2293.64</v>
      </c>
      <c r="J19" s="49">
        <f t="shared" si="3"/>
        <v>0.3720984984566017</v>
      </c>
      <c r="K19" s="22">
        <f t="shared" si="4"/>
        <v>101.71352549889134</v>
      </c>
      <c r="L19" s="22">
        <f>IF(K19="","",IF(AND(K19&lt;&gt;"",ISNUMBER(入力!$F$22),入力!$F$22&gt;0),$T$3+(設定!$D$14/(設定!$D$14+設定!$D$15/入力!$F$22))*(K19-$T$3),K19))</f>
        <v>102.49958553696862</v>
      </c>
      <c r="M19" s="22">
        <f>IF(AND(K19&lt;&gt;"",ISNUMBER(入力!$F$22),入力!$F$22&gt;0),L19-設定!$C$21*SQRT((設定!$D$14/(設定!$D$14+設定!$D$15/入力!$F$22))*設定!$D$15/入力!$F$22),"")</f>
        <v>83.46008990735919</v>
      </c>
      <c r="N19" s="22">
        <f>IF(AND(K19&lt;&gt;"",ISNUMBER(入力!$F$22),入力!$F$22&gt;0),L19+設定!$C$21*SQRT((設定!$D$14/(設定!$D$14+設定!$D$15/入力!$F$22))*設定!$D$15/入力!$F$22),"")</f>
        <v>121.53908116657806</v>
      </c>
      <c r="O19" s="50" t="str">
        <f t="shared" si="5"/>
        <v>○標準</v>
      </c>
      <c r="P19" s="22">
        <f t="shared" si="6"/>
        <v>73.571653543307079</v>
      </c>
      <c r="Q19" s="27">
        <f t="shared" si="7"/>
        <v>2.0066841644794398</v>
      </c>
      <c r="U19">
        <f t="shared" si="8"/>
        <v>116258.5596452328</v>
      </c>
    </row>
    <row r="20" spans="1:21" x14ac:dyDescent="0.15">
      <c r="A20" s="48">
        <f t="shared" si="0"/>
        <v>14</v>
      </c>
      <c r="B20" s="21" t="str">
        <f>IF(入力!$B$23="","",入力!$B$23)</f>
        <v>石戸谷亜子</v>
      </c>
      <c r="C20" s="26">
        <f>IF(AND(入力!$B$23&lt;&gt;"",ISNUMBER(入力!$C$23),ISNUMBER(入力!$D$23),入力!$C$23&gt;0,入力!$D$23&gt;0),入力!$C$23,"")</f>
        <v>846</v>
      </c>
      <c r="D20" s="26">
        <f>IF(AND(入力!$B$23&lt;&gt;"",ISNUMBER(入力!$C$23),ISNUMBER(入力!$D$23),入力!$C$23&gt;0,入力!$D$23&gt;0),入力!$D$23,"")</f>
        <v>1490</v>
      </c>
      <c r="E20" s="26">
        <f>IF(AND(AND(入力!$B$23&lt;&gt;"",ISNUMBER(入力!$C$23),ISNUMBER(入力!$D$23),入力!$C$23&gt;0,入力!$D$23&gt;0),ISNUMBER(入力!$E$23),入力!$E$23&gt;0),入力!$E$23,"")</f>
        <v>282</v>
      </c>
      <c r="F20" s="27">
        <f t="shared" si="1"/>
        <v>3</v>
      </c>
      <c r="G20" s="22">
        <f t="shared" si="2"/>
        <v>105.67375886524823</v>
      </c>
      <c r="H20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432.86999999999995</v>
      </c>
      <c r="I20" s="26">
        <f>IF(AND(入力!$B$23&lt;&gt;"",ISNUMBER(入力!$C$23),ISNUMBER(入力!$D$23),入力!$C$23&gt;0,入力!$D$23&gt;0),H20+設定!$E$7*C20/60,"")</f>
        <v>1498.83</v>
      </c>
      <c r="J20" s="49">
        <f t="shared" si="3"/>
        <v>0.2888052681091251</v>
      </c>
      <c r="K20" s="22">
        <f t="shared" si="4"/>
        <v>100.59261744966443</v>
      </c>
      <c r="L20" s="22">
        <f>IF(K20="","",IF(AND(K20&lt;&gt;"",ISNUMBER(入力!$F$23),入力!$F$23&gt;0),$T$3+(設定!$D$14/(設定!$D$14+設定!$D$15/入力!$F$23))*(K20-$T$3),K20))</f>
        <v>101.9554031333199</v>
      </c>
      <c r="M20" s="22">
        <f>IF(AND(K20&lt;&gt;"",ISNUMBER(入力!$F$23),入力!$F$23&gt;0),L20-設定!$C$21*SQRT((設定!$D$14/(設定!$D$14+設定!$D$15/入力!$F$23))*設定!$D$15/入力!$F$23),"")</f>
        <v>82.292883820091276</v>
      </c>
      <c r="N20" s="22">
        <f>IF(AND(K20&lt;&gt;"",ISNUMBER(入力!$F$23),入力!$F$23&gt;0),L20+設定!$C$21*SQRT((設定!$D$14/(設定!$D$14+設定!$D$15/入力!$F$23))*設定!$D$15/入力!$F$23),"")</f>
        <v>121.61792244654853</v>
      </c>
      <c r="O20" s="50" t="str">
        <f t="shared" si="5"/>
        <v>○標準</v>
      </c>
      <c r="P20" s="22">
        <f t="shared" si="6"/>
        <v>74.973758865248229</v>
      </c>
      <c r="Q20" s="27">
        <f t="shared" si="7"/>
        <v>1.7716666666666665</v>
      </c>
      <c r="U20">
        <f t="shared" si="8"/>
        <v>85101.35436241611</v>
      </c>
    </row>
    <row r="21" spans="1:21" x14ac:dyDescent="0.15">
      <c r="A21" s="48">
        <f t="shared" si="0"/>
        <v>15</v>
      </c>
      <c r="B21" s="21" t="str">
        <f>IF(入力!$B$24="","",入力!$B$24)</f>
        <v>森田美加</v>
      </c>
      <c r="C21" s="26">
        <f>IF(AND(入力!$B$24&lt;&gt;"",ISNUMBER(入力!$C$24),ISNUMBER(入力!$D$24),入力!$C$24&gt;0,入力!$D$24&gt;0),入力!$C$24,"")</f>
        <v>218</v>
      </c>
      <c r="D21" s="26">
        <f>IF(AND(入力!$B$24&lt;&gt;"",ISNUMBER(入力!$C$24),ISNUMBER(入力!$D$24),入力!$C$24&gt;0,入力!$D$24&gt;0),入力!$D$24,"")</f>
        <v>450</v>
      </c>
      <c r="E21" s="26">
        <f>IF(AND(AND(入力!$B$24&lt;&gt;"",ISNUMBER(入力!$C$24),ISNUMBER(入力!$D$24),入力!$C$24&gt;0,入力!$D$24&gt;0),ISNUMBER(入力!$E$24),入力!$E$24&gt;0),入力!$E$24,"")</f>
        <v>109</v>
      </c>
      <c r="F21" s="27">
        <f t="shared" si="1"/>
        <v>2</v>
      </c>
      <c r="G21" s="22">
        <f t="shared" si="2"/>
        <v>123.85321100917432</v>
      </c>
      <c r="H21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167.315</v>
      </c>
      <c r="I21" s="26">
        <f>IF(AND(入力!$B$24&lt;&gt;"",ISNUMBER(入力!$C$24),ISNUMBER(入力!$D$24),入力!$C$24&gt;0,入力!$D$24&gt;0),H21+設定!$E$7*C21/60,"")</f>
        <v>441.995</v>
      </c>
      <c r="J21" s="49">
        <f t="shared" si="3"/>
        <v>0.37854500616522813</v>
      </c>
      <c r="K21" s="22">
        <f t="shared" si="4"/>
        <v>98.221111111111114</v>
      </c>
      <c r="L21" s="22">
        <f>IF(K21="","",IF(AND(K21&lt;&gt;"",ISNUMBER(入力!$F$24),入力!$F$24&gt;0),$T$3+(設定!$D$14/(設定!$D$14+設定!$D$15/入力!$F$24))*(K21-$T$3),K21))</f>
        <v>101.30979777676158</v>
      </c>
      <c r="M21" s="22">
        <f>IF(AND(K21&lt;&gt;"",ISNUMBER(入力!$F$24),入力!$F$24&gt;0),L21-設定!$C$21*SQRT((設定!$D$14/(設定!$D$14+設定!$D$15/入力!$F$24))*設定!$D$15/入力!$F$24),"")</f>
        <v>79.332633428660046</v>
      </c>
      <c r="N21" s="22">
        <f>IF(AND(K21&lt;&gt;"",ISNUMBER(入力!$F$24),入力!$F$24&gt;0),L21+設定!$C$21*SQRT((設定!$D$14/(設定!$D$14+設定!$D$15/入力!$F$24))*設定!$D$15/入力!$F$24),"")</f>
        <v>123.28696212486312</v>
      </c>
      <c r="O21" s="50" t="str">
        <f t="shared" si="5"/>
        <v>○標準</v>
      </c>
      <c r="P21" s="22">
        <f t="shared" si="6"/>
        <v>77.803211009174305</v>
      </c>
      <c r="Q21" s="27">
        <f t="shared" si="7"/>
        <v>2.0274999999999999</v>
      </c>
      <c r="U21">
        <f t="shared" si="8"/>
        <v>21412.202222222222</v>
      </c>
    </row>
    <row r="22" spans="1:21" x14ac:dyDescent="0.15">
      <c r="A22" s="48">
        <f t="shared" si="0"/>
        <v>16</v>
      </c>
      <c r="B22" s="21" t="str">
        <f>IF(入力!$B$25="","",入力!$B$25)</f>
        <v>河野忠</v>
      </c>
      <c r="C22" s="26">
        <f>IF(AND(入力!$B$25&lt;&gt;"",ISNUMBER(入力!$C$25),ISNUMBER(入力!$D$25),入力!$C$25&gt;0,入力!$D$25&gt;0),入力!$C$25,"")</f>
        <v>280</v>
      </c>
      <c r="D22" s="26">
        <f>IF(AND(入力!$B$25&lt;&gt;"",ISNUMBER(入力!$C$25),ISNUMBER(入力!$D$25),入力!$C$25&gt;0,入力!$D$25&gt;0),入力!$D$25,"")</f>
        <v>552</v>
      </c>
      <c r="E22" s="26">
        <f>IF(AND(AND(入力!$B$25&lt;&gt;"",ISNUMBER(入力!$C$25),ISNUMBER(入力!$D$25),入力!$C$25&gt;0,入力!$D$25&gt;0),ISNUMBER(入力!$E$25),入力!$E$25&gt;0),入力!$E$25,"")</f>
        <v>123</v>
      </c>
      <c r="F22" s="27">
        <f t="shared" si="1"/>
        <v>2.2764227642276422</v>
      </c>
      <c r="G22" s="22">
        <f t="shared" si="2"/>
        <v>118.28571428571429</v>
      </c>
      <c r="H22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188.80499999999998</v>
      </c>
      <c r="I22" s="26">
        <f>IF(AND(入力!$B$25&lt;&gt;"",ISNUMBER(入力!$C$25),ISNUMBER(入力!$D$25),入力!$C$25&gt;0,入力!$D$25&gt;0),H22+設定!$E$7*C22/60,"")</f>
        <v>541.60500000000002</v>
      </c>
      <c r="J22" s="49">
        <f t="shared" si="3"/>
        <v>0.3486027640069792</v>
      </c>
      <c r="K22" s="22">
        <f t="shared" si="4"/>
        <v>98.116847826086968</v>
      </c>
      <c r="L22" s="22">
        <f>IF(K22="","",IF(AND(K22&lt;&gt;"",ISNUMBER(入力!$F$25),入力!$F$25&gt;0),$T$3+(設定!$D$14/(設定!$D$14+設定!$D$15/入力!$F$25))*(K22-$T$3),K22))</f>
        <v>101.02482891621315</v>
      </c>
      <c r="M22" s="22">
        <f>IF(AND(K22&lt;&gt;"",ISNUMBER(入力!$F$25),入力!$F$25&gt;0),L22-設定!$C$21*SQRT((設定!$D$14/(設定!$D$14+設定!$D$15/入力!$F$25))*設定!$D$15/入力!$F$25),"")</f>
        <v>79.907561728169497</v>
      </c>
      <c r="N22" s="22">
        <f>IF(AND(K22&lt;&gt;"",ISNUMBER(入力!$F$25),入力!$F$25&gt;0),L22+設定!$C$21*SQRT((設定!$D$14/(設定!$D$14+設定!$D$15/入力!$F$25))*設定!$D$15/入力!$F$25),"")</f>
        <v>122.14209610425681</v>
      </c>
      <c r="O22" s="50" t="str">
        <f t="shared" si="5"/>
        <v>○標準</v>
      </c>
      <c r="P22" s="22">
        <f t="shared" si="6"/>
        <v>77.827500000000015</v>
      </c>
      <c r="Q22" s="27">
        <f t="shared" si="7"/>
        <v>1.9343035714285715</v>
      </c>
      <c r="U22">
        <f t="shared" si="8"/>
        <v>27472.717391304352</v>
      </c>
    </row>
    <row r="23" spans="1:21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IF(AND(入力!$B$26&lt;&gt;"",ISNUMBER(入力!$C$26),ISNUMBER(入力!$D$26),入力!$C$26&gt;0,入力!$D$26&gt;0),入力!$C$26,"")</f>
        <v>691</v>
      </c>
      <c r="D23" s="26">
        <f>IF(AND(入力!$B$26&lt;&gt;"",ISNUMBER(入力!$C$26),ISNUMBER(入力!$D$26),入力!$C$26&gt;0,入力!$D$26&gt;0),入力!$D$26,"")</f>
        <v>1396</v>
      </c>
      <c r="E23" s="26">
        <f>IF(AND(AND(入力!$B$26&lt;&gt;"",ISNUMBER(入力!$C$26),ISNUMBER(入力!$D$26),入力!$C$26&gt;0,入力!$D$26&gt;0),ISNUMBER(入力!$E$26),入力!$E$26&gt;0),入力!$E$26,"")</f>
        <v>339</v>
      </c>
      <c r="F23" s="27">
        <f t="shared" si="1"/>
        <v>2.0383480825958702</v>
      </c>
      <c r="G23" s="22">
        <f t="shared" si="2"/>
        <v>121.21562952243126</v>
      </c>
      <c r="H23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520.36500000000001</v>
      </c>
      <c r="I23" s="26">
        <f>IF(AND(入力!$B$26&lt;&gt;"",ISNUMBER(入力!$C$26),ISNUMBER(入力!$D$26),入力!$C$26&gt;0,入力!$D$26&gt;0),H23+設定!$E$7*C23/60,"")</f>
        <v>1391.0250000000001</v>
      </c>
      <c r="J23" s="49">
        <f t="shared" si="3"/>
        <v>0.37408745349652234</v>
      </c>
      <c r="K23" s="22">
        <f t="shared" si="4"/>
        <v>99.64362464183381</v>
      </c>
      <c r="L23" s="22">
        <f>IF(K23="","",IF(AND(K23&lt;&gt;"",ISNUMBER(入力!$F$26),入力!$F$26&gt;0),$T$3+(設定!$D$14/(設定!$D$14+設定!$D$15/入力!$F$26))*(K23-$T$3),K23))</f>
        <v>100.82289288993715</v>
      </c>
      <c r="M23" s="22">
        <f>IF(AND(K23&lt;&gt;"",ISNUMBER(入力!$F$26),入力!$F$26&gt;0),L23-設定!$C$21*SQRT((設定!$D$14/(設定!$D$14+設定!$D$15/入力!$F$26))*設定!$D$15/入力!$F$26),"")</f>
        <v>84.937738454126276</v>
      </c>
      <c r="N23" s="22">
        <f>IF(AND(K23&lt;&gt;"",ISNUMBER(入力!$F$26),入力!$F$26&gt;0),L23+設定!$C$21*SQRT((設定!$D$14/(設定!$D$14+設定!$D$15/入力!$F$26))*設定!$D$15/入力!$F$26),"")</f>
        <v>116.70804732574803</v>
      </c>
      <c r="O23" s="50" t="str">
        <f t="shared" si="5"/>
        <v>○標準</v>
      </c>
      <c r="P23" s="22">
        <f t="shared" si="6"/>
        <v>76.031982633863961</v>
      </c>
      <c r="Q23" s="27">
        <f t="shared" si="7"/>
        <v>2.0130607814761219</v>
      </c>
      <c r="U23">
        <f t="shared" si="8"/>
        <v>68853.744627507156</v>
      </c>
    </row>
    <row r="24" spans="1:21" x14ac:dyDescent="0.15">
      <c r="A24" s="48">
        <f t="shared" si="0"/>
        <v>18</v>
      </c>
      <c r="B24" s="21" t="str">
        <f>IF(入力!$B$27="","",入力!$B$27)</f>
        <v>奥野愛海</v>
      </c>
      <c r="C24" s="26">
        <f>IF(AND(入力!$B$27&lt;&gt;"",ISNUMBER(入力!$C$27),ISNUMBER(入力!$D$27),入力!$C$27&gt;0,入力!$D$27&gt;0),入力!$C$27,"")</f>
        <v>416</v>
      </c>
      <c r="D24" s="26">
        <f>IF(AND(入力!$B$27&lt;&gt;"",ISNUMBER(入力!$C$27),ISNUMBER(入力!$D$27),入力!$C$27&gt;0,入力!$D$27&gt;0),入力!$D$27,"")</f>
        <v>925</v>
      </c>
      <c r="E24" s="26">
        <f>IF(AND(AND(入力!$B$27&lt;&gt;"",ISNUMBER(入力!$C$27),ISNUMBER(入力!$D$27),入力!$C$27&gt;0,入力!$D$27&gt;0),ISNUMBER(入力!$E$27),入力!$E$27&gt;0),入力!$E$27,"")</f>
        <v>209</v>
      </c>
      <c r="F24" s="27">
        <f t="shared" si="1"/>
        <v>1.9904306220095693</v>
      </c>
      <c r="G24" s="22">
        <f t="shared" si="2"/>
        <v>133.41346153846155</v>
      </c>
      <c r="H24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320.81499999999994</v>
      </c>
      <c r="I24" s="26">
        <f>IF(AND(入力!$B$27&lt;&gt;"",ISNUMBER(入力!$C$27),ISNUMBER(入力!$D$27),入力!$C$27&gt;0,入力!$D$27&gt;0),H24+設定!$E$7*C24/60,"")</f>
        <v>844.97499999999991</v>
      </c>
      <c r="J24" s="49">
        <f t="shared" si="3"/>
        <v>0.37967395485073518</v>
      </c>
      <c r="K24" s="22">
        <f t="shared" si="4"/>
        <v>91.348648648648634</v>
      </c>
      <c r="L24" s="22">
        <f>IF(K24="","",IF(AND(K24&lt;&gt;"",ISNUMBER(入力!$F$27),入力!$F$27&gt;0),$T$3+(設定!$D$14/(設定!$D$14+設定!$D$15/入力!$F$27))*(K24-$T$3),K24))</f>
        <v>99.87068040500408</v>
      </c>
      <c r="M24" s="22">
        <f>IF(AND(K24&lt;&gt;"",ISNUMBER(入力!$F$27),入力!$F$27&gt;0),L24-設定!$C$21*SQRT((設定!$D$14/(設定!$D$14+設定!$D$15/入力!$F$27))*設定!$D$15/入力!$F$27),"")</f>
        <v>75.802689694458962</v>
      </c>
      <c r="N24" s="22">
        <f>IF(AND(K24&lt;&gt;"",ISNUMBER(入力!$F$27),入力!$F$27&gt;0),L24+設定!$C$21*SQRT((設定!$D$14/(設定!$D$14+設定!$D$15/入力!$F$27))*設定!$D$15/入力!$F$27),"")</f>
        <v>123.9386711155492</v>
      </c>
      <c r="O24" s="50" t="str">
        <f t="shared" si="5"/>
        <v>○標準</v>
      </c>
      <c r="P24" s="22">
        <f t="shared" si="6"/>
        <v>87.142067307692315</v>
      </c>
      <c r="Q24" s="27">
        <f t="shared" si="7"/>
        <v>2.0311899038461538</v>
      </c>
      <c r="U24">
        <f t="shared" si="8"/>
        <v>38001.03783783783</v>
      </c>
    </row>
    <row r="25" spans="1:21" x14ac:dyDescent="0.15">
      <c r="A25" s="48">
        <f t="shared" si="0"/>
        <v>19</v>
      </c>
      <c r="B25" s="21" t="str">
        <f>IF(入力!$B$28="","",入力!$B$28)</f>
        <v>鈴木香織</v>
      </c>
      <c r="C25" s="26">
        <f>IF(AND(入力!$B$28&lt;&gt;"",ISNUMBER(入力!$C$28),ISNUMBER(入力!$D$28),入力!$C$28&gt;0,入力!$D$28&gt;0),入力!$C$28,"")</f>
        <v>231</v>
      </c>
      <c r="D25" s="26">
        <f>IF(AND(入力!$B$28&lt;&gt;"",ISNUMBER(入力!$C$28),ISNUMBER(入力!$D$28),入力!$C$28&gt;0,入力!$D$28&gt;0),入力!$D$28,"")</f>
        <v>505</v>
      </c>
      <c r="E25" s="26">
        <f>IF(AND(AND(入力!$B$28&lt;&gt;"",ISNUMBER(入力!$C$28),ISNUMBER(入力!$D$28),入力!$C$28&gt;0,入力!$D$28&gt;0),ISNUMBER(入力!$E$28),入力!$E$28&gt;0),入力!$E$28,"")</f>
        <v>128</v>
      </c>
      <c r="F25" s="27">
        <f t="shared" si="1"/>
        <v>1.8046875</v>
      </c>
      <c r="G25" s="22">
        <f t="shared" si="2"/>
        <v>131.16883116883116</v>
      </c>
      <c r="H25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196.48</v>
      </c>
      <c r="I25" s="26">
        <f>IF(AND(入力!$B$28&lt;&gt;"",ISNUMBER(入力!$C$28),ISNUMBER(入力!$D$28),入力!$C$28&gt;0,入力!$D$28&gt;0),H25+設定!$E$7*C25/60,"")</f>
        <v>487.53999999999996</v>
      </c>
      <c r="J25" s="49">
        <f t="shared" si="3"/>
        <v>0.4030028305369816</v>
      </c>
      <c r="K25" s="22">
        <f t="shared" si="4"/>
        <v>96.542574257425741</v>
      </c>
      <c r="L25" s="22">
        <f>IF(K25="","",IF(AND(K25&lt;&gt;"",ISNUMBER(入力!$F$28),入力!$F$28&gt;0),$T$3+(設定!$D$14/(設定!$D$14+設定!$D$15/入力!$F$28))*(K25-$T$3),K25))</f>
        <v>99.417763038447092</v>
      </c>
      <c r="M25" s="22">
        <f>IF(AND(K25&lt;&gt;"",ISNUMBER(入力!$F$28),入力!$F$28&gt;0),L25-設定!$C$21*SQRT((設定!$D$14/(設定!$D$14+設定!$D$15/入力!$F$28))*設定!$D$15/入力!$F$28),"")</f>
        <v>80.945589154703299</v>
      </c>
      <c r="N25" s="22">
        <f>IF(AND(K25&lt;&gt;"",ISNUMBER(入力!$F$28),入力!$F$28&gt;0),L25+設定!$C$21*SQRT((設定!$D$14/(設定!$D$14+設定!$D$15/入力!$F$28))*設定!$D$15/入力!$F$28),"")</f>
        <v>117.88993692219088</v>
      </c>
      <c r="O25" s="50" t="str">
        <f t="shared" si="5"/>
        <v>○標準</v>
      </c>
      <c r="P25" s="22">
        <f t="shared" si="6"/>
        <v>80.135064935064918</v>
      </c>
      <c r="Q25" s="27">
        <f t="shared" si="7"/>
        <v>2.1105627705627703</v>
      </c>
      <c r="U25">
        <f t="shared" si="8"/>
        <v>22301.334653465346</v>
      </c>
    </row>
    <row r="26" spans="1:21" x14ac:dyDescent="0.15">
      <c r="A26" s="48">
        <f t="shared" si="0"/>
        <v>20</v>
      </c>
      <c r="B26" s="21" t="str">
        <f>IF(入力!$B$29="","",入力!$B$29)</f>
        <v>向井ひかり</v>
      </c>
      <c r="C26" s="26">
        <f>IF(AND(入力!$B$29&lt;&gt;"",ISNUMBER(入力!$C$29),ISNUMBER(入力!$D$29),入力!$C$29&gt;0,入力!$D$29&gt;0),入力!$C$29,"")</f>
        <v>866</v>
      </c>
      <c r="D26" s="26">
        <f>IF(AND(入力!$B$29&lt;&gt;"",ISNUMBER(入力!$C$29),ISNUMBER(入力!$D$29),入力!$C$29&gt;0,入力!$D$29&gt;0),入力!$D$29,"")</f>
        <v>1876</v>
      </c>
      <c r="E26" s="26">
        <f>IF(AND(AND(入力!$B$29&lt;&gt;"",ISNUMBER(入力!$C$29),ISNUMBER(入力!$D$29),入力!$C$29&gt;0,入力!$D$29&gt;0),ISNUMBER(入力!$E$29),入力!$E$29&gt;0),入力!$E$29,"")</f>
        <v>389</v>
      </c>
      <c r="F26" s="27">
        <f t="shared" si="1"/>
        <v>2.2262210796915167</v>
      </c>
      <c r="G26" s="22">
        <f t="shared" si="2"/>
        <v>129.9769053117783</v>
      </c>
      <c r="H26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597.1149999999999</v>
      </c>
      <c r="I26" s="26">
        <f>IF(AND(入力!$B$29&lt;&gt;"",ISNUMBER(入力!$C$29),ISNUMBER(入力!$D$29),入力!$C$29&gt;0,入力!$D$29&gt;0),H26+設定!$E$7*C26/60,"")</f>
        <v>1688.2750000000001</v>
      </c>
      <c r="J26" s="49">
        <f t="shared" si="3"/>
        <v>0.35368349350668576</v>
      </c>
      <c r="K26" s="22">
        <f t="shared" si="4"/>
        <v>89.993336886993617</v>
      </c>
      <c r="L26" s="22">
        <f>IF(K26="","",IF(AND(K26&lt;&gt;"",ISNUMBER(入力!$F$29),入力!$F$29&gt;0),$T$3+(設定!$D$14/(設定!$D$14+設定!$D$15/入力!$F$29))*(K26-$T$3),K26))</f>
        <v>94.986665946425504</v>
      </c>
      <c r="M26" s="22">
        <f>IF(AND(K26&lt;&gt;"",ISNUMBER(入力!$F$29),入力!$F$29&gt;0),L26-設定!$C$21*SQRT((設定!$D$14/(設定!$D$14+設定!$D$15/入力!$F$29))*設定!$D$15/入力!$F$29),"")</f>
        <v>77.511906197184771</v>
      </c>
      <c r="N26" s="22">
        <f>IF(AND(K26&lt;&gt;"",ISNUMBER(入力!$F$29),入力!$F$29&gt;0),L26+設定!$C$21*SQRT((設定!$D$14/(設定!$D$14+設定!$D$15/入力!$F$29))*設定!$D$15/入力!$F$29),"")</f>
        <v>112.46142569566624</v>
      </c>
      <c r="O26" s="50" t="str">
        <f t="shared" si="5"/>
        <v>○標準</v>
      </c>
      <c r="P26" s="22">
        <f t="shared" si="6"/>
        <v>88.606351039260971</v>
      </c>
      <c r="Q26" s="27">
        <f t="shared" si="7"/>
        <v>1.9495092378752887</v>
      </c>
      <c r="U26">
        <f t="shared" si="8"/>
        <v>77934.229744136479</v>
      </c>
    </row>
    <row r="27" spans="1:21" x14ac:dyDescent="0.15">
      <c r="A27" s="48">
        <f t="shared" si="0"/>
        <v>21</v>
      </c>
      <c r="B27" s="21" t="str">
        <f>IF(入力!$B$30="","",入力!$B$30)</f>
        <v>片岡達也</v>
      </c>
      <c r="C27" s="26">
        <f>IF(AND(入力!$B$30&lt;&gt;"",ISNUMBER(入力!$C$30),ISNUMBER(入力!$D$30),入力!$C$30&gt;0,入力!$D$30&gt;0),入力!$C$30,"")</f>
        <v>66</v>
      </c>
      <c r="D27" s="26">
        <f>IF(AND(入力!$B$30&lt;&gt;"",ISNUMBER(入力!$C$30),ISNUMBER(入力!$D$30),入力!$C$30&gt;0,入力!$D$30&gt;0),入力!$D$30,"")</f>
        <v>202</v>
      </c>
      <c r="E27" s="26">
        <f>IF(AND(AND(入力!$B$30&lt;&gt;"",ISNUMBER(入力!$C$30),ISNUMBER(入力!$D$30),入力!$C$30&gt;0,入力!$D$30&gt;0),ISNUMBER(入力!$E$30),入力!$E$30&gt;0),入力!$E$30,"")</f>
        <v>47</v>
      </c>
      <c r="F27" s="27">
        <f t="shared" si="1"/>
        <v>1.4042553191489362</v>
      </c>
      <c r="G27" s="22">
        <f t="shared" si="2"/>
        <v>183.63636363636363</v>
      </c>
      <c r="H27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72.144999999999996</v>
      </c>
      <c r="I27" s="26">
        <f>IF(AND(入力!$B$30&lt;&gt;"",ISNUMBER(入力!$C$30),ISNUMBER(入力!$D$30),入力!$C$30&gt;0,入力!$D$30&gt;0),H27+設定!$E$7*C27/60,"")</f>
        <v>155.30500000000001</v>
      </c>
      <c r="J27" s="49">
        <f t="shared" si="3"/>
        <v>0.4645375229387334</v>
      </c>
      <c r="K27" s="22">
        <f t="shared" si="4"/>
        <v>76.883663366336634</v>
      </c>
      <c r="L27" s="22">
        <f>IF(K27="","",IF(AND(K27&lt;&gt;"",ISNUMBER(入力!$F$30),入力!$F$30&gt;0),$T$3+(設定!$D$14/(設定!$D$14+設定!$D$15/入力!$F$30))*(K27-$T$3),K27))</f>
        <v>93.854516940062098</v>
      </c>
      <c r="M27" s="22">
        <f>IF(AND(K27&lt;&gt;"",ISNUMBER(入力!$F$30),入力!$F$30&gt;0),L27-設定!$C$21*SQRT((設定!$D$14/(設定!$D$14+設定!$D$15/入力!$F$30))*設定!$D$15/入力!$F$30),"")</f>
        <v>70.903059358753708</v>
      </c>
      <c r="N27" s="22">
        <f>IF(AND(K27&lt;&gt;"",ISNUMBER(入力!$F$30),入力!$F$30&gt;0),L27+設定!$C$21*SQRT((設定!$D$14/(設定!$D$14+設定!$D$15/入力!$F$30))*設定!$D$15/入力!$F$30),"")</f>
        <v>116.80597452137049</v>
      </c>
      <c r="O27" s="50" t="str">
        <f t="shared" si="5"/>
        <v>○標準</v>
      </c>
      <c r="P27" s="22">
        <f t="shared" si="6"/>
        <v>118.05000000000001</v>
      </c>
      <c r="Q27" s="27">
        <f t="shared" si="7"/>
        <v>2.3531060606060605</v>
      </c>
      <c r="U27">
        <f t="shared" si="8"/>
        <v>5074.3217821782182</v>
      </c>
    </row>
    <row r="28" spans="1:21" x14ac:dyDescent="0.15">
      <c r="A28" s="48">
        <f t="shared" si="0"/>
        <v>22</v>
      </c>
      <c r="B28" s="21" t="str">
        <f>IF(入力!$B$31="","",入力!$B$31)</f>
        <v>廣瀬こずえ</v>
      </c>
      <c r="C28" s="26">
        <f>IF(AND(入力!$B$31&lt;&gt;"",ISNUMBER(入力!$C$31),ISNUMBER(入力!$D$31),入力!$C$31&gt;0,入力!$D$31&gt;0),入力!$C$31,"")</f>
        <v>838</v>
      </c>
      <c r="D28" s="26">
        <f>IF(AND(入力!$B$31&lt;&gt;"",ISNUMBER(入力!$C$31),ISNUMBER(入力!$D$31),入力!$C$31&gt;0,入力!$D$31&gt;0),入力!$D$31,"")</f>
        <v>1972</v>
      </c>
      <c r="E28" s="26">
        <f>IF(AND(AND(入力!$B$31&lt;&gt;"",ISNUMBER(入力!$C$31),ISNUMBER(入力!$D$31),入力!$C$31&gt;0,入力!$D$31&gt;0),ISNUMBER(入力!$E$31),入力!$E$31&gt;0),入力!$E$31,"")</f>
        <v>443</v>
      </c>
      <c r="F28" s="27">
        <f t="shared" si="1"/>
        <v>1.8916478555304741</v>
      </c>
      <c r="G28" s="22">
        <f t="shared" si="2"/>
        <v>141.19331742243438</v>
      </c>
      <c r="H28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680.00499999999988</v>
      </c>
      <c r="I28" s="26">
        <f>IF(AND(入力!$B$31&lt;&gt;"",ISNUMBER(入力!$C$31),ISNUMBER(入力!$D$31),入力!$C$31&gt;0,入力!$D$31&gt;0),H28+設定!$E$7*C28/60,"")</f>
        <v>1735.8849999999998</v>
      </c>
      <c r="J28" s="49">
        <f t="shared" si="3"/>
        <v>0.39173389942306086</v>
      </c>
      <c r="K28" s="22">
        <f t="shared" si="4"/>
        <v>88.026622718052721</v>
      </c>
      <c r="L28" s="22">
        <f>IF(K28="","",IF(AND(K28&lt;&gt;"",ISNUMBER(入力!$F$31),入力!$F$31&gt;0),$T$3+(設定!$D$14/(設定!$D$14+設定!$D$15/入力!$F$31))*(K28-$T$3),K28))</f>
        <v>93.74674542156832</v>
      </c>
      <c r="M28" s="22">
        <f>IF(AND(K28&lt;&gt;"",ISNUMBER(入力!$F$31),入力!$F$31&gt;0),L28-設定!$C$21*SQRT((設定!$D$14/(設定!$D$14+設定!$D$15/入力!$F$31))*設定!$D$15/入力!$F$31),"")</f>
        <v>76.271985672327588</v>
      </c>
      <c r="N28" s="22">
        <f>IF(AND(K28&lt;&gt;"",ISNUMBER(入力!$F$31),入力!$F$31&gt;0),L28+設定!$C$21*SQRT((設定!$D$14/(設定!$D$14+設定!$D$15/入力!$F$31))*設定!$D$15/入力!$F$31),"")</f>
        <v>111.22150517080905</v>
      </c>
      <c r="O28" s="50" t="str">
        <f t="shared" si="5"/>
        <v>○標準</v>
      </c>
      <c r="P28" s="22">
        <f t="shared" si="6"/>
        <v>92.505608591885462</v>
      </c>
      <c r="Q28" s="27">
        <f t="shared" si="7"/>
        <v>2.0714618138424816</v>
      </c>
      <c r="U28">
        <f t="shared" si="8"/>
        <v>73766.309837728186</v>
      </c>
    </row>
    <row r="29" spans="1:21" x14ac:dyDescent="0.15">
      <c r="A29" s="48">
        <f t="shared" si="0"/>
        <v>23</v>
      </c>
      <c r="B29" s="21" t="str">
        <f>IF(入力!$B$32="","",入力!$B$32)</f>
        <v>森本久美</v>
      </c>
      <c r="C29" s="26">
        <f>IF(AND(入力!$B$32&lt;&gt;"",ISNUMBER(入力!$C$32),ISNUMBER(入力!$D$32),入力!$C$32&gt;0,入力!$D$32&gt;0),入力!$C$32,"")</f>
        <v>335</v>
      </c>
      <c r="D29" s="26">
        <f>IF(AND(入力!$B$32&lt;&gt;"",ISNUMBER(入力!$C$32),ISNUMBER(入力!$D$32),入力!$C$32&gt;0,入力!$D$32&gt;0),入力!$D$32,"")</f>
        <v>716</v>
      </c>
      <c r="E29" s="26">
        <f>IF(AND(AND(入力!$B$32&lt;&gt;"",ISNUMBER(入力!$C$32),ISNUMBER(入力!$D$32),入力!$C$32&gt;0,入力!$D$32&gt;0),ISNUMBER(入力!$E$32),入力!$E$32&gt;0),入力!$E$32,"")</f>
        <v>107</v>
      </c>
      <c r="F29" s="27">
        <f t="shared" si="1"/>
        <v>3.1308411214953269</v>
      </c>
      <c r="G29" s="22">
        <f t="shared" si="2"/>
        <v>128.23880597014926</v>
      </c>
      <c r="H29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164.24499999999998</v>
      </c>
      <c r="I29" s="26">
        <f>IF(AND(入力!$B$32&lt;&gt;"",ISNUMBER(入力!$C$32),ISNUMBER(入力!$D$32),入力!$C$32&gt;0,入力!$D$32&gt;0),H29+設定!$E$7*C29/60,"")</f>
        <v>586.34499999999991</v>
      </c>
      <c r="J29" s="49">
        <f t="shared" si="3"/>
        <v>0.28011665487042614</v>
      </c>
      <c r="K29" s="22">
        <f t="shared" si="4"/>
        <v>81.891759776536304</v>
      </c>
      <c r="L29" s="22">
        <f>IF(K29="","",IF(AND(K29&lt;&gt;"",ISNUMBER(入力!$F$32),入力!$F$32&gt;0),$T$3+(設定!$D$14/(設定!$D$14+設定!$D$15/入力!$F$32))*(K29-$T$3),K29))</f>
        <v>91.373442052986164</v>
      </c>
      <c r="M29" s="22">
        <f>IF(AND(K29&lt;&gt;"",ISNUMBER(入力!$F$32),入力!$F$32&gt;0),L29-設定!$C$21*SQRT((設定!$D$14/(設定!$D$14+設定!$D$15/入力!$F$32))*設定!$D$15/入力!$F$32),"")</f>
        <v>72.33394642337673</v>
      </c>
      <c r="N29" s="22">
        <f>IF(AND(K29&lt;&gt;"",ISNUMBER(入力!$F$32),入力!$F$32&gt;0),L29+設定!$C$21*SQRT((設定!$D$14/(設定!$D$14+設定!$D$15/入力!$F$32))*設定!$D$15/入力!$F$32),"")</f>
        <v>110.4129376825956</v>
      </c>
      <c r="O29" s="50" t="str">
        <f t="shared" si="5"/>
        <v>○標準</v>
      </c>
      <c r="P29" s="22">
        <f t="shared" si="6"/>
        <v>98.821791044776134</v>
      </c>
      <c r="Q29" s="27">
        <f t="shared" si="7"/>
        <v>1.7502835820895519</v>
      </c>
      <c r="U29">
        <f t="shared" si="8"/>
        <v>27433.739525139663</v>
      </c>
    </row>
    <row r="30" spans="1:21" x14ac:dyDescent="0.15">
      <c r="A30" s="48">
        <f t="shared" si="0"/>
        <v>24</v>
      </c>
      <c r="B30" s="21" t="str">
        <f>IF(入力!$B$33="","",入力!$B$33)</f>
        <v>菊池敬</v>
      </c>
      <c r="C30" s="26">
        <f>IF(AND(入力!$B$33&lt;&gt;"",ISNUMBER(入力!$C$33),ISNUMBER(入力!$D$33),入力!$C$33&gt;0,入力!$D$33&gt;0),入力!$C$33,"")</f>
        <v>422</v>
      </c>
      <c r="D30" s="26">
        <f>IF(AND(入力!$B$33&lt;&gt;"",ISNUMBER(入力!$C$33),ISNUMBER(入力!$D$33),入力!$C$33&gt;0,入力!$D$33&gt;0),入力!$D$33,"")</f>
        <v>950</v>
      </c>
      <c r="E30" s="26">
        <f>IF(AND(AND(入力!$B$33&lt;&gt;"",ISNUMBER(入力!$C$33),ISNUMBER(入力!$D$33),入力!$C$33&gt;0,入力!$D$33&gt;0),ISNUMBER(入力!$E$33),入力!$E$33&gt;0),入力!$E$33,"")</f>
        <v>185</v>
      </c>
      <c r="F30" s="27">
        <f t="shared" si="1"/>
        <v>2.2810810810810809</v>
      </c>
      <c r="G30" s="22">
        <f t="shared" si="2"/>
        <v>135.07109004739337</v>
      </c>
      <c r="H30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283.97500000000002</v>
      </c>
      <c r="I30" s="26">
        <f>IF(AND(入力!$B$33&lt;&gt;"",ISNUMBER(入力!$C$33),ISNUMBER(入力!$D$33),入力!$C$33&gt;0,入力!$D$33&gt;0),H30+設定!$E$7*C30/60,"")</f>
        <v>815.69499999999994</v>
      </c>
      <c r="J30" s="49">
        <f t="shared" si="3"/>
        <v>0.348138703804731</v>
      </c>
      <c r="K30" s="22">
        <f t="shared" si="4"/>
        <v>85.862631578947358</v>
      </c>
      <c r="L30" s="22">
        <f>IF(K30="","",IF(AND(K30&lt;&gt;"",ISNUMBER(入力!$F$33),入力!$F$33&gt;0),$T$3+(設定!$D$14/(設定!$D$14+設定!$D$15/入力!$F$33))*(K30-$T$3),K30))</f>
        <v>91.02607335819954</v>
      </c>
      <c r="M30" s="22">
        <f>IF(AND(K30&lt;&gt;"",ISNUMBER(入力!$F$33),入力!$F$33&gt;0),L30-設定!$C$21*SQRT((設定!$D$14/(設定!$D$14+設定!$D$15/入力!$F$33))*設定!$D$15/入力!$F$33),"")</f>
        <v>75.474903327853724</v>
      </c>
      <c r="N30" s="22">
        <f>IF(AND(K30&lt;&gt;"",ISNUMBER(入力!$F$33),入力!$F$33&gt;0),L30+設定!$C$21*SQRT((設定!$D$14/(設定!$D$14+設定!$D$15/入力!$F$33))*設定!$D$15/入力!$F$33),"")</f>
        <v>106.57724338854536</v>
      </c>
      <c r="O30" s="50" t="str">
        <f t="shared" si="5"/>
        <v>○標準</v>
      </c>
      <c r="P30" s="22">
        <f t="shared" si="6"/>
        <v>94.695497630331758</v>
      </c>
      <c r="Q30" s="27">
        <f t="shared" si="7"/>
        <v>1.9329265402843601</v>
      </c>
      <c r="U30">
        <f t="shared" si="8"/>
        <v>36234.030526315786</v>
      </c>
    </row>
    <row r="31" spans="1:21" x14ac:dyDescent="0.15">
      <c r="A31" s="48">
        <f t="shared" si="0"/>
        <v>25</v>
      </c>
      <c r="B31" s="21" t="str">
        <f>IF(入力!$B$34="","",入力!$B$34)</f>
        <v>高橋正美</v>
      </c>
      <c r="C31" s="26">
        <f>IF(AND(入力!$B$34&lt;&gt;"",ISNUMBER(入力!$C$34),ISNUMBER(入力!$D$34),入力!$C$34&gt;0,入力!$D$34&gt;0),入力!$C$34,"")</f>
        <v>1090</v>
      </c>
      <c r="D31" s="26">
        <f>IF(AND(入力!$B$34&lt;&gt;"",ISNUMBER(入力!$C$34),ISNUMBER(入力!$D$34),入力!$C$34&gt;0,入力!$D$34&gt;0),入力!$D$34,"")</f>
        <v>2510</v>
      </c>
      <c r="E31" s="26">
        <f>IF(AND(AND(入力!$B$34&lt;&gt;"",ISNUMBER(入力!$C$34),ISNUMBER(入力!$D$34),入力!$C$34&gt;0,入力!$D$34&gt;0),ISNUMBER(入力!$E$34),入力!$E$34&gt;0),入力!$E$34,"")</f>
        <v>428</v>
      </c>
      <c r="F31" s="27">
        <f t="shared" si="1"/>
        <v>2.5467289719626169</v>
      </c>
      <c r="G31" s="22">
        <f t="shared" si="2"/>
        <v>138.16513761467891</v>
      </c>
      <c r="H31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656.9799999999999</v>
      </c>
      <c r="I31" s="26">
        <f>IF(AND(入力!$B$34&lt;&gt;"",ISNUMBER(入力!$C$34),ISNUMBER(入力!$D$34),入力!$C$34&gt;0,入力!$D$34&gt;0),H31+設定!$E$7*C31/60,"")</f>
        <v>2030.38</v>
      </c>
      <c r="J31" s="49">
        <f t="shared" si="3"/>
        <v>0.32357489730986311</v>
      </c>
      <c r="K31" s="22">
        <f t="shared" si="4"/>
        <v>80.89163346613546</v>
      </c>
      <c r="L31" s="22">
        <f>IF(K31="","",IF(AND(K31&lt;&gt;"",ISNUMBER(入力!$F$34),入力!$F$34&gt;0),$T$3+(設定!$D$14/(設定!$D$14+設定!$D$15/入力!$F$34))*(K31-$T$3),K31))</f>
        <v>89.248471214873774</v>
      </c>
      <c r="M31" s="22">
        <f>IF(AND(K31&lt;&gt;"",ISNUMBER(入力!$F$34),入力!$F$34&gt;0),L31-設定!$C$21*SQRT((設定!$D$14/(設定!$D$14+設定!$D$15/入力!$F$34))*設定!$D$15/入力!$F$34),"")</f>
        <v>71.773711465633056</v>
      </c>
      <c r="N31" s="22">
        <f>IF(AND(K31&lt;&gt;"",ISNUMBER(入力!$F$34),入力!$F$34&gt;0),L31+設定!$C$21*SQRT((設定!$D$14/(設定!$D$14+設定!$D$15/入力!$F$34))*設定!$D$15/入力!$F$34),"")</f>
        <v>106.72323096411449</v>
      </c>
      <c r="O31" s="50" t="str">
        <f t="shared" si="5"/>
        <v>○標準</v>
      </c>
      <c r="P31" s="22">
        <f t="shared" si="6"/>
        <v>102.00110091743119</v>
      </c>
      <c r="Q31" s="27">
        <f t="shared" si="7"/>
        <v>1.8627339449541285</v>
      </c>
      <c r="U31">
        <f t="shared" si="8"/>
        <v>88171.880478087653</v>
      </c>
    </row>
    <row r="32" spans="1:21" x14ac:dyDescent="0.15">
      <c r="A32" s="48">
        <f t="shared" si="0"/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 t="shared" si="1"/>
        <v>2.1943734015345266</v>
      </c>
      <c r="G32" s="22">
        <f t="shared" si="2"/>
        <v>146.43356643356643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600.18499999999995</v>
      </c>
      <c r="I32" s="26">
        <f>IF(AND(入力!$B$35&lt;&gt;"",ISNUMBER(入力!$C$35),ISNUMBER(入力!$D$35),入力!$C$35&gt;0,入力!$D$35&gt;0),H32+設定!$E$7*C32/60,"")</f>
        <v>1681.2649999999999</v>
      </c>
      <c r="J32" s="49">
        <f t="shared" si="3"/>
        <v>0.3569841756058682</v>
      </c>
      <c r="K32" s="22">
        <f t="shared" si="4"/>
        <v>80.289637058261704</v>
      </c>
      <c r="L32" s="22">
        <f>IF(K32="","",IF(AND(K32&lt;&gt;"",ISNUMBER(入力!$F$35),入力!$F$35&gt;0),$T$3+(設定!$D$14/(設定!$D$14+設定!$D$15/入力!$F$35))*(K32-$T$3),K32))</f>
        <v>88.868940872437221</v>
      </c>
      <c r="M32" s="22">
        <f>IF(AND(K32&lt;&gt;"",ISNUMBER(入力!$F$35),入力!$F$35&gt;0),L32-設定!$C$21*SQRT((設定!$D$14/(設定!$D$14+設定!$D$15/入力!$F$35))*設定!$D$15/入力!$F$35),"")</f>
        <v>71.394181123196489</v>
      </c>
      <c r="N32" s="22">
        <f>IF(AND(K32&lt;&gt;"",ISNUMBER(入力!$F$35),入力!$F$35&gt;0),L32+設定!$C$21*SQRT((設定!$D$14/(設定!$D$14+設定!$D$15/入力!$F$35))*設定!$D$15/入力!$F$35),"")</f>
        <v>106.34370062167795</v>
      </c>
      <c r="O32" s="50" t="str">
        <f t="shared" si="5"/>
        <v>○標準</v>
      </c>
      <c r="P32" s="22">
        <f t="shared" si="6"/>
        <v>104.46258741258742</v>
      </c>
      <c r="Q32" s="27">
        <f t="shared" si="7"/>
        <v>1.9595163170163168</v>
      </c>
      <c r="U32">
        <f t="shared" si="8"/>
        <v>68888.508595988547</v>
      </c>
    </row>
    <row r="33" spans="1:21" x14ac:dyDescent="0.15">
      <c r="A33" s="48">
        <f t="shared" si="0"/>
        <v>27</v>
      </c>
      <c r="B33" s="21" t="str">
        <f>IF(入力!$B$36="","",入力!$B$36)</f>
        <v>上村和恵</v>
      </c>
      <c r="C33" s="26">
        <f>IF(AND(入力!$B$36&lt;&gt;"",ISNUMBER(入力!$C$36),ISNUMBER(入力!$D$36),入力!$C$36&gt;0,入力!$D$36&gt;0),入力!$C$36,"")</f>
        <v>1112</v>
      </c>
      <c r="D33" s="26">
        <f>IF(AND(入力!$B$36&lt;&gt;"",ISNUMBER(入力!$C$36),ISNUMBER(入力!$D$36),入力!$C$36&gt;0,入力!$D$36&gt;0),入力!$D$36,"")</f>
        <v>2665</v>
      </c>
      <c r="E33" s="26">
        <f>IF(AND(AND(入力!$B$36&lt;&gt;"",ISNUMBER(入力!$C$36),ISNUMBER(入力!$D$36),入力!$C$36&gt;0,入力!$D$36&gt;0),ISNUMBER(入力!$E$36),入力!$E$36&gt;0),入力!$E$36,"")</f>
        <v>465</v>
      </c>
      <c r="F33" s="27">
        <f t="shared" si="1"/>
        <v>2.3913978494623658</v>
      </c>
      <c r="G33" s="22">
        <f t="shared" si="2"/>
        <v>143.79496402877697</v>
      </c>
      <c r="H33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713.77499999999998</v>
      </c>
      <c r="I33" s="26">
        <f>IF(AND(入力!$B$36&lt;&gt;"",ISNUMBER(入力!$C$36),ISNUMBER(入力!$D$36),入力!$C$36&gt;0,入力!$D$36&gt;0),H33+設定!$E$7*C33/60,"")</f>
        <v>2114.895</v>
      </c>
      <c r="J33" s="49">
        <f t="shared" si="3"/>
        <v>0.33749902477427957</v>
      </c>
      <c r="K33" s="22">
        <f t="shared" si="4"/>
        <v>79.358161350844284</v>
      </c>
      <c r="L33" s="22">
        <f>IF(K33="","",IF(AND(K33&lt;&gt;"",ISNUMBER(入力!$F$36),入力!$F$36&gt;0),$T$3+(設定!$D$14/(設定!$D$14+設定!$D$15/入力!$F$36))*(K33-$T$3),K33))</f>
        <v>87.836268797835658</v>
      </c>
      <c r="M33" s="22">
        <f>IF(AND(K33&lt;&gt;"",ISNUMBER(入力!$F$36),入力!$F$36&gt;0),L33-設定!$C$21*SQRT((設定!$D$14/(設定!$D$14+設定!$D$15/入力!$F$36))*設定!$D$15/入力!$F$36),"")</f>
        <v>70.803220578403213</v>
      </c>
      <c r="N33" s="22">
        <f>IF(AND(K33&lt;&gt;"",ISNUMBER(入力!$F$36),入力!$F$36&gt;0),L33+設定!$C$21*SQRT((設定!$D$14/(設定!$D$14+設定!$D$15/入力!$F$36))*設定!$D$15/入力!$F$36),"")</f>
        <v>104.8693170172681</v>
      </c>
      <c r="O33" s="50" t="str">
        <f t="shared" si="5"/>
        <v>○標準</v>
      </c>
      <c r="P33" s="22">
        <f t="shared" si="6"/>
        <v>105.28192446043165</v>
      </c>
      <c r="Q33" s="27">
        <f t="shared" si="7"/>
        <v>1.9018839928057554</v>
      </c>
      <c r="U33">
        <f t="shared" si="8"/>
        <v>88246.275422138846</v>
      </c>
    </row>
    <row r="34" spans="1:21" x14ac:dyDescent="0.15">
      <c r="A34" s="48">
        <f t="shared" si="0"/>
        <v>28</v>
      </c>
      <c r="B34" s="21" t="str">
        <f>IF(入力!$B$37="","",入力!$B$37)</f>
        <v>平田学</v>
      </c>
      <c r="C34" s="26">
        <f>IF(AND(入力!$B$37&lt;&gt;"",ISNUMBER(入力!$C$37),ISNUMBER(入力!$D$37),入力!$C$37&gt;0,入力!$D$37&gt;0),入力!$C$37,"")</f>
        <v>370</v>
      </c>
      <c r="D34" s="26">
        <f>IF(AND(入力!$B$37&lt;&gt;"",ISNUMBER(入力!$C$37),ISNUMBER(入力!$D$37),入力!$C$37&gt;0,入力!$D$37&gt;0),入力!$D$37,"")</f>
        <v>1225</v>
      </c>
      <c r="E34" s="26">
        <f>IF(AND(AND(入力!$B$37&lt;&gt;"",ISNUMBER(入力!$C$37),ISNUMBER(入力!$D$37),入力!$C$37&gt;0,入力!$D$37&gt;0),ISNUMBER(入力!$E$37),入力!$E$37&gt;0),入力!$E$37,"")</f>
        <v>148</v>
      </c>
      <c r="F34" s="27">
        <f t="shared" si="1"/>
        <v>2.5</v>
      </c>
      <c r="G34" s="22">
        <f t="shared" si="2"/>
        <v>198.64864864864865</v>
      </c>
      <c r="H34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227.17999999999998</v>
      </c>
      <c r="I34" s="26">
        <f>IF(AND(入力!$B$37&lt;&gt;"",ISNUMBER(入力!$C$37),ISNUMBER(入力!$D$37),入力!$C$37&gt;0,入力!$D$37&gt;0),H34+設定!$E$7*C34/60,"")</f>
        <v>693.37999999999988</v>
      </c>
      <c r="J34" s="49">
        <f t="shared" si="3"/>
        <v>0.32764140875133407</v>
      </c>
      <c r="K34" s="22">
        <f t="shared" si="4"/>
        <v>56.602448979591827</v>
      </c>
      <c r="L34" s="22">
        <f>IF(K34="","",IF(AND(K34&lt;&gt;"",ISNUMBER(入力!$F$37),入力!$F$37&gt;0),$T$3+(設定!$D$14/(設定!$D$14+設定!$D$15/入力!$F$37))*(K34-$T$3),K34))</f>
        <v>86.502213553209813</v>
      </c>
      <c r="M34" s="22">
        <f>IF(AND(K34&lt;&gt;"",ISNUMBER(入力!$F$37),入力!$F$37&gt;0),L34-設定!$C$21*SQRT((設定!$D$14/(設定!$D$14+設定!$D$15/入力!$F$37))*設定!$D$15/入力!$F$37),"")</f>
        <v>63.550755971901424</v>
      </c>
      <c r="N34" s="22">
        <f>IF(AND(K34&lt;&gt;"",ISNUMBER(入力!$F$37),入力!$F$37&gt;0),L34+設定!$C$21*SQRT((設定!$D$14/(設定!$D$14+設定!$D$15/入力!$F$37))*設定!$D$15/入力!$F$37),"")</f>
        <v>109.4536711345182</v>
      </c>
      <c r="O34" s="50" t="str">
        <f t="shared" si="5"/>
        <v>○標準</v>
      </c>
      <c r="P34" s="22">
        <f t="shared" si="6"/>
        <v>161.80864864864867</v>
      </c>
      <c r="Q34" s="27">
        <f t="shared" si="7"/>
        <v>1.8739999999999997</v>
      </c>
      <c r="U34">
        <f t="shared" si="8"/>
        <v>20942.906122448978</v>
      </c>
    </row>
    <row r="35" spans="1:21" x14ac:dyDescent="0.15">
      <c r="A35" s="48">
        <f t="shared" si="0"/>
        <v>29</v>
      </c>
      <c r="B35" s="21" t="str">
        <f>IF(入力!$B$38="","",入力!$B$38)</f>
        <v>飯田由加里</v>
      </c>
      <c r="C35" s="26">
        <f>IF(AND(入力!$B$38&lt;&gt;"",ISNUMBER(入力!$C$38),ISNUMBER(入力!$D$38),入力!$C$38&gt;0,入力!$D$38&gt;0),入力!$C$38,"")</f>
        <v>271</v>
      </c>
      <c r="D35" s="26">
        <f>IF(AND(入力!$B$38&lt;&gt;"",ISNUMBER(入力!$C$38),ISNUMBER(入力!$D$38),入力!$C$38&gt;0,入力!$D$38&gt;0),入力!$D$38,"")</f>
        <v>764</v>
      </c>
      <c r="E35" s="26">
        <f>IF(AND(AND(入力!$B$38&lt;&gt;"",ISNUMBER(入力!$C$38),ISNUMBER(入力!$D$38),入力!$C$38&gt;0,入力!$D$38&gt;0),ISNUMBER(入力!$E$38),入力!$E$38&gt;0),入力!$E$38,"")</f>
        <v>149</v>
      </c>
      <c r="F35" s="27">
        <f t="shared" si="1"/>
        <v>1.8187919463087248</v>
      </c>
      <c r="G35" s="22">
        <f t="shared" si="2"/>
        <v>169.15129151291512</v>
      </c>
      <c r="H35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228.715</v>
      </c>
      <c r="I35" s="26">
        <f>IF(AND(入力!$B$38&lt;&gt;"",ISNUMBER(入力!$C$38),ISNUMBER(入力!$D$38),入力!$C$38&gt;0,入力!$D$38&gt;0),H35+設定!$E$7*C35/60,"")</f>
        <v>570.17499999999995</v>
      </c>
      <c r="J35" s="49">
        <f t="shared" si="3"/>
        <v>0.401131231639409</v>
      </c>
      <c r="K35" s="22">
        <f t="shared" si="4"/>
        <v>74.630235602094231</v>
      </c>
      <c r="L35" s="22">
        <f>IF(K35="","",IF(AND(K35&lt;&gt;"",ISNUMBER(入力!$F$38),入力!$F$38&gt;0),$T$3+(設定!$D$14/(設定!$D$14+設定!$D$15/入力!$F$38))*(K35-$T$3),K35))</f>
        <v>85.892657318260035</v>
      </c>
      <c r="M35" s="22">
        <f>IF(AND(K35&lt;&gt;"",ISNUMBER(入力!$F$38),入力!$F$38&gt;0),L35-設定!$C$21*SQRT((設定!$D$14/(設定!$D$14+設定!$D$15/入力!$F$38))*設定!$D$15/入力!$F$38),"")</f>
        <v>67.939937510145313</v>
      </c>
      <c r="N35" s="22">
        <f>IF(AND(K35&lt;&gt;"",ISNUMBER(入力!$F$38),入力!$F$38&gt;0),L35+設定!$C$21*SQRT((設定!$D$14/(設定!$D$14+設定!$D$15/入力!$F$38))*設定!$D$15/入力!$F$38),"")</f>
        <v>103.84537712637476</v>
      </c>
      <c r="O35" s="50" t="str">
        <f t="shared" si="5"/>
        <v>○標準</v>
      </c>
      <c r="P35" s="22">
        <f t="shared" si="6"/>
        <v>118.51328413284132</v>
      </c>
      <c r="Q35" s="27">
        <f t="shared" si="7"/>
        <v>2.1039667896678966</v>
      </c>
      <c r="U35">
        <f t="shared" si="8"/>
        <v>20224.793848167537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IF(K36="","",IF(AND(K36&lt;&gt;"",ISNUMBER(入力!$F$39),入力!$F$39&gt;0),$T$3+(設定!$D$14/(設定!$D$14+設定!$D$15/入力!$F$39))*(K36-$T$3),K36))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 t="shared" si="5"/>
        <v/>
      </c>
      <c r="P36" s="22" t="str">
        <f t="shared" si="6"/>
        <v/>
      </c>
      <c r="Q36" s="27" t="str">
        <f t="shared" si="7"/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IF(K37="","",IF(AND(K37&lt;&gt;"",ISNUMBER(入力!$F$40),入力!$F$40&gt;0),$T$3+(設定!$D$14/(設定!$D$14+設定!$D$15/入力!$F$40))*(K37-$T$3),K37))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 t="shared" si="5"/>
        <v/>
      </c>
      <c r="P37" s="22" t="str">
        <f t="shared" si="6"/>
        <v/>
      </c>
      <c r="Q37" s="27" t="str">
        <f t="shared" si="7"/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IF(K38="","",IF(AND(K38&lt;&gt;"",ISNUMBER(入力!$F$41),入力!$F$41&gt;0),$T$3+(設定!$D$14/(設定!$D$14+設定!$D$15/入力!$F$41))*(K38-$T$3),K38))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 t="shared" si="5"/>
        <v/>
      </c>
      <c r="P38" s="22" t="str">
        <f t="shared" si="6"/>
        <v/>
      </c>
      <c r="Q38" s="27" t="str">
        <f t="shared" si="7"/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IF(K39="","",IF(AND(K39&lt;&gt;"",ISNUMBER(入力!$F$42),入力!$F$42&gt;0),$T$3+(設定!$D$14/(設定!$D$14+設定!$D$15/入力!$F$42))*(K39-$T$3),K39))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 t="shared" ref="O39:O66" si="14">IF(L39="","",IF(M39="","日数未入力",IF(M39&gt;$T$3,"◎上位",IF(N39&lt;$T$3,"△要支援","○標準"))))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IF(K40="","",IF(AND(K40&lt;&gt;"",ISNUMBER(入力!$F$43),入力!$F$43&gt;0),$T$3+(設定!$D$14/(設定!$D$14+設定!$D$15/入力!$F$43))*(K40-$T$3),K40))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 t="shared" si="14"/>
        <v/>
      </c>
      <c r="P40" s="22" t="str">
        <f t="shared" si="15"/>
        <v/>
      </c>
      <c r="Q40" s="27" t="str">
        <f t="shared" si="16"/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IF(K41="","",IF(AND(K41&lt;&gt;"",ISNUMBER(入力!$F$44),入力!$F$44&gt;0),$T$3+(設定!$D$14/(設定!$D$14+設定!$D$15/入力!$F$44))*(K41-$T$3),K41))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 t="shared" si="14"/>
        <v/>
      </c>
      <c r="P41" s="22" t="str">
        <f t="shared" si="15"/>
        <v/>
      </c>
      <c r="Q41" s="27" t="str">
        <f t="shared" si="16"/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IF(K42="","",IF(AND(K42&lt;&gt;"",ISNUMBER(入力!$F$45),入力!$F$45&gt;0),$T$3+(設定!$D$14/(設定!$D$14+設定!$D$15/入力!$F$45))*(K42-$T$3),K42))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 t="shared" si="14"/>
        <v/>
      </c>
      <c r="P42" s="22" t="str">
        <f t="shared" si="15"/>
        <v/>
      </c>
      <c r="Q42" s="27" t="str">
        <f t="shared" si="16"/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IF(K43="","",IF(AND(K43&lt;&gt;"",ISNUMBER(入力!$F$46),入力!$F$46&gt;0),$T$3+(設定!$D$14/(設定!$D$14+設定!$D$15/入力!$F$46))*(K43-$T$3),K43))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 t="shared" si="14"/>
        <v/>
      </c>
      <c r="P43" s="22" t="str">
        <f t="shared" si="15"/>
        <v/>
      </c>
      <c r="Q43" s="27" t="str">
        <f t="shared" si="16"/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IF(K44="","",IF(AND(K44&lt;&gt;"",ISNUMBER(入力!$F$47),入力!$F$47&gt;0),$T$3+(設定!$D$14/(設定!$D$14+設定!$D$15/入力!$F$47))*(K44-$T$3),K44))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 t="shared" si="14"/>
        <v/>
      </c>
      <c r="P44" s="22" t="str">
        <f t="shared" si="15"/>
        <v/>
      </c>
      <c r="Q44" s="27" t="str">
        <f t="shared" si="16"/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IF(K45="","",IF(AND(K45&lt;&gt;"",ISNUMBER(入力!$F$48),入力!$F$48&gt;0),$T$3+(設定!$D$14/(設定!$D$14+設定!$D$15/入力!$F$48))*(K45-$T$3),K45))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 t="shared" si="14"/>
        <v/>
      </c>
      <c r="P45" s="22" t="str">
        <f t="shared" si="15"/>
        <v/>
      </c>
      <c r="Q45" s="27" t="str">
        <f t="shared" si="16"/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IF(K46="","",IF(AND(K46&lt;&gt;"",ISNUMBER(入力!$F$49),入力!$F$49&gt;0),$T$3+(設定!$D$14/(設定!$D$14+設定!$D$15/入力!$F$49))*(K46-$T$3),K46))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 t="shared" si="14"/>
        <v/>
      </c>
      <c r="P46" s="22" t="str">
        <f t="shared" si="15"/>
        <v/>
      </c>
      <c r="Q46" s="27" t="str">
        <f t="shared" si="16"/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IF(K47="","",IF(AND(K47&lt;&gt;"",ISNUMBER(入力!$F$50),入力!$F$50&gt;0),$T$3+(設定!$D$14/(設定!$D$14+設定!$D$15/入力!$F$50))*(K47-$T$3),K47))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 t="shared" si="14"/>
        <v/>
      </c>
      <c r="P47" s="22" t="str">
        <f t="shared" si="15"/>
        <v/>
      </c>
      <c r="Q47" s="27" t="str">
        <f t="shared" si="16"/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IF(K48="","",IF(AND(K48&lt;&gt;"",ISNUMBER(入力!$F$51),入力!$F$51&gt;0),$T$3+(設定!$D$14/(設定!$D$14+設定!$D$15/入力!$F$51))*(K48-$T$3),K48))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 t="shared" si="14"/>
        <v/>
      </c>
      <c r="P48" s="22" t="str">
        <f t="shared" si="15"/>
        <v/>
      </c>
      <c r="Q48" s="27" t="str">
        <f t="shared" si="16"/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IF(K49="","",IF(AND(K49&lt;&gt;"",ISNUMBER(入力!$F$52),入力!$F$52&gt;0),$T$3+(設定!$D$14/(設定!$D$14+設定!$D$15/入力!$F$52))*(K49-$T$3),K49))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 t="shared" si="14"/>
        <v/>
      </c>
      <c r="P49" s="22" t="str">
        <f t="shared" si="15"/>
        <v/>
      </c>
      <c r="Q49" s="27" t="str">
        <f t="shared" si="16"/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IF(K50="","",IF(AND(K50&lt;&gt;"",ISNUMBER(入力!$F$53),入力!$F$53&gt;0),$T$3+(設定!$D$14/(設定!$D$14+設定!$D$15/入力!$F$53))*(K50-$T$3),K50))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 t="shared" si="14"/>
        <v/>
      </c>
      <c r="P50" s="22" t="str">
        <f t="shared" si="15"/>
        <v/>
      </c>
      <c r="Q50" s="27" t="str">
        <f t="shared" si="16"/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IF(K51="","",IF(AND(K51&lt;&gt;"",ISNUMBER(入力!$F$54),入力!$F$54&gt;0),$T$3+(設定!$D$14/(設定!$D$14+設定!$D$15/入力!$F$54))*(K51-$T$3),K51))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 t="shared" si="14"/>
        <v/>
      </c>
      <c r="P51" s="22" t="str">
        <f t="shared" si="15"/>
        <v/>
      </c>
      <c r="Q51" s="27" t="str">
        <f t="shared" si="16"/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IF(K52="","",IF(AND(K52&lt;&gt;"",ISNUMBER(入力!$F$55),入力!$F$55&gt;0),$T$3+(設定!$D$14/(設定!$D$14+設定!$D$15/入力!$F$55))*(K52-$T$3),K52))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 t="shared" si="14"/>
        <v/>
      </c>
      <c r="P52" s="22" t="str">
        <f t="shared" si="15"/>
        <v/>
      </c>
      <c r="Q52" s="27" t="str">
        <f t="shared" si="16"/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IF(K53="","",IF(AND(K53&lt;&gt;"",ISNUMBER(入力!$F$56),入力!$F$56&gt;0),$T$3+(設定!$D$14/(設定!$D$14+設定!$D$15/入力!$F$56))*(K53-$T$3),K53))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 t="shared" si="14"/>
        <v/>
      </c>
      <c r="P53" s="22" t="str">
        <f t="shared" si="15"/>
        <v/>
      </c>
      <c r="Q53" s="27" t="str">
        <f t="shared" si="16"/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IF(K54="","",IF(AND(K54&lt;&gt;"",ISNUMBER(入力!$F$57),入力!$F$57&gt;0),$T$3+(設定!$D$14/(設定!$D$14+設定!$D$15/入力!$F$57))*(K54-$T$3),K54))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 t="shared" si="14"/>
        <v/>
      </c>
      <c r="P54" s="22" t="str">
        <f t="shared" si="15"/>
        <v/>
      </c>
      <c r="Q54" s="27" t="str">
        <f t="shared" si="16"/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IF(K55="","",IF(AND(K55&lt;&gt;"",ISNUMBER(入力!$F$58),入力!$F$58&gt;0),$T$3+(設定!$D$14/(設定!$D$14+設定!$D$15/入力!$F$58))*(K55-$T$3),K55))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 t="shared" si="14"/>
        <v/>
      </c>
      <c r="P55" s="22" t="str">
        <f t="shared" si="15"/>
        <v/>
      </c>
      <c r="Q55" s="27" t="str">
        <f t="shared" si="16"/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IF(K56="","",IF(AND(K56&lt;&gt;"",ISNUMBER(入力!$F$59),入力!$F$59&gt;0),$T$3+(設定!$D$14/(設定!$D$14+設定!$D$15/入力!$F$59))*(K56-$T$3),K56))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 t="shared" si="14"/>
        <v/>
      </c>
      <c r="P56" s="22" t="str">
        <f t="shared" si="15"/>
        <v/>
      </c>
      <c r="Q56" s="27" t="str">
        <f t="shared" si="16"/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IF(K57="","",IF(AND(K57&lt;&gt;"",ISNUMBER(入力!$F$60),入力!$F$60&gt;0),$T$3+(設定!$D$14/(設定!$D$14+設定!$D$15/入力!$F$60))*(K57-$T$3),K57))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 t="shared" si="14"/>
        <v/>
      </c>
      <c r="P57" s="22" t="str">
        <f t="shared" si="15"/>
        <v/>
      </c>
      <c r="Q57" s="27" t="str">
        <f t="shared" si="16"/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IF(K58="","",IF(AND(K58&lt;&gt;"",ISNUMBER(入力!$F$61),入力!$F$61&gt;0),$T$3+(設定!$D$14/(設定!$D$14+設定!$D$15/入力!$F$61))*(K58-$T$3),K58))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 t="shared" si="14"/>
        <v/>
      </c>
      <c r="P58" s="22" t="str">
        <f t="shared" si="15"/>
        <v/>
      </c>
      <c r="Q58" s="27" t="str">
        <f t="shared" si="16"/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IF(K59="","",IF(AND(K59&lt;&gt;"",ISNUMBER(入力!$F$62),入力!$F$62&gt;0),$T$3+(設定!$D$14/(設定!$D$14+設定!$D$15/入力!$F$62))*(K59-$T$3),K59))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 t="shared" si="14"/>
        <v/>
      </c>
      <c r="P59" s="22" t="str">
        <f t="shared" si="15"/>
        <v/>
      </c>
      <c r="Q59" s="27" t="str">
        <f t="shared" si="16"/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IF(K60="","",IF(AND(K60&lt;&gt;"",ISNUMBER(入力!$F$63),入力!$F$63&gt;0),$T$3+(設定!$D$14/(設定!$D$14+設定!$D$15/入力!$F$63))*(K60-$T$3),K60))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 t="shared" si="14"/>
        <v/>
      </c>
      <c r="P60" s="22" t="str">
        <f t="shared" si="15"/>
        <v/>
      </c>
      <c r="Q60" s="27" t="str">
        <f t="shared" si="16"/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IF(K61="","",IF(AND(K61&lt;&gt;"",ISNUMBER(入力!$F$64),入力!$F$64&gt;0),$T$3+(設定!$D$14/(設定!$D$14+設定!$D$15/入力!$F$64))*(K61-$T$3),K61))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 t="shared" si="14"/>
        <v/>
      </c>
      <c r="P61" s="22" t="str">
        <f t="shared" si="15"/>
        <v/>
      </c>
      <c r="Q61" s="27" t="str">
        <f t="shared" si="16"/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IF(K62="","",IF(AND(K62&lt;&gt;"",ISNUMBER(入力!$F$65),入力!$F$65&gt;0),$T$3+(設定!$D$14/(設定!$D$14+設定!$D$15/入力!$F$65))*(K62-$T$3),K62))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 t="shared" si="14"/>
        <v/>
      </c>
      <c r="P62" s="22" t="str">
        <f t="shared" si="15"/>
        <v/>
      </c>
      <c r="Q62" s="27" t="str">
        <f t="shared" si="16"/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IF(K63="","",IF(AND(K63&lt;&gt;"",ISNUMBER(入力!$F$66),入力!$F$66&gt;0),$T$3+(設定!$D$14/(設定!$D$14+設定!$D$15/入力!$F$66))*(K63-$T$3),K63))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 t="shared" si="14"/>
        <v/>
      </c>
      <c r="P63" s="22" t="str">
        <f t="shared" si="15"/>
        <v/>
      </c>
      <c r="Q63" s="27" t="str">
        <f t="shared" si="16"/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IF(K64="","",IF(AND(K64&lt;&gt;"",ISNUMBER(入力!$F$67),入力!$F$67&gt;0),$T$3+(設定!$D$14/(設定!$D$14+設定!$D$15/入力!$F$67))*(K64-$T$3),K64))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 t="shared" si="14"/>
        <v/>
      </c>
      <c r="P64" s="22" t="str">
        <f t="shared" si="15"/>
        <v/>
      </c>
      <c r="Q64" s="27" t="str">
        <f t="shared" si="16"/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IF(K65="","",IF(AND(K65&lt;&gt;"",ISNUMBER(入力!$F$68),入力!$F$68&gt;0),$T$3+(設定!$D$14/(設定!$D$14+設定!$D$15/入力!$F$68))*(K65-$T$3),K65))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 t="shared" si="14"/>
        <v/>
      </c>
      <c r="P65" s="22" t="str">
        <f t="shared" si="15"/>
        <v/>
      </c>
      <c r="Q65" s="27" t="str">
        <f t="shared" si="16"/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IF(K66="","",IF(AND(K66&lt;&gt;"",ISNUMBER(入力!$F$69),入力!$F$69&gt;0),$T$3+(設定!$D$14/(設定!$D$14+設定!$D$15/入力!$F$69))*(K66-$T$3),K66))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 t="shared" si="14"/>
        <v/>
      </c>
      <c r="P66" s="22" t="str">
        <f t="shared" si="15"/>
        <v/>
      </c>
      <c r="Q66" s="27" t="str">
        <f t="shared" si="16"/>
        <v/>
      </c>
      <c r="U66">
        <f t="shared" si="17"/>
        <v>0</v>
      </c>
    </row>
  </sheetData>
  <phoneticPr fontId="34"/>
  <conditionalFormatting sqref="A7:Q66">
    <cfRule type="expression" dxfId="5" priority="1">
      <formula>$O7="◎上位"</formula>
    </cfRule>
    <cfRule type="expression" dxfId="4" priority="2">
      <formula>$O7="△要支援"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66"/>
  <sheetViews>
    <sheetView showGridLines="0" workbookViewId="0">
      <pane xSplit="2" ySplit="6" topLeftCell="E7" activePane="bottomRight" state="frozen"/>
      <selection pane="topRight"/>
      <selection pane="bottomLeft"/>
      <selection pane="bottomRight" activeCell="S24" sqref="S24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2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51" t="s">
        <v>192</v>
      </c>
      <c r="S2" s="9" t="s">
        <v>173</v>
      </c>
    </row>
    <row r="3" spans="1:21" ht="14.25" x14ac:dyDescent="0.15">
      <c r="B3" s="3" t="s">
        <v>174</v>
      </c>
      <c r="S3" s="45" t="s">
        <v>102</v>
      </c>
      <c r="T3" s="46">
        <f>IFERROR(SUM(U7:U66)/SUMIF(I7:I66,"&gt;0",C7:C66),"")</f>
        <v>108.88546342059843</v>
      </c>
    </row>
    <row r="4" spans="1:21" x14ac:dyDescent="0.15">
      <c r="B4" s="3" t="s">
        <v>175</v>
      </c>
      <c r="S4" s="47" t="s">
        <v>176</v>
      </c>
      <c r="T4" s="21"/>
    </row>
    <row r="5" spans="1:21" x14ac:dyDescent="0.15">
      <c r="B5" s="7" t="s">
        <v>127</v>
      </c>
      <c r="S5" s="47" t="s">
        <v>87</v>
      </c>
      <c r="T5" s="26">
        <f>COUNT(L7:L66)</f>
        <v>19</v>
      </c>
    </row>
    <row r="6" spans="1:21" ht="36" customHeight="1" x14ac:dyDescent="0.15">
      <c r="A6" s="20" t="s">
        <v>3</v>
      </c>
      <c r="B6" s="20" t="s">
        <v>129</v>
      </c>
      <c r="C6" s="20" t="s">
        <v>130</v>
      </c>
      <c r="D6" s="20" t="s">
        <v>131</v>
      </c>
      <c r="E6" s="20" t="s">
        <v>132</v>
      </c>
      <c r="F6" s="20" t="s">
        <v>177</v>
      </c>
      <c r="G6" s="20" t="s">
        <v>178</v>
      </c>
      <c r="H6" s="20" t="s">
        <v>179</v>
      </c>
      <c r="I6" s="20" t="s">
        <v>180</v>
      </c>
      <c r="J6" s="20" t="s">
        <v>181</v>
      </c>
      <c r="K6" s="20" t="s">
        <v>182</v>
      </c>
      <c r="L6" s="20" t="s">
        <v>183</v>
      </c>
      <c r="M6" s="20" t="s">
        <v>184</v>
      </c>
      <c r="N6" s="20" t="s">
        <v>185</v>
      </c>
      <c r="O6" s="20" t="s">
        <v>186</v>
      </c>
      <c r="P6" s="20" t="s">
        <v>187</v>
      </c>
      <c r="Q6" s="20" t="s">
        <v>188</v>
      </c>
      <c r="S6" s="47" t="s">
        <v>104</v>
      </c>
      <c r="T6" s="26">
        <f>COUNTIF(O7:O66,"◎上位")</f>
        <v>4</v>
      </c>
    </row>
    <row r="7" spans="1:21" x14ac:dyDescent="0.15">
      <c r="A7" s="48">
        <f t="shared" ref="A7:A38" si="0">IF(L7="","",RANK(L7,$L$7:$L$66,0))</f>
        <v>2</v>
      </c>
      <c r="B7" s="21" t="str">
        <f>IF(入力!$B$10="","",入力!$B$10)</f>
        <v>本吉有美子</v>
      </c>
      <c r="C7" s="26">
        <f>IF(AND(入力!$B$10&lt;&gt;"",ISNUMBER(入力!$G$10),ISNUMBER(入力!$H$10),入力!$G$10&gt;0,入力!$H$10&gt;0),入力!$G$10,"")</f>
        <v>2493</v>
      </c>
      <c r="D7" s="26">
        <f>IF(AND(入力!$B$10&lt;&gt;"",ISNUMBER(入力!$G$10),ISNUMBER(入力!$H$10),入力!$G$10&gt;0,入力!$H$10&gt;0),入力!$H$10,"")</f>
        <v>2599</v>
      </c>
      <c r="E7" s="26">
        <f>IF(AND(AND(入力!$B$10&lt;&gt;"",ISNUMBER(入力!$G$10),ISNUMBER(入力!$H$10),入力!$G$10&gt;0,入力!$H$10&gt;0),ISNUMBER(入力!$I$10),入力!$I$10&gt;0),入力!$I$10,"")</f>
        <v>653</v>
      </c>
      <c r="F7" s="27">
        <f t="shared" ref="F7:F38" si="1">IF(C7="","",IF(E7="","",C7/E7))</f>
        <v>3.8177641653905052</v>
      </c>
      <c r="G7" s="22">
        <f t="shared" ref="G7:G38" si="2">IF(C7="","",D7*60/C7)</f>
        <v>62.551143200962699</v>
      </c>
      <c r="H7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1002.3549999999999</v>
      </c>
      <c r="I7" s="26">
        <f>IF(AND(入力!$B$10&lt;&gt;"",ISNUMBER(入力!$G$10),ISNUMBER(入力!$H$10),入力!$G$10&gt;0,入力!$H$10&gt;0),H7+設定!$E$9*C7/60,"")</f>
        <v>3890.08</v>
      </c>
      <c r="J7" s="49">
        <f t="shared" ref="J7:J38" si="3">IF(I7="","",H7/I7)</f>
        <v>0.25766950808209599</v>
      </c>
      <c r="K7" s="22">
        <f t="shared" ref="K7:K38" si="4">IF(I7="","",I7/D7*100)</f>
        <v>149.67602924201614</v>
      </c>
      <c r="L7" s="22">
        <f>IF(K7="","",IF(AND(K7&lt;&gt;"",ISNUMBER(入力!$J$10),入力!$J$10&gt;0),$T$3+(設定!$D$17/(設定!$D$17+設定!$D$18/入力!$J$10))*(K7-$T$3),K7))</f>
        <v>146.61994619353155</v>
      </c>
      <c r="M7" s="22">
        <f>IF(AND(K7&lt;&gt;"",ISNUMBER(入力!$J$10),入力!$J$10&gt;0),L7-設定!$C$21*SQRT((設定!$D$17/(設定!$D$17+設定!$D$18/入力!$J$10))*設定!$D$18/入力!$J$10),"")</f>
        <v>131.3531584093534</v>
      </c>
      <c r="N7" s="22">
        <f>IF(AND(K7&lt;&gt;"",ISNUMBER(入力!$J$10),入力!$J$10&gt;0),L7+設定!$C$21*SQRT((設定!$D$17/(設定!$D$17+設定!$D$18/入力!$J$10))*設定!$D$18/入力!$J$10),"")</f>
        <v>161.8867339777097</v>
      </c>
      <c r="O7" s="50" t="str">
        <f t="shared" ref="O7:O38" si="5">IF(L7="","",IF(M7="","日数未入力",IF(M7&gt;$T$3,"◎上位",IF(N7&lt;$T$3,"△要支援","○標準"))))</f>
        <v>◎上位</v>
      </c>
      <c r="P7" s="22">
        <f t="shared" ref="P7:P38" si="6">IF(C7="","",(D7-H7)*60/C7)</f>
        <v>38.427075812274367</v>
      </c>
      <c r="Q7" s="27">
        <f t="shared" ref="Q7:Q38" si="7">IF(I7="","",I7/C7)</f>
        <v>1.5604011231448054</v>
      </c>
      <c r="S7" s="47" t="s">
        <v>106</v>
      </c>
      <c r="T7" s="26">
        <f>COUNTIF(O7:O66,"○標準")</f>
        <v>9</v>
      </c>
      <c r="U7">
        <f t="shared" ref="U7:U38" si="8">IF(K7="",0,K7*C7)</f>
        <v>373142.34090034623</v>
      </c>
    </row>
    <row r="8" spans="1:21" x14ac:dyDescent="0.15">
      <c r="A8" s="48">
        <f t="shared" si="0"/>
        <v>16</v>
      </c>
      <c r="B8" s="21" t="str">
        <f>IF(入力!$B$11="","",入力!$B$11)</f>
        <v>澤田凌</v>
      </c>
      <c r="C8" s="26">
        <f>IF(AND(入力!$B$11&lt;&gt;"",ISNUMBER(入力!$G$11),ISNUMBER(入力!$H$11),入力!$G$11&gt;0,入力!$H$11&gt;0),入力!$G$11,"")</f>
        <v>634</v>
      </c>
      <c r="D8" s="26">
        <f>IF(AND(入力!$B$11&lt;&gt;"",ISNUMBER(入力!$G$11),ISNUMBER(入力!$H$11),入力!$G$11&gt;0,入力!$H$11&gt;0),入力!$H$11,"")</f>
        <v>1530</v>
      </c>
      <c r="E8" s="26">
        <f>IF(AND(AND(入力!$B$11&lt;&gt;"",ISNUMBER(入力!$G$11),ISNUMBER(入力!$H$11),入力!$G$11&gt;0,入力!$H$11&gt;0),ISNUMBER(入力!$I$11),入力!$I$11&gt;0),入力!$I$11,"")</f>
        <v>249</v>
      </c>
      <c r="F8" s="27">
        <f t="shared" si="1"/>
        <v>2.5461847389558234</v>
      </c>
      <c r="G8" s="22">
        <f t="shared" si="2"/>
        <v>144.79495268138803</v>
      </c>
      <c r="H8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382.21499999999997</v>
      </c>
      <c r="I8" s="26">
        <f>IF(AND(入力!$B$11&lt;&gt;"",ISNUMBER(入力!$G$11),ISNUMBER(入力!$H$11),入力!$G$11&gt;0,入力!$H$11&gt;0),H8+設定!$E$9*C8/60,"")</f>
        <v>1116.5983333333334</v>
      </c>
      <c r="J8" s="49">
        <f t="shared" si="3"/>
        <v>0.34230303645446958</v>
      </c>
      <c r="K8" s="22">
        <f t="shared" si="4"/>
        <v>72.980283224400878</v>
      </c>
      <c r="L8" s="22">
        <f>IF(K8="","",IF(AND(K8&lt;&gt;"",ISNUMBER(入力!$J$11),入力!$J$11&gt;0),$T$3+(設定!$D$17/(設定!$D$17+設定!$D$18/入力!$J$11))*(K8-$T$3),K8))</f>
        <v>77.985418867763826</v>
      </c>
      <c r="M8" s="22">
        <f>IF(AND(K8&lt;&gt;"",ISNUMBER(入力!$J$11),入力!$J$11&gt;0),L8-設定!$C$21*SQRT((設定!$D$17/(設定!$D$17+設定!$D$18/入力!$J$11))*設定!$D$18/入力!$J$11),"")</f>
        <v>57.160931076239777</v>
      </c>
      <c r="N8" s="22">
        <f>IF(AND(K8&lt;&gt;"",ISNUMBER(入力!$J$11),入力!$J$11&gt;0),L8+設定!$C$21*SQRT((設定!$D$17/(設定!$D$17+設定!$D$18/入力!$J$11))*設定!$D$18/入力!$J$11),"")</f>
        <v>98.809906659287876</v>
      </c>
      <c r="O8" s="50" t="str">
        <f t="shared" si="5"/>
        <v>△要支援</v>
      </c>
      <c r="P8" s="22">
        <f t="shared" si="6"/>
        <v>108.62318611987382</v>
      </c>
      <c r="Q8" s="27">
        <f t="shared" si="7"/>
        <v>1.76119610935857</v>
      </c>
      <c r="S8" s="47" t="s">
        <v>108</v>
      </c>
      <c r="T8" s="26">
        <f>COUNTIF(O7:O66,"△要支援")</f>
        <v>6</v>
      </c>
      <c r="U8">
        <f t="shared" si="8"/>
        <v>46269.499564270154</v>
      </c>
    </row>
    <row r="9" spans="1:21" x14ac:dyDescent="0.15">
      <c r="A9" s="48">
        <f t="shared" si="0"/>
        <v>4</v>
      </c>
      <c r="B9" s="21" t="str">
        <f>IF(入力!$B$12="","",入力!$B$12)</f>
        <v>大江美記子</v>
      </c>
      <c r="C9" s="26">
        <f>IF(AND(入力!$B$12&lt;&gt;"",ISNUMBER(入力!$G$12),ISNUMBER(入力!$H$12),入力!$G$12&gt;0,入力!$H$12&gt;0),入力!$G$12,"")</f>
        <v>2616</v>
      </c>
      <c r="D9" s="26">
        <f>IF(AND(入力!$B$12&lt;&gt;"",ISNUMBER(入力!$G$12),ISNUMBER(入力!$H$12),入力!$G$12&gt;0,入力!$H$12&gt;0),入力!$H$12,"")</f>
        <v>3060</v>
      </c>
      <c r="E9" s="26">
        <f>IF(AND(AND(入力!$B$12&lt;&gt;"",ISNUMBER(入力!$G$12),ISNUMBER(入力!$H$12),入力!$G$12&gt;0,入力!$H$12&gt;0),ISNUMBER(入力!$I$12),入力!$I$12&gt;0),入力!$I$12,"")</f>
        <v>675</v>
      </c>
      <c r="F9" s="27">
        <f t="shared" si="1"/>
        <v>3.8755555555555556</v>
      </c>
      <c r="G9" s="22">
        <f t="shared" si="2"/>
        <v>70.183486238532112</v>
      </c>
      <c r="H9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1036.1249999999998</v>
      </c>
      <c r="I9" s="26">
        <f>IF(AND(入力!$B$12&lt;&gt;"",ISNUMBER(入力!$G$12),ISNUMBER(入力!$H$12),入力!$G$12&gt;0,入力!$H$12&gt;0),H9+設定!$E$9*C9/60,"")</f>
        <v>4066.3249999999998</v>
      </c>
      <c r="J9" s="49">
        <f t="shared" si="3"/>
        <v>0.25480624396721852</v>
      </c>
      <c r="K9" s="22">
        <f t="shared" si="4"/>
        <v>132.88643790849673</v>
      </c>
      <c r="L9" s="22">
        <f>IF(K9="","",IF(AND(K9&lt;&gt;"",ISNUMBER(入力!$J$12),入力!$J$12&gt;0),$T$3+(設定!$D$17/(設定!$D$17+設定!$D$18/入力!$J$12))*(K9-$T$3),K9))</f>
        <v>131.00104643796593</v>
      </c>
      <c r="M9" s="22">
        <f>IF(AND(K9&lt;&gt;"",ISNUMBER(入力!$J$12),入力!$J$12&gt;0),L9-設定!$C$21*SQRT((設定!$D$17/(設定!$D$17+設定!$D$18/入力!$J$12))*設定!$D$18/入力!$J$12),"")</f>
        <v>115.36844379470793</v>
      </c>
      <c r="N9" s="22">
        <f>IF(AND(K9&lt;&gt;"",ISNUMBER(入力!$J$12),入力!$J$12&gt;0),L9+設定!$C$21*SQRT((設定!$D$17/(設定!$D$17+設定!$D$18/入力!$J$12))*設定!$D$18/入力!$J$12),"")</f>
        <v>146.63364908122392</v>
      </c>
      <c r="O9" s="50" t="str">
        <f t="shared" si="5"/>
        <v>◎上位</v>
      </c>
      <c r="P9" s="22">
        <f t="shared" si="6"/>
        <v>46.419151376146793</v>
      </c>
      <c r="Q9" s="27">
        <f t="shared" si="7"/>
        <v>1.5544055810397552</v>
      </c>
      <c r="S9" s="47"/>
      <c r="T9" s="21"/>
      <c r="U9">
        <f t="shared" si="8"/>
        <v>347630.92156862747</v>
      </c>
    </row>
    <row r="10" spans="1:21" x14ac:dyDescent="0.15">
      <c r="A10" s="48">
        <f t="shared" si="0"/>
        <v>5</v>
      </c>
      <c r="B10" s="21" t="str">
        <f>IF(入力!$B$13="","",入力!$B$13)</f>
        <v>佐藤辰成</v>
      </c>
      <c r="C10" s="26">
        <f>IF(AND(入力!$B$13&lt;&gt;"",ISNUMBER(入力!$G$13),ISNUMBER(入力!$H$13),入力!$G$13&gt;0,入力!$H$13&gt;0),入力!$G$13,"")</f>
        <v>284</v>
      </c>
      <c r="D10" s="26">
        <f>IF(AND(入力!$B$13&lt;&gt;"",ISNUMBER(入力!$G$13),ISNUMBER(入力!$H$13),入力!$G$13&gt;0,入力!$H$13&gt;0),入力!$H$13,"")</f>
        <v>305</v>
      </c>
      <c r="E10" s="26">
        <f>IF(AND(AND(入力!$B$13&lt;&gt;"",ISNUMBER(入力!$G$13),ISNUMBER(入力!$H$13),入力!$G$13&gt;0,入力!$H$13&gt;0),ISNUMBER(入力!$I$13),入力!$I$13&gt;0),入力!$I$13,"")</f>
        <v>49</v>
      </c>
      <c r="F10" s="27">
        <f t="shared" si="1"/>
        <v>5.795918367346939</v>
      </c>
      <c r="G10" s="22">
        <f t="shared" si="2"/>
        <v>64.436619718309856</v>
      </c>
      <c r="H10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75.214999999999989</v>
      </c>
      <c r="I10" s="26">
        <f>IF(AND(入力!$B$13&lt;&gt;"",ISNUMBER(入力!$G$13),ISNUMBER(入力!$H$13),入力!$G$13&gt;0,入力!$H$13&gt;0),H10+設定!$E$9*C10/60,"")</f>
        <v>404.18166666666662</v>
      </c>
      <c r="J10" s="49">
        <f t="shared" si="3"/>
        <v>0.18609206256262653</v>
      </c>
      <c r="K10" s="22">
        <f t="shared" si="4"/>
        <v>132.51857923497266</v>
      </c>
      <c r="L10" s="22">
        <f>IF(K10="","",IF(AND(K10&lt;&gt;"",ISNUMBER(入力!$J$13),入力!$J$13&gt;0),$T$3+(設定!$D$17/(設定!$D$17+設定!$D$18/入力!$J$13))*(K10-$T$3),K10))</f>
        <v>128.07757268601134</v>
      </c>
      <c r="M10" s="22">
        <f>IF(AND(K10&lt;&gt;"",ISNUMBER(入力!$J$13),入力!$J$13&gt;0),L10-設定!$C$21*SQRT((設定!$D$17/(設定!$D$17+設定!$D$18/入力!$J$13))*設定!$D$18/入力!$J$13),"")</f>
        <v>103.89930548657932</v>
      </c>
      <c r="N10" s="22">
        <f>IF(AND(K10&lt;&gt;"",ISNUMBER(入力!$J$13),入力!$J$13&gt;0),L10+設定!$C$21*SQRT((設定!$D$17/(設定!$D$17+設定!$D$18/入力!$J$13))*設定!$D$18/入力!$J$13),"")</f>
        <v>152.25583988544335</v>
      </c>
      <c r="O10" s="50" t="str">
        <f t="shared" si="5"/>
        <v>○標準</v>
      </c>
      <c r="P10" s="22">
        <f t="shared" si="6"/>
        <v>48.546126760563389</v>
      </c>
      <c r="Q10" s="27">
        <f t="shared" si="7"/>
        <v>1.4231748826291077</v>
      </c>
      <c r="S10" s="47" t="s">
        <v>89</v>
      </c>
      <c r="T10" s="26">
        <f>SUMIF(I7:I66,"&gt;0",C7:C66)</f>
        <v>24467</v>
      </c>
      <c r="U10">
        <f t="shared" si="8"/>
        <v>37635.276502732238</v>
      </c>
    </row>
    <row r="11" spans="1:21" x14ac:dyDescent="0.15">
      <c r="A11" s="48" t="str">
        <f t="shared" si="0"/>
        <v/>
      </c>
      <c r="B11" s="21" t="str">
        <f>IF(入力!$B$14="","",入力!$B$14)</f>
        <v>春谷智子</v>
      </c>
      <c r="C11" s="26" t="str">
        <f>IF(AND(入力!$B$14&lt;&gt;"",ISNUMBER(入力!$G$14),ISNUMBER(入力!$H$14),入力!$G$14&gt;0,入力!$H$14&gt;0),入力!$G$14,"")</f>
        <v/>
      </c>
      <c r="D11" s="26" t="str">
        <f>IF(AND(入力!$B$14&lt;&gt;"",ISNUMBER(入力!$G$14),ISNUMBER(入力!$H$14),入力!$G$14&gt;0,入力!$H$14&gt;0),入力!$H$14,"")</f>
        <v/>
      </c>
      <c r="E11" s="26" t="str">
        <f>IF(AND(AND(入力!$B$14&lt;&gt;"",ISNUMBER(入力!$G$14),ISNUMBER(入力!$H$14),入力!$G$14&gt;0,入力!$H$14&gt;0),ISNUMBER(入力!$I$14),入力!$I$14&gt;0),入力!$I$14,"")</f>
        <v/>
      </c>
      <c r="F11" s="27" t="str">
        <f t="shared" si="1"/>
        <v/>
      </c>
      <c r="G11" s="22" t="str">
        <f t="shared" si="2"/>
        <v/>
      </c>
      <c r="H11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11" s="26" t="str">
        <f>IF(AND(入力!$B$14&lt;&gt;"",ISNUMBER(入力!$G$14),ISNUMBER(入力!$H$14),入力!$G$14&gt;0,入力!$H$14&gt;0),H11+設定!$E$9*C11/60,"")</f>
        <v/>
      </c>
      <c r="J11" s="49" t="str">
        <f t="shared" si="3"/>
        <v/>
      </c>
      <c r="K11" s="22" t="str">
        <f t="shared" si="4"/>
        <v/>
      </c>
      <c r="L11" s="22" t="str">
        <f>IF(K11="","",IF(AND(K11&lt;&gt;"",ISNUMBER(入力!$J$14),入力!$J$14&gt;0),$T$3+(設定!$D$17/(設定!$D$17+設定!$D$18/入力!$J$14))*(K11-$T$3),K11))</f>
        <v/>
      </c>
      <c r="M11" s="22" t="str">
        <f>IF(AND(K11&lt;&gt;"",ISNUMBER(入力!$J$14),入力!$J$14&gt;0),L11-設定!$C$21*SQRT((設定!$D$17/(設定!$D$17+設定!$D$18/入力!$J$14))*設定!$D$18/入力!$J$14),"")</f>
        <v/>
      </c>
      <c r="N11" s="22" t="str">
        <f>IF(AND(K11&lt;&gt;"",ISNUMBER(入力!$J$14),入力!$J$14&gt;0),L11+設定!$C$21*SQRT((設定!$D$17/(設定!$D$17+設定!$D$18/入力!$J$14))*設定!$D$18/入力!$J$14),"")</f>
        <v/>
      </c>
      <c r="O11" s="50" t="str">
        <f t="shared" si="5"/>
        <v/>
      </c>
      <c r="P11" s="22" t="str">
        <f t="shared" si="6"/>
        <v/>
      </c>
      <c r="Q11" s="27" t="str">
        <f t="shared" si="7"/>
        <v/>
      </c>
      <c r="S11" s="47" t="s">
        <v>91</v>
      </c>
      <c r="T11" s="26">
        <f>SUMIF(I7:I66,"&gt;0",E7:E66)</f>
        <v>7069</v>
      </c>
      <c r="U11">
        <f t="shared" si="8"/>
        <v>0</v>
      </c>
    </row>
    <row r="12" spans="1:21" x14ac:dyDescent="0.15">
      <c r="A12" s="48">
        <f t="shared" si="0"/>
        <v>14</v>
      </c>
      <c r="B12" s="21" t="str">
        <f>IF(入力!$B$15="","",入力!$B$15)</f>
        <v>後藤克行</v>
      </c>
      <c r="C12" s="26">
        <f>IF(AND(入力!$B$15&lt;&gt;"",ISNUMBER(入力!$G$15),ISNUMBER(入力!$H$15),入力!$G$15&gt;0,入力!$H$15&gt;0),入力!$G$15,"")</f>
        <v>1421</v>
      </c>
      <c r="D12" s="26">
        <f>IF(AND(入力!$B$15&lt;&gt;"",ISNUMBER(入力!$G$15),ISNUMBER(入力!$H$15),入力!$G$15&gt;0,入力!$H$15&gt;0),入力!$H$15,"")</f>
        <v>2760</v>
      </c>
      <c r="E12" s="26">
        <f>IF(AND(AND(入力!$B$15&lt;&gt;"",ISNUMBER(入力!$G$15),ISNUMBER(入力!$H$15),入力!$G$15&gt;0,入力!$H$15&gt;0),ISNUMBER(入力!$I$15),入力!$I$15&gt;0),入力!$I$15,"")</f>
        <v>372</v>
      </c>
      <c r="F12" s="27">
        <f t="shared" si="1"/>
        <v>3.8198924731182795</v>
      </c>
      <c r="G12" s="22">
        <f t="shared" si="2"/>
        <v>116.53764954257565</v>
      </c>
      <c r="H12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12" s="26">
        <f>IF(AND(入力!$B$15&lt;&gt;"",ISNUMBER(入力!$G$15),ISNUMBER(入力!$H$15),入力!$G$15&gt;0,入力!$H$15&gt;0),H12+設定!$E$9*C12/60,"")</f>
        <v>2217.0116666666663</v>
      </c>
      <c r="J12" s="49">
        <f t="shared" si="3"/>
        <v>0.2575629206582134</v>
      </c>
      <c r="K12" s="22">
        <f t="shared" si="4"/>
        <v>80.326509661835729</v>
      </c>
      <c r="L12" s="22">
        <f>IF(K12="","",IF(AND(K12&lt;&gt;"",ISNUMBER(入力!$J$15),入力!$J$15&gt;0),$T$3+(設定!$D$17/(設定!$D$17+設定!$D$18/入力!$J$15))*(K12-$T$3),K12))</f>
        <v>82.466184184781014</v>
      </c>
      <c r="M12" s="22">
        <f>IF(AND(K12&lt;&gt;"",ISNUMBER(入力!$J$15),入力!$J$15&gt;0),L12-設定!$C$21*SQRT((設定!$D$17/(設定!$D$17+設定!$D$18/入力!$J$15))*設定!$D$18/入力!$J$15),"")</f>
        <v>67.199396400602865</v>
      </c>
      <c r="N12" s="22">
        <f>IF(AND(K12&lt;&gt;"",ISNUMBER(入力!$J$15),入力!$J$15&gt;0),L12+設定!$C$21*SQRT((設定!$D$17/(設定!$D$17+設定!$D$18/入力!$J$15))*設定!$D$18/入力!$J$15),"")</f>
        <v>97.732971968959163</v>
      </c>
      <c r="O12" s="50" t="str">
        <f t="shared" si="5"/>
        <v>△要支援</v>
      </c>
      <c r="P12" s="22">
        <f t="shared" si="6"/>
        <v>92.42702322308233</v>
      </c>
      <c r="Q12" s="27">
        <f t="shared" si="7"/>
        <v>1.5601771053248883</v>
      </c>
      <c r="S12" s="47" t="s">
        <v>189</v>
      </c>
      <c r="T12" s="26">
        <f>SUMIF(I7:I66,"&gt;0",D7:D66)</f>
        <v>39187</v>
      </c>
      <c r="U12">
        <f t="shared" si="8"/>
        <v>114143.97022946857</v>
      </c>
    </row>
    <row r="13" spans="1:21" x14ac:dyDescent="0.15">
      <c r="A13" s="48">
        <f t="shared" si="0"/>
        <v>12</v>
      </c>
      <c r="B13" s="21" t="str">
        <f>IF(入力!$B$16="","",入力!$B$16)</f>
        <v>中村美佳</v>
      </c>
      <c r="C13" s="26">
        <f>IF(AND(入力!$B$16&lt;&gt;"",ISNUMBER(入力!$G$16),ISNUMBER(入力!$H$16),入力!$G$16&gt;0,入力!$H$16&gt;0),入力!$G$16,"")</f>
        <v>375</v>
      </c>
      <c r="D13" s="26">
        <f>IF(AND(入力!$B$16&lt;&gt;"",ISNUMBER(入力!$G$16),ISNUMBER(入力!$H$16),入力!$G$16&gt;0,入力!$H$16&gt;0),入力!$H$16,"")</f>
        <v>730</v>
      </c>
      <c r="E13" s="26">
        <f>IF(AND(AND(入力!$B$16&lt;&gt;"",ISNUMBER(入力!$G$16),ISNUMBER(入力!$H$16),入力!$G$16&gt;0,入力!$H$16&gt;0),ISNUMBER(入力!$I$16),入力!$I$16&gt;0),入力!$I$16,"")</f>
        <v>106</v>
      </c>
      <c r="F13" s="27">
        <f t="shared" si="1"/>
        <v>3.5377358490566038</v>
      </c>
      <c r="G13" s="22">
        <f t="shared" si="2"/>
        <v>116.8</v>
      </c>
      <c r="H13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162.70999999999998</v>
      </c>
      <c r="I13" s="26">
        <f>IF(AND(入力!$B$16&lt;&gt;"",ISNUMBER(入力!$G$16),ISNUMBER(入力!$H$16),入力!$G$16&gt;0,入力!$H$16&gt;0),H13+設定!$E$9*C13/60,"")</f>
        <v>597.08500000000004</v>
      </c>
      <c r="J13" s="49">
        <f t="shared" si="3"/>
        <v>0.27250726445983398</v>
      </c>
      <c r="K13" s="22">
        <f t="shared" si="4"/>
        <v>81.792465753424665</v>
      </c>
      <c r="L13" s="22">
        <f>IF(K13="","",IF(AND(K13&lt;&gt;"",ISNUMBER(入力!$J$16),入力!$J$16&gt;0),$T$3+(設定!$D$17/(設定!$D$17+設定!$D$18/入力!$J$16))*(K13-$T$3),K13))</f>
        <v>89.601445304729197</v>
      </c>
      <c r="M13" s="22">
        <f>IF(AND(K13&lt;&gt;"",ISNUMBER(入力!$J$16),入力!$J$16&gt;0),L13-設定!$C$21*SQRT((設定!$D$17/(設定!$D$17+設定!$D$18/入力!$J$16))*設定!$D$18/入力!$J$16),"")</f>
        <v>59.657186301225835</v>
      </c>
      <c r="N13" s="22">
        <f>IF(AND(K13&lt;&gt;"",ISNUMBER(入力!$J$16),入力!$J$16&gt;0),L13+設定!$C$21*SQRT((設定!$D$17/(設定!$D$17+設定!$D$18/入力!$J$16))*設定!$D$18/入力!$J$16),"")</f>
        <v>119.54570430823256</v>
      </c>
      <c r="O13" s="50" t="str">
        <f t="shared" si="5"/>
        <v>○標準</v>
      </c>
      <c r="P13" s="22">
        <f t="shared" si="6"/>
        <v>90.76639999999999</v>
      </c>
      <c r="Q13" s="27">
        <f t="shared" si="7"/>
        <v>1.5922266666666667</v>
      </c>
      <c r="S13" s="47" t="s">
        <v>190</v>
      </c>
      <c r="T13" s="26">
        <f>SUMIF(I7:I66,"&gt;0",H7:H66)</f>
        <v>10850.914999999999</v>
      </c>
      <c r="U13">
        <f t="shared" si="8"/>
        <v>30672.174657534248</v>
      </c>
    </row>
    <row r="14" spans="1:21" x14ac:dyDescent="0.15">
      <c r="A14" s="48">
        <f t="shared" si="0"/>
        <v>7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 t="shared" si="1"/>
        <v>2.915991902834008</v>
      </c>
      <c r="G14" s="22">
        <f t="shared" si="2"/>
        <v>83.450190905935443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1516.5799999999997</v>
      </c>
      <c r="I14" s="26">
        <f>IF(AND(入力!$B$17&lt;&gt;"",ISNUMBER(入力!$G$17),ISNUMBER(入力!$H$17),入力!$G$17&gt;0,入力!$H$17&gt;0),H14+設定!$E$9*C14/60,"")</f>
        <v>4853.7383333333328</v>
      </c>
      <c r="J14" s="49">
        <f t="shared" si="3"/>
        <v>0.31245606908489432</v>
      </c>
      <c r="K14" s="22">
        <f t="shared" si="4"/>
        <v>121.13147824640211</v>
      </c>
      <c r="L14" s="22">
        <f>IF(K14="","",IF(AND(K14&lt;&gt;"",ISNUMBER(入力!$J$17),入力!$J$17&gt;0),$T$3+(設定!$D$17/(設定!$D$17+設定!$D$18/入力!$J$17))*(K14-$T$3),K14))</f>
        <v>120.16949514391577</v>
      </c>
      <c r="M14" s="22">
        <f>IF(AND(K14&lt;&gt;"",ISNUMBER(入力!$J$17),入力!$J$17&gt;0),L14-設定!$C$21*SQRT((設定!$D$17/(設定!$D$17+設定!$D$18/入力!$J$17))*設定!$D$18/入力!$J$17),"")</f>
        <v>104.53689250065779</v>
      </c>
      <c r="N14" s="22">
        <f>IF(AND(K14&lt;&gt;"",ISNUMBER(入力!$J$17),入力!$J$17&gt;0),L14+設定!$C$21*SQRT((設定!$D$17/(設定!$D$17+設定!$D$18/入力!$J$17))*設定!$D$18/入力!$J$17),"")</f>
        <v>135.80209778717375</v>
      </c>
      <c r="O14" s="50" t="str">
        <f t="shared" si="5"/>
        <v>○標準</v>
      </c>
      <c r="P14" s="22">
        <f t="shared" si="6"/>
        <v>51.865741062131207</v>
      </c>
      <c r="Q14" s="27">
        <f t="shared" si="7"/>
        <v>1.6847408307300704</v>
      </c>
      <c r="S14" s="47" t="s">
        <v>191</v>
      </c>
      <c r="T14" s="26">
        <f>SUM(I7:I66)</f>
        <v>39191.856666666659</v>
      </c>
      <c r="U14">
        <f t="shared" si="8"/>
        <v>348979.78882788448</v>
      </c>
    </row>
    <row r="15" spans="1:21" x14ac:dyDescent="0.15">
      <c r="A15" s="48">
        <f t="shared" si="0"/>
        <v>11</v>
      </c>
      <c r="B15" s="21" t="str">
        <f>IF(入力!$B$18="","",入力!$B$18)</f>
        <v>高橋佐織</v>
      </c>
      <c r="C15" s="26">
        <f>IF(AND(入力!$B$18&lt;&gt;"",ISNUMBER(入力!$G$18),ISNUMBER(入力!$H$18),入力!$G$18&gt;0,入力!$H$18&gt;0),入力!$G$18,"")</f>
        <v>2422</v>
      </c>
      <c r="D15" s="26">
        <f>IF(AND(入力!$B$18&lt;&gt;"",ISNUMBER(入力!$G$18),ISNUMBER(入力!$H$18),入力!$G$18&gt;0,入力!$H$18&gt;0),入力!$H$18,"")</f>
        <v>4132</v>
      </c>
      <c r="E15" s="26">
        <f>IF(AND(AND(入力!$B$18&lt;&gt;"",ISNUMBER(入力!$G$18),ISNUMBER(入力!$H$18),入力!$G$18&gt;0,入力!$H$18&gt;0),ISNUMBER(入力!$I$18),入力!$I$18&gt;0),入力!$I$18,"")</f>
        <v>699</v>
      </c>
      <c r="F15" s="27">
        <f t="shared" si="1"/>
        <v>3.4649499284692418</v>
      </c>
      <c r="G15" s="22">
        <f t="shared" si="2"/>
        <v>102.36168455821635</v>
      </c>
      <c r="H15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1072.9649999999999</v>
      </c>
      <c r="I15" s="26">
        <f>IF(AND(入力!$B$18&lt;&gt;"",ISNUMBER(入力!$G$18),ISNUMBER(入力!$H$18),入力!$G$18&gt;0,入力!$H$18&gt;0),H15+設定!$E$9*C15/60,"")</f>
        <v>3878.4483333333328</v>
      </c>
      <c r="J15" s="49">
        <f t="shared" si="3"/>
        <v>0.27664800656963762</v>
      </c>
      <c r="K15" s="22">
        <f t="shared" si="4"/>
        <v>93.863706034204569</v>
      </c>
      <c r="L15" s="22">
        <f>IF(K15="","",IF(AND(K15&lt;&gt;"",ISNUMBER(入力!$J$18),入力!$J$18&gt;0),$T$3+(設定!$D$17/(設定!$D$17+設定!$D$18/入力!$J$18))*(K15-$T$3),K15))</f>
        <v>94.989155931320283</v>
      </c>
      <c r="M15" s="22">
        <f>IF(AND(K15&lt;&gt;"",ISNUMBER(入力!$J$18),入力!$J$18&gt;0),L15-設定!$C$21*SQRT((設定!$D$17/(設定!$D$17+設定!$D$18/入力!$J$18))*設定!$D$18/入力!$J$18),"")</f>
        <v>79.722368147142134</v>
      </c>
      <c r="N15" s="22">
        <f>IF(AND(K15&lt;&gt;"",ISNUMBER(入力!$J$18),入力!$J$18&gt;0),L15+設定!$C$21*SQRT((設定!$D$17/(設定!$D$17+設定!$D$18/入力!$J$18))*設定!$D$18/入力!$J$18),"")</f>
        <v>110.25594371549843</v>
      </c>
      <c r="O15" s="50" t="str">
        <f t="shared" si="5"/>
        <v>○標準</v>
      </c>
      <c r="P15" s="22">
        <f t="shared" si="6"/>
        <v>75.781213872832367</v>
      </c>
      <c r="Q15" s="27">
        <f t="shared" si="7"/>
        <v>1.6013411780897329</v>
      </c>
      <c r="S15" s="47" t="s">
        <v>50</v>
      </c>
      <c r="T15" s="23">
        <f>IFERROR(T13/T14,"")</f>
        <v>0.27686657185672164</v>
      </c>
      <c r="U15">
        <f t="shared" si="8"/>
        <v>227337.89601484346</v>
      </c>
    </row>
    <row r="16" spans="1:21" x14ac:dyDescent="0.15">
      <c r="A16" s="48">
        <f t="shared" si="0"/>
        <v>13</v>
      </c>
      <c r="B16" s="21" t="str">
        <f>IF(入力!$B$19="","",入力!$B$19)</f>
        <v>山本祥吉</v>
      </c>
      <c r="C16" s="26">
        <f>IF(AND(入力!$B$19&lt;&gt;"",ISNUMBER(入力!$G$19),ISNUMBER(入力!$H$19),入力!$G$19&gt;0,入力!$H$19&gt;0),入力!$G$19,"")</f>
        <v>1548</v>
      </c>
      <c r="D16" s="26">
        <f>IF(AND(入力!$B$19&lt;&gt;"",ISNUMBER(入力!$G$19),ISNUMBER(入力!$H$19),入力!$G$19&gt;0,入力!$H$19&gt;0),入力!$H$19,"")</f>
        <v>2828</v>
      </c>
      <c r="E16" s="26">
        <f>IF(AND(AND(入力!$B$19&lt;&gt;"",ISNUMBER(入力!$G$19),ISNUMBER(入力!$H$19),入力!$G$19&gt;0,入力!$H$19&gt;0),ISNUMBER(入力!$I$19),入力!$I$19&gt;0),入力!$I$19,"")</f>
        <v>393</v>
      </c>
      <c r="F16" s="27">
        <f t="shared" si="1"/>
        <v>3.9389312977099236</v>
      </c>
      <c r="G16" s="22">
        <f>IF(C16="","",D16*60/C16)</f>
        <v>109.6124031007752</v>
      </c>
      <c r="H16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603.25499999999988</v>
      </c>
      <c r="I16" s="26">
        <f>IF(AND(入力!$B$19&lt;&gt;"",ISNUMBER(入力!$G$19),ISNUMBER(入力!$H$19),入力!$G$19&gt;0,入力!$H$19&gt;0),H16+設定!$E$9*C16/60,"")</f>
        <v>2396.3549999999996</v>
      </c>
      <c r="J16" s="49">
        <f t="shared" si="3"/>
        <v>0.25173857796528476</v>
      </c>
      <c r="K16" s="22">
        <f t="shared" si="4"/>
        <v>84.736739745403099</v>
      </c>
      <c r="L16" s="22">
        <f>IF(K16="","",IF(AND(K16&lt;&gt;"",ISNUMBER(入力!$J$19),入力!$J$19&gt;0),$T$3+(設定!$D$17/(設定!$D$17+設定!$D$18/入力!$J$19))*(K16-$T$3),K16))</f>
        <v>86.545994007513698</v>
      </c>
      <c r="M16" s="22">
        <f>IF(AND(K16&lt;&gt;"",ISNUMBER(入力!$J$19),入力!$J$19&gt;0),L16-設定!$C$21*SQRT((設定!$D$17/(設定!$D$17+設定!$D$18/入力!$J$19))*設定!$D$18/入力!$J$19),"")</f>
        <v>71.279206223335549</v>
      </c>
      <c r="N16" s="22">
        <f>IF(AND(K16&lt;&gt;"",ISNUMBER(入力!$J$19),入力!$J$19&gt;0),L16+設定!$C$21*SQRT((設定!$D$17/(設定!$D$17+設定!$D$18/入力!$J$19))*設定!$D$18/入力!$J$19),"")</f>
        <v>101.81278179169185</v>
      </c>
      <c r="O16" s="50" t="str">
        <f t="shared" si="5"/>
        <v>△要支援</v>
      </c>
      <c r="P16" s="22">
        <f t="shared" si="6"/>
        <v>86.230426356589135</v>
      </c>
      <c r="Q16" s="27">
        <f t="shared" si="7"/>
        <v>1.5480329457364339</v>
      </c>
      <c r="S16" s="47" t="s">
        <v>93</v>
      </c>
      <c r="T16" s="27">
        <f>IFERROR(T10/T11,"")</f>
        <v>3.4611684821049655</v>
      </c>
      <c r="U16">
        <f t="shared" si="8"/>
        <v>131172.47312588399</v>
      </c>
    </row>
    <row r="17" spans="1:21" x14ac:dyDescent="0.15">
      <c r="A17" s="48">
        <f t="shared" si="0"/>
        <v>1</v>
      </c>
      <c r="B17" s="21" t="str">
        <f>IF(入力!$B$20="","",入力!$B$20)</f>
        <v>佐々木千恵</v>
      </c>
      <c r="C17" s="26">
        <f>IF(AND(入力!$B$20&lt;&gt;"",ISNUMBER(入力!$G$20),ISNUMBER(入力!$H$20),入力!$G$20&gt;0,入力!$H$20&gt;0),入力!$G$20,"")</f>
        <v>890</v>
      </c>
      <c r="D17" s="26">
        <f>IF(AND(入力!$B$20&lt;&gt;"",ISNUMBER(入力!$G$20),ISNUMBER(入力!$H$20),入力!$G$20&gt;0,入力!$H$20&gt;0),入力!$H$20,"")</f>
        <v>770</v>
      </c>
      <c r="E17" s="26">
        <f>IF(AND(AND(入力!$B$20&lt;&gt;"",ISNUMBER(入力!$G$20),ISNUMBER(入力!$H$20),入力!$G$20&gt;0,入力!$H$20&gt;0),ISNUMBER(入力!$I$20),入力!$I$20&gt;0),入力!$I$20,"")</f>
        <v>191</v>
      </c>
      <c r="F17" s="27">
        <f t="shared" si="1"/>
        <v>4.6596858638743459</v>
      </c>
      <c r="G17" s="22">
        <f t="shared" si="2"/>
        <v>51.91011235955056</v>
      </c>
      <c r="H1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17" s="26">
        <f>IF(AND(入力!$B$20&lt;&gt;"",ISNUMBER(入力!$G$20),ISNUMBER(入力!$H$20),入力!$G$20&gt;0,入力!$H$20&gt;0),H17+設定!$E$9*C17/60,"")</f>
        <v>1324.1016666666667</v>
      </c>
      <c r="J17" s="49">
        <f t="shared" si="3"/>
        <v>0.22142181932152744</v>
      </c>
      <c r="K17" s="22">
        <f t="shared" si="4"/>
        <v>171.96125541125542</v>
      </c>
      <c r="L17" s="22">
        <f>IF(K17="","",IF(AND(K17&lt;&gt;"",ISNUMBER(入力!$J$20),入力!$J$20&gt;0),$T$3+(設定!$D$17/(設定!$D$17+設定!$D$18/入力!$J$20))*(K17-$T$3),K17))</f>
        <v>160.10839574130645</v>
      </c>
      <c r="M17" s="22">
        <f>IF(AND(K17&lt;&gt;"",ISNUMBER(入力!$J$20),入力!$J$20&gt;0),L17-設定!$C$21*SQRT((設定!$D$17/(設定!$D$17+設定!$D$18/入力!$J$20))*設定!$D$18/入力!$J$20),"")</f>
        <v>135.93012854187444</v>
      </c>
      <c r="N17" s="22">
        <f>IF(AND(K17&lt;&gt;"",ISNUMBER(入力!$J$20),入力!$J$20&gt;0),L17+設定!$C$21*SQRT((設定!$D$17/(設定!$D$17+設定!$D$18/入力!$J$20))*設定!$D$18/入力!$J$20),"")</f>
        <v>184.28666294073847</v>
      </c>
      <c r="O17" s="50" t="str">
        <f t="shared" si="5"/>
        <v>◎上位</v>
      </c>
      <c r="P17" s="22">
        <f t="shared" si="6"/>
        <v>32.144831460674162</v>
      </c>
      <c r="Q17" s="27">
        <f t="shared" si="7"/>
        <v>1.4877546816479401</v>
      </c>
      <c r="S17" s="47" t="s">
        <v>100</v>
      </c>
      <c r="T17" s="22">
        <f>IFERROR(T12*60/T10,"")</f>
        <v>96.097600850124664</v>
      </c>
      <c r="U17">
        <f t="shared" si="8"/>
        <v>153045.51731601733</v>
      </c>
    </row>
    <row r="18" spans="1:21" x14ac:dyDescent="0.15">
      <c r="A18" s="48">
        <f t="shared" si="0"/>
        <v>3</v>
      </c>
      <c r="B18" s="21" t="str">
        <f>IF(入力!$B$21="","",入力!$B$21)</f>
        <v>北田倫子</v>
      </c>
      <c r="C18" s="26">
        <f>IF(AND(入力!$B$21&lt;&gt;"",ISNUMBER(入力!$G$21),ISNUMBER(入力!$H$21),入力!$G$21&gt;0,入力!$H$21&gt;0),入力!$G$21,"")</f>
        <v>1442</v>
      </c>
      <c r="D18" s="26">
        <f>IF(AND(入力!$B$21&lt;&gt;"",ISNUMBER(入力!$G$21),ISNUMBER(入力!$H$21),入力!$G$21&gt;0,入力!$H$21&gt;0),入力!$H$21,"")</f>
        <v>1758</v>
      </c>
      <c r="E18" s="26">
        <f>IF(AND(AND(入力!$B$21&lt;&gt;"",ISNUMBER(入力!$G$21),ISNUMBER(入力!$H$21),入力!$G$21&gt;0,入力!$H$21&gt;0),ISNUMBER(入力!$I$21),入力!$I$21&gt;0),入力!$I$21,"")</f>
        <v>472</v>
      </c>
      <c r="F18" s="27">
        <f t="shared" si="1"/>
        <v>3.0550847457627119</v>
      </c>
      <c r="G18" s="22">
        <f t="shared" si="2"/>
        <v>73.148404993065185</v>
      </c>
      <c r="H18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8" s="26">
        <f>IF(AND(入力!$B$21&lt;&gt;"",ISNUMBER(入力!$G$21),ISNUMBER(入力!$H$21),入力!$G$21&gt;0,入力!$H$21&gt;0),H18+設定!$E$9*C18/60,"")</f>
        <v>2394.8366666666666</v>
      </c>
      <c r="J18" s="49">
        <f t="shared" si="3"/>
        <v>0.3025342020541415</v>
      </c>
      <c r="K18" s="22">
        <f t="shared" si="4"/>
        <v>136.2250663632916</v>
      </c>
      <c r="L18" s="22">
        <f>IF(K18="","",IF(AND(K18&lt;&gt;"",ISNUMBER(入力!$J$21),入力!$J$21&gt;0),$T$3+(設定!$D$17/(設定!$D$17+設定!$D$18/入力!$J$21))*(K18-$T$3),K18))</f>
        <v>133.19600527081576</v>
      </c>
      <c r="M18" s="22">
        <f>IF(AND(K18&lt;&gt;"",ISNUMBER(入力!$J$21),入力!$J$21&gt;0),L18-設定!$C$21*SQRT((設定!$D$17/(設定!$D$17+設定!$D$18/入力!$J$21))*設定!$D$18/入力!$J$21),"")</f>
        <v>114.63066675713404</v>
      </c>
      <c r="N18" s="22">
        <f>IF(AND(K18&lt;&gt;"",ISNUMBER(入力!$J$21),入力!$J$21&gt;0),L18+設定!$C$21*SQRT((設定!$D$17/(設定!$D$17+設定!$D$18/入力!$J$21))*設定!$D$18/入力!$J$21),"")</f>
        <v>151.76134378449748</v>
      </c>
      <c r="O18" s="50" t="str">
        <f t="shared" si="5"/>
        <v>◎上位</v>
      </c>
      <c r="P18" s="22">
        <f t="shared" si="6"/>
        <v>43.001941747572815</v>
      </c>
      <c r="Q18" s="27">
        <f t="shared" si="7"/>
        <v>1.6607743874248728</v>
      </c>
      <c r="U18">
        <f t="shared" si="8"/>
        <v>196436.54569586649</v>
      </c>
    </row>
    <row r="19" spans="1:21" x14ac:dyDescent="0.15">
      <c r="A19" s="48">
        <f t="shared" si="0"/>
        <v>15</v>
      </c>
      <c r="B19" s="21" t="str">
        <f>IF(入力!$B$22="","",入力!$B$22)</f>
        <v>中納沙織</v>
      </c>
      <c r="C19" s="26">
        <f>IF(AND(入力!$B$22&lt;&gt;"",ISNUMBER(入力!$G$22),ISNUMBER(入力!$H$22),入力!$G$22&gt;0,入力!$H$22&gt;0),入力!$G$22,"")</f>
        <v>224</v>
      </c>
      <c r="D19" s="26">
        <f>IF(AND(入力!$B$22&lt;&gt;"",ISNUMBER(入力!$G$22),ISNUMBER(入力!$H$22),入力!$G$22&gt;0,入力!$H$22&gt;0),入力!$H$22,"")</f>
        <v>475</v>
      </c>
      <c r="E19" s="26">
        <f>IF(AND(AND(入力!$B$22&lt;&gt;"",ISNUMBER(入力!$G$22),ISNUMBER(入力!$H$22),入力!$G$22&gt;0,入力!$H$22&gt;0),ISNUMBER(入力!$I$22),入力!$I$22&gt;0),入力!$I$22,"")</f>
        <v>38</v>
      </c>
      <c r="F19" s="27">
        <f t="shared" si="1"/>
        <v>5.8947368421052628</v>
      </c>
      <c r="G19" s="22">
        <f t="shared" si="2"/>
        <v>127.23214285714286</v>
      </c>
      <c r="H19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19" s="26">
        <f>IF(AND(入力!$B$22&lt;&gt;"",ISNUMBER(入力!$G$22),ISNUMBER(入力!$H$22),入力!$G$22&gt;0,入力!$H$22&gt;0),H19+設定!$E$9*C19/60,"")</f>
        <v>317.79666666666662</v>
      </c>
      <c r="J19" s="49">
        <f t="shared" si="3"/>
        <v>0.1835450340364384</v>
      </c>
      <c r="K19" s="22">
        <f t="shared" si="4"/>
        <v>66.904561403508765</v>
      </c>
      <c r="L19" s="22">
        <f>IF(K19="","",IF(AND(K19&lt;&gt;"",ISNUMBER(入力!$J$22),入力!$J$22&gt;0),$T$3+(設定!$D$17/(設定!$D$17+設定!$D$18/入力!$J$22))*(K19-$T$3),K19))</f>
        <v>81.623854973799993</v>
      </c>
      <c r="M19" s="22">
        <f>IF(AND(K19&lt;&gt;"",ISNUMBER(入力!$J$22),入力!$J$22&gt;0),L19-設定!$C$21*SQRT((設定!$D$17/(設定!$D$17+設定!$D$18/入力!$J$22))*設定!$D$18/入力!$J$22),"")</f>
        <v>48.597354460797391</v>
      </c>
      <c r="N19" s="22">
        <f>IF(AND(K19&lt;&gt;"",ISNUMBER(入力!$J$22),入力!$J$22&gt;0),L19+設定!$C$21*SQRT((設定!$D$17/(設定!$D$17+設定!$D$18/入力!$J$22))*設定!$D$18/入力!$J$22),"")</f>
        <v>114.6503554868026</v>
      </c>
      <c r="O19" s="50" t="str">
        <f t="shared" si="5"/>
        <v>○標準</v>
      </c>
      <c r="P19" s="22">
        <f t="shared" si="6"/>
        <v>111.60803571428572</v>
      </c>
      <c r="Q19" s="27">
        <f t="shared" si="7"/>
        <v>1.418735119047619</v>
      </c>
      <c r="U19">
        <f t="shared" si="8"/>
        <v>14986.621754385964</v>
      </c>
    </row>
    <row r="20" spans="1:21" x14ac:dyDescent="0.15">
      <c r="A20" s="48" t="str">
        <f t="shared" si="0"/>
        <v/>
      </c>
      <c r="B20" s="21" t="str">
        <f>IF(入力!$B$23="","",入力!$B$23)</f>
        <v>石戸谷亜子</v>
      </c>
      <c r="C20" s="26" t="str">
        <f>IF(AND(入力!$B$23&lt;&gt;"",ISNUMBER(入力!$G$23),ISNUMBER(入力!$H$23),入力!$G$23&gt;0,入力!$H$23&gt;0),入力!$G$23,"")</f>
        <v/>
      </c>
      <c r="D20" s="26" t="str">
        <f>IF(AND(入力!$B$23&lt;&gt;"",ISNUMBER(入力!$G$23),ISNUMBER(入力!$H$23),入力!$G$23&gt;0,入力!$H$23&gt;0),入力!$H$23,"")</f>
        <v/>
      </c>
      <c r="E20" s="26" t="str">
        <f>IF(AND(AND(入力!$B$23&lt;&gt;"",ISNUMBER(入力!$G$23),ISNUMBER(入力!$H$23),入力!$G$23&gt;0,入力!$H$23&gt;0),ISNUMBER(入力!$I$23),入力!$I$23&gt;0),入力!$I$23,"")</f>
        <v/>
      </c>
      <c r="F20" s="27" t="str">
        <f t="shared" si="1"/>
        <v/>
      </c>
      <c r="G20" s="22" t="str">
        <f t="shared" si="2"/>
        <v/>
      </c>
      <c r="H20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0" s="26" t="str">
        <f>IF(AND(入力!$B$23&lt;&gt;"",ISNUMBER(入力!$G$23),ISNUMBER(入力!$H$23),入力!$G$23&gt;0,入力!$H$23&gt;0),H20+設定!$E$9*C20/60,"")</f>
        <v/>
      </c>
      <c r="J20" s="49" t="str">
        <f t="shared" si="3"/>
        <v/>
      </c>
      <c r="K20" s="22" t="str">
        <f t="shared" si="4"/>
        <v/>
      </c>
      <c r="L20" s="22" t="str">
        <f>IF(K20="","",IF(AND(K20&lt;&gt;"",ISNUMBER(入力!$J$23),入力!$J$23&gt;0),$T$3+(設定!$D$17/(設定!$D$17+設定!$D$18/入力!$J$23))*(K20-$T$3),K20))</f>
        <v/>
      </c>
      <c r="M20" s="22" t="str">
        <f>IF(AND(K20&lt;&gt;"",ISNUMBER(入力!$J$23),入力!$J$23&gt;0),L20-設定!$C$21*SQRT((設定!$D$17/(設定!$D$17+設定!$D$18/入力!$J$23))*設定!$D$18/入力!$J$23),"")</f>
        <v/>
      </c>
      <c r="N20" s="22" t="str">
        <f>IF(AND(K20&lt;&gt;"",ISNUMBER(入力!$J$23),入力!$J$23&gt;0),L20+設定!$C$21*SQRT((設定!$D$17/(設定!$D$17+設定!$D$18/入力!$J$23))*設定!$D$18/入力!$J$23),"")</f>
        <v/>
      </c>
      <c r="O20" s="50" t="str">
        <f t="shared" si="5"/>
        <v/>
      </c>
      <c r="P20" s="22" t="str">
        <f t="shared" si="6"/>
        <v/>
      </c>
      <c r="Q20" s="27" t="str">
        <f t="shared" si="7"/>
        <v/>
      </c>
      <c r="U20">
        <f t="shared" si="8"/>
        <v>0</v>
      </c>
    </row>
    <row r="21" spans="1:21" x14ac:dyDescent="0.15">
      <c r="A21" s="48">
        <f t="shared" si="0"/>
        <v>19</v>
      </c>
      <c r="B21" s="21" t="str">
        <f>IF(入力!$B$24="","",入力!$B$24)</f>
        <v>森田美加</v>
      </c>
      <c r="C21" s="26">
        <f>IF(AND(入力!$B$24&lt;&gt;"",ISNUMBER(入力!$G$24),ISNUMBER(入力!$H$24),入力!$G$24&gt;0,入力!$H$24&gt;0),入力!$G$24,"")</f>
        <v>630</v>
      </c>
      <c r="D21" s="26">
        <f>IF(AND(入力!$B$24&lt;&gt;"",ISNUMBER(入力!$G$24),ISNUMBER(入力!$H$24),入力!$G$24&gt;0,入力!$H$24&gt;0),入力!$H$24,"")</f>
        <v>1945</v>
      </c>
      <c r="E21" s="26">
        <f>IF(AND(AND(入力!$B$24&lt;&gt;"",ISNUMBER(入力!$G$24),ISNUMBER(入力!$H$24),入力!$G$24&gt;0,入力!$H$24&gt;0),ISNUMBER(入力!$I$24),入力!$I$24&gt;0),入力!$I$24,"")</f>
        <v>187</v>
      </c>
      <c r="F21" s="27">
        <f t="shared" si="1"/>
        <v>3.3689839572192515</v>
      </c>
      <c r="G21" s="22">
        <f t="shared" si="2"/>
        <v>185.23809523809524</v>
      </c>
      <c r="H21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287.04500000000002</v>
      </c>
      <c r="I21" s="26">
        <f>IF(AND(入力!$B$24&lt;&gt;"",ISNUMBER(入力!$G$24),ISNUMBER(入力!$H$24),入力!$G$24&gt;0,入力!$H$24&gt;0),H21+設定!$E$9*C21/60,"")</f>
        <v>1016.7950000000001</v>
      </c>
      <c r="J21" s="49">
        <f t="shared" si="3"/>
        <v>0.28230370920392017</v>
      </c>
      <c r="K21" s="22">
        <f t="shared" si="4"/>
        <v>52.277377892030849</v>
      </c>
      <c r="L21" s="22">
        <f>IF(K21="","",IF(AND(K21&lt;&gt;"",ISNUMBER(入力!$J$24),入力!$J$24&gt;0),$T$3+(設定!$D$17/(設定!$D$17+設定!$D$18/入力!$J$24))*(K21-$T$3),K21))</f>
        <v>60.168471740699999</v>
      </c>
      <c r="M21" s="22">
        <f>IF(AND(K21&lt;&gt;"",ISNUMBER(入力!$J$24),入力!$J$24&gt;0),L21-設定!$C$21*SQRT((設定!$D$17/(設定!$D$17+設定!$D$18/入力!$J$24))*設定!$D$18/入力!$J$24),"")</f>
        <v>39.34398394917595</v>
      </c>
      <c r="N21" s="22">
        <f>IF(AND(K21&lt;&gt;"",ISNUMBER(入力!$J$24),入力!$J$24&gt;0),L21+設定!$C$21*SQRT((設定!$D$17/(設定!$D$17+設定!$D$18/入力!$J$24))*設定!$D$18/入力!$J$24),"")</f>
        <v>80.992959532224049</v>
      </c>
      <c r="O21" s="50" t="str">
        <f t="shared" si="5"/>
        <v>△要支援</v>
      </c>
      <c r="P21" s="22">
        <f t="shared" si="6"/>
        <v>157.90047619047618</v>
      </c>
      <c r="Q21" s="27">
        <f t="shared" si="7"/>
        <v>1.6139603174603177</v>
      </c>
      <c r="U21">
        <f t="shared" si="8"/>
        <v>32934.748071979433</v>
      </c>
    </row>
    <row r="22" spans="1:21" x14ac:dyDescent="0.15">
      <c r="A22" s="48">
        <f t="shared" si="0"/>
        <v>8</v>
      </c>
      <c r="B22" s="21" t="str">
        <f>IF(入力!$B$25="","",入力!$B$25)</f>
        <v>河野忠</v>
      </c>
      <c r="C22" s="26">
        <f>IF(AND(入力!$B$25&lt;&gt;"",ISNUMBER(入力!$G$25),ISNUMBER(入力!$H$25),入力!$G$25&gt;0,入力!$H$25&gt;0),入力!$G$25,"")</f>
        <v>593</v>
      </c>
      <c r="D22" s="26">
        <f>IF(AND(入力!$B$25&lt;&gt;"",ISNUMBER(入力!$G$25),ISNUMBER(入力!$H$25),入力!$G$25&gt;0,入力!$H$25&gt;0),入力!$H$25,"")</f>
        <v>685</v>
      </c>
      <c r="E22" s="26">
        <f>IF(AND(AND(入力!$B$25&lt;&gt;"",ISNUMBER(入力!$G$25),ISNUMBER(入力!$H$25),入力!$G$25&gt;0,入力!$H$25&gt;0),ISNUMBER(入力!$I$25),入力!$I$25&gt;0),入力!$I$25,"")</f>
        <v>72</v>
      </c>
      <c r="F22" s="27">
        <f t="shared" si="1"/>
        <v>8.2361111111111107</v>
      </c>
      <c r="G22" s="22">
        <f t="shared" si="2"/>
        <v>69.308600337268132</v>
      </c>
      <c r="H22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22" s="26">
        <f>IF(AND(入力!$B$25&lt;&gt;"",ISNUMBER(入力!$G$25),ISNUMBER(入力!$H$25),入力!$G$25&gt;0,入力!$H$25&gt;0),H22+設定!$E$9*C22/60,"")</f>
        <v>797.41166666666663</v>
      </c>
      <c r="J22" s="49">
        <f t="shared" si="3"/>
        <v>0.13859842364985045</v>
      </c>
      <c r="K22" s="22">
        <f t="shared" si="4"/>
        <v>116.41046228710461</v>
      </c>
      <c r="L22" s="22">
        <f>IF(K22="","",IF(AND(K22&lt;&gt;"",ISNUMBER(入力!$J$25),入力!$J$25&gt;0),$T$3+(設定!$D$17/(設定!$D$17+設定!$D$18/入力!$J$25))*(K22-$T$3),K22))</f>
        <v>114.9964054395198</v>
      </c>
      <c r="M22" s="22">
        <f>IF(AND(K22&lt;&gt;"",ISNUMBER(入力!$J$25),入力!$J$25&gt;0),L22-設定!$C$21*SQRT((設定!$D$17/(設定!$D$17+設定!$D$18/入力!$J$25))*設定!$D$18/入力!$J$25),"")</f>
        <v>90.818138240087791</v>
      </c>
      <c r="N22" s="22">
        <f>IF(AND(K22&lt;&gt;"",ISNUMBER(入力!$J$25),入力!$J$25&gt;0),L22+設定!$C$21*SQRT((設定!$D$17/(設定!$D$17+設定!$D$18/入力!$J$25))*設定!$D$18/入力!$J$25),"")</f>
        <v>139.17467263895182</v>
      </c>
      <c r="O22" s="50" t="str">
        <f t="shared" si="5"/>
        <v>○標準</v>
      </c>
      <c r="P22" s="22">
        <f t="shared" si="6"/>
        <v>58.126138279932555</v>
      </c>
      <c r="Q22" s="27">
        <f t="shared" si="7"/>
        <v>1.344707700955593</v>
      </c>
      <c r="U22">
        <f t="shared" si="8"/>
        <v>69031.404136253026</v>
      </c>
    </row>
    <row r="23" spans="1:21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 t="shared" si="1"/>
        <v>3.8716814159292037</v>
      </c>
      <c r="G23" s="22">
        <f t="shared" si="2"/>
        <v>129.87428571428572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693.81999999999994</v>
      </c>
      <c r="I23" s="26">
        <f>IF(AND(入力!$B$26&lt;&gt;"",ISNUMBER(入力!$G$26),ISNUMBER(入力!$H$26),入力!$G$26&gt;0,入力!$H$26&gt;0),H23+設定!$E$9*C23/60,"")</f>
        <v>2720.9033333333332</v>
      </c>
      <c r="J23" s="49">
        <f t="shared" si="3"/>
        <v>0.2549961961162408</v>
      </c>
      <c r="K23" s="22">
        <f t="shared" si="4"/>
        <v>71.829549454417446</v>
      </c>
      <c r="L23" s="22">
        <f>IF(K23="","",IF(AND(K23&lt;&gt;"",ISNUMBER(入力!$J$26),入力!$J$26&gt;0),$T$3+(設定!$D$17/(設定!$D$17+設定!$D$18/入力!$J$26))*(K23-$T$3),K23))</f>
        <v>74.605827454922348</v>
      </c>
      <c r="M23" s="22">
        <f>IF(AND(K23&lt;&gt;"",ISNUMBER(入力!$J$26),入力!$J$26&gt;0),L23-設定!$C$21*SQRT((設定!$D$17/(設定!$D$17+設定!$D$18/入力!$J$26))*設定!$D$18/入力!$J$26),"")</f>
        <v>59.339039670744199</v>
      </c>
      <c r="N23" s="22">
        <f>IF(AND(K23&lt;&gt;"",ISNUMBER(入力!$J$26),入力!$J$26&gt;0),L23+設定!$C$21*SQRT((設定!$D$17/(設定!$D$17+設定!$D$18/入力!$J$26))*設定!$D$18/入力!$J$26),"")</f>
        <v>89.872615239100497</v>
      </c>
      <c r="O23" s="50" t="str">
        <f t="shared" si="5"/>
        <v>△要支援</v>
      </c>
      <c r="P23" s="22">
        <f t="shared" si="6"/>
        <v>106.08617142857143</v>
      </c>
      <c r="Q23" s="27">
        <f t="shared" si="7"/>
        <v>1.5548019047619046</v>
      </c>
      <c r="U23">
        <f t="shared" si="8"/>
        <v>125701.71154523053</v>
      </c>
    </row>
    <row r="24" spans="1:21" x14ac:dyDescent="0.15">
      <c r="A24" s="48" t="str">
        <f t="shared" si="0"/>
        <v/>
      </c>
      <c r="B24" s="21" t="str">
        <f>IF(入力!$B$27="","",入力!$B$27)</f>
        <v>奥野愛海</v>
      </c>
      <c r="C24" s="26" t="str">
        <f>IF(AND(入力!$B$27&lt;&gt;"",ISNUMBER(入力!$G$27),ISNUMBER(入力!$H$27),入力!$G$27&gt;0,入力!$H$27&gt;0),入力!$G$27,"")</f>
        <v/>
      </c>
      <c r="D24" s="26" t="str">
        <f>IF(AND(入力!$B$27&lt;&gt;"",ISNUMBER(入力!$G$27),ISNUMBER(入力!$H$27),入力!$G$27&gt;0,入力!$H$27&gt;0),入力!$H$27,"")</f>
        <v/>
      </c>
      <c r="E24" s="26" t="str">
        <f>IF(AND(AND(入力!$B$27&lt;&gt;"",ISNUMBER(入力!$G$27),ISNUMBER(入力!$H$27),入力!$G$27&gt;0,入力!$H$27&gt;0),ISNUMBER(入力!$I$27),入力!$I$27&gt;0),入力!$I$27,"")</f>
        <v/>
      </c>
      <c r="F24" s="27" t="str">
        <f t="shared" si="1"/>
        <v/>
      </c>
      <c r="G24" s="22" t="str">
        <f t="shared" si="2"/>
        <v/>
      </c>
      <c r="H24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4" s="26" t="str">
        <f>IF(AND(入力!$B$27&lt;&gt;"",ISNUMBER(入力!$G$27),ISNUMBER(入力!$H$27),入力!$G$27&gt;0,入力!$H$27&gt;0),H24+設定!$E$9*C24/60,"")</f>
        <v/>
      </c>
      <c r="J24" s="49" t="str">
        <f t="shared" si="3"/>
        <v/>
      </c>
      <c r="K24" s="22" t="str">
        <f t="shared" si="4"/>
        <v/>
      </c>
      <c r="L24" s="22" t="str">
        <f>IF(K24="","",IF(AND(K24&lt;&gt;"",ISNUMBER(入力!$J$27),入力!$J$27&gt;0),$T$3+(設定!$D$17/(設定!$D$17+設定!$D$18/入力!$J$27))*(K24-$T$3),K24))</f>
        <v/>
      </c>
      <c r="M24" s="22" t="str">
        <f>IF(AND(K24&lt;&gt;"",ISNUMBER(入力!$J$27),入力!$J$27&gt;0),L24-設定!$C$21*SQRT((設定!$D$17/(設定!$D$17+設定!$D$18/入力!$J$27))*設定!$D$18/入力!$J$27),"")</f>
        <v/>
      </c>
      <c r="N24" s="22" t="str">
        <f>IF(AND(K24&lt;&gt;"",ISNUMBER(入力!$J$27),入力!$J$27&gt;0),L24+設定!$C$21*SQRT((設定!$D$17/(設定!$D$17+設定!$D$18/入力!$J$27))*設定!$D$18/入力!$J$27),"")</f>
        <v/>
      </c>
      <c r="O24" s="50" t="str">
        <f t="shared" si="5"/>
        <v/>
      </c>
      <c r="P24" s="22" t="str">
        <f t="shared" si="6"/>
        <v/>
      </c>
      <c r="Q24" s="27" t="str">
        <f t="shared" si="7"/>
        <v/>
      </c>
      <c r="U24">
        <f t="shared" si="8"/>
        <v>0</v>
      </c>
    </row>
    <row r="25" spans="1:21" x14ac:dyDescent="0.15">
      <c r="A25" s="48">
        <f t="shared" si="0"/>
        <v>10</v>
      </c>
      <c r="B25" s="21" t="str">
        <f>IF(入力!$B$28="","",入力!$B$28)</f>
        <v>鈴木香織</v>
      </c>
      <c r="C25" s="26">
        <f>IF(AND(入力!$B$28&lt;&gt;"",ISNUMBER(入力!$G$28),ISNUMBER(入力!$H$28),入力!$G$28&gt;0,入力!$H$28&gt;0),入力!$G$28,"")</f>
        <v>1050</v>
      </c>
      <c r="D25" s="26">
        <f>IF(AND(入力!$B$28&lt;&gt;"",ISNUMBER(入力!$G$28),ISNUMBER(入力!$H$28),入力!$G$28&gt;0,入力!$H$28&gt;0),入力!$H$28,"")</f>
        <v>1848</v>
      </c>
      <c r="E25" s="26">
        <f>IF(AND(AND(入力!$B$28&lt;&gt;"",ISNUMBER(入力!$G$28),ISNUMBER(入力!$H$28),入力!$G$28&gt;0,入力!$H$28&gt;0),ISNUMBER(入力!$I$28),入力!$I$28&gt;0),入力!$I$28,"")</f>
        <v>380</v>
      </c>
      <c r="F25" s="27">
        <f t="shared" si="1"/>
        <v>2.763157894736842</v>
      </c>
      <c r="G25" s="22">
        <f t="shared" si="2"/>
        <v>105.6</v>
      </c>
      <c r="H25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583.29999999999995</v>
      </c>
      <c r="I25" s="26">
        <f>IF(AND(入力!$B$28&lt;&gt;"",ISNUMBER(入力!$G$28),ISNUMBER(入力!$H$28),入力!$G$28&gt;0,入力!$H$28&gt;0),H25+設定!$E$9*C25/60,"")</f>
        <v>1799.55</v>
      </c>
      <c r="J25" s="49">
        <f t="shared" si="3"/>
        <v>0.32413658970298126</v>
      </c>
      <c r="K25" s="22">
        <f t="shared" si="4"/>
        <v>97.378246753246756</v>
      </c>
      <c r="L25" s="22">
        <f>IF(K25="","",IF(AND(K25&lt;&gt;"",ISNUMBER(入力!$J$28),入力!$J$28&gt;0),$T$3+(設定!$D$17/(設定!$D$17+設定!$D$18/入力!$J$28))*(K25-$T$3),K25))</f>
        <v>98.746784747731013</v>
      </c>
      <c r="M25" s="22">
        <f>IF(AND(K25&lt;&gt;"",ISNUMBER(入力!$J$28),入力!$J$28&gt;0),L25-設定!$C$21*SQRT((設定!$D$17/(設定!$D$17+設定!$D$18/入力!$J$28))*設定!$D$18/入力!$J$28),"")</f>
        <v>79.511959635943597</v>
      </c>
      <c r="N25" s="22">
        <f>IF(AND(K25&lt;&gt;"",ISNUMBER(入力!$J$28),入力!$J$28&gt;0),L25+設定!$C$21*SQRT((設定!$D$17/(設定!$D$17+設定!$D$18/入力!$J$28))*設定!$D$18/入力!$J$28),"")</f>
        <v>117.98160985951843</v>
      </c>
      <c r="O25" s="50" t="str">
        <f t="shared" si="5"/>
        <v>○標準</v>
      </c>
      <c r="P25" s="22">
        <f t="shared" si="6"/>
        <v>72.268571428571434</v>
      </c>
      <c r="Q25" s="27">
        <f t="shared" si="7"/>
        <v>1.7138571428571427</v>
      </c>
      <c r="U25">
        <f t="shared" si="8"/>
        <v>102247.15909090909</v>
      </c>
    </row>
    <row r="26" spans="1:21" x14ac:dyDescent="0.15">
      <c r="A26" s="48" t="str">
        <f t="shared" si="0"/>
        <v/>
      </c>
      <c r="B26" s="21" t="str">
        <f>IF(入力!$B$29="","",入力!$B$29)</f>
        <v>向井ひかり</v>
      </c>
      <c r="C26" s="26" t="str">
        <f>IF(AND(入力!$B$29&lt;&gt;"",ISNUMBER(入力!$G$29),ISNUMBER(入力!$H$29),入力!$G$29&gt;0,入力!$H$29&gt;0),入力!$G$29,"")</f>
        <v/>
      </c>
      <c r="D26" s="26" t="str">
        <f>IF(AND(入力!$B$29&lt;&gt;"",ISNUMBER(入力!$G$29),ISNUMBER(入力!$H$29),入力!$G$29&gt;0,入力!$H$29&gt;0),入力!$H$29,"")</f>
        <v/>
      </c>
      <c r="E26" s="26" t="str">
        <f>IF(AND(AND(入力!$B$29&lt;&gt;"",ISNUMBER(入力!$G$29),ISNUMBER(入力!$H$29),入力!$G$29&gt;0,入力!$H$29&gt;0),ISNUMBER(入力!$I$29),入力!$I$29&gt;0),入力!$I$29,"")</f>
        <v/>
      </c>
      <c r="F26" s="27" t="str">
        <f t="shared" si="1"/>
        <v/>
      </c>
      <c r="G26" s="22" t="str">
        <f t="shared" si="2"/>
        <v/>
      </c>
      <c r="H26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6" s="26" t="str">
        <f>IF(AND(入力!$B$29&lt;&gt;"",ISNUMBER(入力!$G$29),ISNUMBER(入力!$H$29),入力!$G$29&gt;0,入力!$H$29&gt;0),H26+設定!$E$9*C26/60,"")</f>
        <v/>
      </c>
      <c r="J26" s="49" t="str">
        <f t="shared" si="3"/>
        <v/>
      </c>
      <c r="K26" s="22" t="str">
        <f t="shared" si="4"/>
        <v/>
      </c>
      <c r="L26" s="22" t="str">
        <f>IF(K26="","",IF(AND(K26&lt;&gt;"",ISNUMBER(入力!$J$29),入力!$J$29&gt;0),$T$3+(設定!$D$17/(設定!$D$17+設定!$D$18/入力!$J$29))*(K26-$T$3),K26))</f>
        <v/>
      </c>
      <c r="M26" s="22" t="str">
        <f>IF(AND(K26&lt;&gt;"",ISNUMBER(入力!$J$29),入力!$J$29&gt;0),L26-設定!$C$21*SQRT((設定!$D$17/(設定!$D$17+設定!$D$18/入力!$J$29))*設定!$D$18/入力!$J$29),"")</f>
        <v/>
      </c>
      <c r="N26" s="22" t="str">
        <f>IF(AND(K26&lt;&gt;"",ISNUMBER(入力!$J$29),入力!$J$29&gt;0),L26+設定!$C$21*SQRT((設定!$D$17/(設定!$D$17+設定!$D$18/入力!$J$29))*設定!$D$18/入力!$J$29),"")</f>
        <v/>
      </c>
      <c r="O26" s="50" t="str">
        <f t="shared" si="5"/>
        <v/>
      </c>
      <c r="P26" s="22" t="str">
        <f t="shared" si="6"/>
        <v/>
      </c>
      <c r="Q26" s="27" t="str">
        <f t="shared" si="7"/>
        <v/>
      </c>
      <c r="U26">
        <f t="shared" si="8"/>
        <v>0</v>
      </c>
    </row>
    <row r="27" spans="1:21" x14ac:dyDescent="0.15">
      <c r="A27" s="48" t="str">
        <f t="shared" si="0"/>
        <v/>
      </c>
      <c r="B27" s="21" t="str">
        <f>IF(入力!$B$30="","",入力!$B$30)</f>
        <v>片岡達也</v>
      </c>
      <c r="C27" s="26" t="str">
        <f>IF(AND(入力!$B$30&lt;&gt;"",ISNUMBER(入力!$G$30),ISNUMBER(入力!$H$30),入力!$G$30&gt;0,入力!$H$30&gt;0),入力!$G$30,"")</f>
        <v/>
      </c>
      <c r="D27" s="26" t="str">
        <f>IF(AND(入力!$B$30&lt;&gt;"",ISNUMBER(入力!$G$30),ISNUMBER(入力!$H$30),入力!$G$30&gt;0,入力!$H$30&gt;0),入力!$H$30,"")</f>
        <v/>
      </c>
      <c r="E27" s="26" t="str">
        <f>IF(AND(AND(入力!$B$30&lt;&gt;"",ISNUMBER(入力!$G$30),ISNUMBER(入力!$H$30),入力!$G$30&gt;0,入力!$H$30&gt;0),ISNUMBER(入力!$I$30),入力!$I$30&gt;0),入力!$I$30,"")</f>
        <v/>
      </c>
      <c r="F27" s="27" t="str">
        <f t="shared" si="1"/>
        <v/>
      </c>
      <c r="G27" s="22" t="str">
        <f t="shared" si="2"/>
        <v/>
      </c>
      <c r="H27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27" s="26" t="str">
        <f>IF(AND(入力!$B$30&lt;&gt;"",ISNUMBER(入力!$G$30),ISNUMBER(入力!$H$30),入力!$G$30&gt;0,入力!$H$30&gt;0),H27+設定!$E$9*C27/60,"")</f>
        <v/>
      </c>
      <c r="J27" s="49" t="str">
        <f t="shared" si="3"/>
        <v/>
      </c>
      <c r="K27" s="22" t="str">
        <f t="shared" si="4"/>
        <v/>
      </c>
      <c r="L27" s="22" t="str">
        <f>IF(K27="","",IF(AND(K27&lt;&gt;"",ISNUMBER(入力!$J$30),入力!$J$30&gt;0),$T$3+(設定!$D$17/(設定!$D$17+設定!$D$18/入力!$J$30))*(K27-$T$3),K27))</f>
        <v/>
      </c>
      <c r="M27" s="22" t="str">
        <f>IF(AND(K27&lt;&gt;"",ISNUMBER(入力!$J$30),入力!$J$30&gt;0),L27-設定!$C$21*SQRT((設定!$D$17/(設定!$D$17+設定!$D$18/入力!$J$30))*設定!$D$18/入力!$J$30),"")</f>
        <v/>
      </c>
      <c r="N27" s="22" t="str">
        <f>IF(AND(K27&lt;&gt;"",ISNUMBER(入力!$J$30),入力!$J$30&gt;0),L27+設定!$C$21*SQRT((設定!$D$17/(設定!$D$17+設定!$D$18/入力!$J$30))*設定!$D$18/入力!$J$30),"")</f>
        <v/>
      </c>
      <c r="O27" s="50" t="str">
        <f t="shared" si="5"/>
        <v/>
      </c>
      <c r="P27" s="22" t="str">
        <f t="shared" si="6"/>
        <v/>
      </c>
      <c r="Q27" s="27" t="str">
        <f t="shared" si="7"/>
        <v/>
      </c>
      <c r="U27">
        <f t="shared" si="8"/>
        <v>0</v>
      </c>
    </row>
    <row r="28" spans="1:21" x14ac:dyDescent="0.15">
      <c r="A28" s="48" t="str">
        <f t="shared" si="0"/>
        <v/>
      </c>
      <c r="B28" s="21" t="str">
        <f>IF(入力!$B$31="","",入力!$B$31)</f>
        <v>廣瀬こずえ</v>
      </c>
      <c r="C28" s="26" t="str">
        <f>IF(AND(入力!$B$31&lt;&gt;"",ISNUMBER(入力!$G$31),ISNUMBER(入力!$H$31),入力!$G$31&gt;0,入力!$H$31&gt;0),入力!$G$31,"")</f>
        <v/>
      </c>
      <c r="D28" s="26" t="str">
        <f>IF(AND(入力!$B$31&lt;&gt;"",ISNUMBER(入力!$G$31),ISNUMBER(入力!$H$31),入力!$G$31&gt;0,入力!$H$31&gt;0),入力!$H$31,"")</f>
        <v/>
      </c>
      <c r="E28" s="26" t="str">
        <f>IF(AND(AND(入力!$B$31&lt;&gt;"",ISNUMBER(入力!$G$31),ISNUMBER(入力!$H$31),入力!$G$31&gt;0,入力!$H$31&gt;0),ISNUMBER(入力!$I$31),入力!$I$31&gt;0),入力!$I$31,"")</f>
        <v/>
      </c>
      <c r="F28" s="27" t="str">
        <f t="shared" si="1"/>
        <v/>
      </c>
      <c r="G28" s="22" t="str">
        <f t="shared" si="2"/>
        <v/>
      </c>
      <c r="H28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28" s="26" t="str">
        <f>IF(AND(入力!$B$31&lt;&gt;"",ISNUMBER(入力!$G$31),ISNUMBER(入力!$H$31),入力!$G$31&gt;0,入力!$H$31&gt;0),H28+設定!$E$9*C28/60,"")</f>
        <v/>
      </c>
      <c r="J28" s="49" t="str">
        <f t="shared" si="3"/>
        <v/>
      </c>
      <c r="K28" s="22" t="str">
        <f t="shared" si="4"/>
        <v/>
      </c>
      <c r="L28" s="22" t="str">
        <f>IF(K28="","",IF(AND(K28&lt;&gt;"",ISNUMBER(入力!$J$31),入力!$J$31&gt;0),$T$3+(設定!$D$17/(設定!$D$17+設定!$D$18/入力!$J$31))*(K28-$T$3),K28))</f>
        <v/>
      </c>
      <c r="M28" s="22" t="str">
        <f>IF(AND(K28&lt;&gt;"",ISNUMBER(入力!$J$31),入力!$J$31&gt;0),L28-設定!$C$21*SQRT((設定!$D$17/(設定!$D$17+設定!$D$18/入力!$J$31))*設定!$D$18/入力!$J$31),"")</f>
        <v/>
      </c>
      <c r="N28" s="22" t="str">
        <f>IF(AND(K28&lt;&gt;"",ISNUMBER(入力!$J$31),入力!$J$31&gt;0),L28+設定!$C$21*SQRT((設定!$D$17/(設定!$D$17+設定!$D$18/入力!$J$31))*設定!$D$18/入力!$J$31),"")</f>
        <v/>
      </c>
      <c r="O28" s="50" t="str">
        <f t="shared" si="5"/>
        <v/>
      </c>
      <c r="P28" s="22" t="str">
        <f t="shared" si="6"/>
        <v/>
      </c>
      <c r="Q28" s="27" t="str">
        <f t="shared" si="7"/>
        <v/>
      </c>
      <c r="U28">
        <f t="shared" si="8"/>
        <v>0</v>
      </c>
    </row>
    <row r="29" spans="1:21" x14ac:dyDescent="0.15">
      <c r="A29" s="48">
        <f t="shared" si="0"/>
        <v>9</v>
      </c>
      <c r="B29" s="21" t="str">
        <f>IF(入力!$B$32="","",入力!$B$32)</f>
        <v>森本久美</v>
      </c>
      <c r="C29" s="26">
        <f>IF(AND(入力!$B$32&lt;&gt;"",ISNUMBER(入力!$G$32),ISNUMBER(入力!$H$32),入力!$G$32&gt;0,入力!$H$32&gt;0),入力!$G$32,"")</f>
        <v>970</v>
      </c>
      <c r="D29" s="26">
        <f>IF(AND(入力!$B$32&lt;&gt;"",ISNUMBER(入力!$G$32),ISNUMBER(入力!$H$32),入力!$G$32&gt;0,入力!$H$32&gt;0),入力!$H$32,"")</f>
        <v>1558</v>
      </c>
      <c r="E29" s="26">
        <f>IF(AND(AND(入力!$B$32&lt;&gt;"",ISNUMBER(入力!$G$32),ISNUMBER(入力!$H$32),入力!$G$32&gt;0,入力!$H$32&gt;0),ISNUMBER(入力!$I$32),入力!$I$32&gt;0),入力!$I$32,"")</f>
        <v>293</v>
      </c>
      <c r="F29" s="27">
        <f t="shared" si="1"/>
        <v>3.310580204778157</v>
      </c>
      <c r="G29" s="22">
        <f t="shared" si="2"/>
        <v>96.371134020618555</v>
      </c>
      <c r="H29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29" s="26">
        <f>IF(AND(入力!$B$32&lt;&gt;"",ISNUMBER(入力!$G$32),ISNUMBER(入力!$H$32),入力!$G$32&gt;0,入力!$H$32&gt;0),H29+設定!$E$9*C29/60,"")</f>
        <v>1573.3383333333331</v>
      </c>
      <c r="J29" s="49">
        <f t="shared" si="3"/>
        <v>0.28586032035915143</v>
      </c>
      <c r="K29" s="22">
        <f t="shared" si="4"/>
        <v>100.98448866067606</v>
      </c>
      <c r="L29" s="22">
        <f>IF(K29="","",IF(AND(K29&lt;&gt;"",ISNUMBER(入力!$J$32),入力!$J$32&gt;0),$T$3+(設定!$D$17/(設定!$D$17+設定!$D$18/入力!$J$32))*(K29-$T$3),K29))</f>
        <v>102.18958506791222</v>
      </c>
      <c r="M29" s="22">
        <f>IF(AND(K29&lt;&gt;"",ISNUMBER(入力!$J$32),入力!$J$32&gt;0),L29-設定!$C$21*SQRT((設定!$D$17/(設定!$D$17+設定!$D$18/入力!$J$32))*設定!$D$18/入力!$J$32),"")</f>
        <v>80.406694173190601</v>
      </c>
      <c r="N29" s="22">
        <f>IF(AND(K29&lt;&gt;"",ISNUMBER(入力!$J$32),入力!$J$32&gt;0),L29+設定!$C$21*SQRT((設定!$D$17/(設定!$D$17+設定!$D$18/入力!$J$32))*設定!$D$18/入力!$J$32),"")</f>
        <v>123.97247596263384</v>
      </c>
      <c r="O29" s="50" t="str">
        <f t="shared" si="5"/>
        <v>○標準</v>
      </c>
      <c r="P29" s="22">
        <f t="shared" si="6"/>
        <v>68.551237113402053</v>
      </c>
      <c r="Q29" s="27">
        <f t="shared" si="7"/>
        <v>1.6219982817869414</v>
      </c>
      <c r="U29">
        <f t="shared" si="8"/>
        <v>97954.954000855781</v>
      </c>
    </row>
    <row r="30" spans="1:21" x14ac:dyDescent="0.15">
      <c r="A30" s="48">
        <f t="shared" si="0"/>
        <v>18</v>
      </c>
      <c r="B30" s="21" t="str">
        <f>IF(入力!$B$33="","",入力!$B$33)</f>
        <v>菊池敬</v>
      </c>
      <c r="C30" s="26">
        <f>IF(AND(入力!$B$33&lt;&gt;"",ISNUMBER(入力!$G$33),ISNUMBER(入力!$H$33),入力!$G$33&gt;0,入力!$H$33&gt;0),入力!$G$33,"")</f>
        <v>1183</v>
      </c>
      <c r="D30" s="26">
        <f>IF(AND(入力!$B$33&lt;&gt;"",ISNUMBER(入力!$G$33),ISNUMBER(入力!$H$33),入力!$G$33&gt;0,入力!$H$33&gt;0),入力!$H$33,"")</f>
        <v>2943</v>
      </c>
      <c r="E30" s="26">
        <f>IF(AND(AND(入力!$B$33&lt;&gt;"",ISNUMBER(入力!$G$33),ISNUMBER(入力!$H$33),入力!$G$33&gt;0,入力!$H$33&gt;0),ISNUMBER(入力!$I$33),入力!$I$33&gt;0),入力!$I$33,"")</f>
        <v>367</v>
      </c>
      <c r="F30" s="27">
        <f t="shared" si="1"/>
        <v>3.223433242506812</v>
      </c>
      <c r="G30" s="22">
        <f t="shared" si="2"/>
        <v>149.26458157227387</v>
      </c>
      <c r="H30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563.34499999999991</v>
      </c>
      <c r="I30" s="26">
        <f>IF(AND(入力!$B$33&lt;&gt;"",ISNUMBER(入力!$G$33),ISNUMBER(入力!$H$33),入力!$G$33&gt;0,入力!$H$33&gt;0),H30+設定!$E$9*C30/60,"")</f>
        <v>1933.6533333333332</v>
      </c>
      <c r="J30" s="49">
        <f t="shared" si="3"/>
        <v>0.29133712351059132</v>
      </c>
      <c r="K30" s="22">
        <f t="shared" si="4"/>
        <v>65.703477177483293</v>
      </c>
      <c r="L30" s="22">
        <f>IF(K30="","",IF(AND(K30&lt;&gt;"",ISNUMBER(入力!$J$33),入力!$J$33&gt;0),$T$3+(設定!$D$17/(設定!$D$17+設定!$D$18/入力!$J$33))*(K30-$T$3),K30))</f>
        <v>69.459988943073199</v>
      </c>
      <c r="M30" s="22">
        <f>IF(AND(K30&lt;&gt;"",ISNUMBER(入力!$J$33),入力!$J$33&gt;0),L30-設定!$C$21*SQRT((設定!$D$17/(設定!$D$17+設定!$D$18/入力!$J$33))*設定!$D$18/入力!$J$33),"")</f>
        <v>53.009226654047183</v>
      </c>
      <c r="N30" s="22">
        <f>IF(AND(K30&lt;&gt;"",ISNUMBER(入力!$J$33),入力!$J$33&gt;0),L30+設定!$C$21*SQRT((設定!$D$17/(設定!$D$17+設定!$D$18/入力!$J$33))*設定!$D$18/入力!$J$33),"")</f>
        <v>85.910751232099216</v>
      </c>
      <c r="O30" s="50" t="str">
        <f t="shared" si="5"/>
        <v>△要支援</v>
      </c>
      <c r="P30" s="22">
        <f t="shared" si="6"/>
        <v>120.69256128486899</v>
      </c>
      <c r="Q30" s="27">
        <f t="shared" si="7"/>
        <v>1.6345336714567482</v>
      </c>
      <c r="U30">
        <f t="shared" si="8"/>
        <v>77727.213500962738</v>
      </c>
    </row>
    <row r="31" spans="1:21" x14ac:dyDescent="0.15">
      <c r="A31" s="48" t="str">
        <f t="shared" si="0"/>
        <v/>
      </c>
      <c r="B31" s="21" t="str">
        <f>IF(入力!$B$34="","",入力!$B$34)</f>
        <v>高橋正美</v>
      </c>
      <c r="C31" s="26" t="str">
        <f>IF(AND(入力!$B$34&lt;&gt;"",ISNUMBER(入力!$G$34),ISNUMBER(入力!$H$34),入力!$G$34&gt;0,入力!$H$34&gt;0),入力!$G$34,"")</f>
        <v/>
      </c>
      <c r="D31" s="26" t="str">
        <f>IF(AND(入力!$B$34&lt;&gt;"",ISNUMBER(入力!$G$34),ISNUMBER(入力!$H$34),入力!$G$34&gt;0,入力!$H$34&gt;0),入力!$H$34,"")</f>
        <v/>
      </c>
      <c r="E31" s="26" t="str">
        <f>IF(AND(AND(入力!$B$34&lt;&gt;"",ISNUMBER(入力!$G$34),ISNUMBER(入力!$H$34),入力!$G$34&gt;0,入力!$H$34&gt;0),ISNUMBER(入力!$I$34),入力!$I$34&gt;0),入力!$I$34,"")</f>
        <v/>
      </c>
      <c r="F31" s="27" t="str">
        <f t="shared" si="1"/>
        <v/>
      </c>
      <c r="G31" s="22" t="str">
        <f t="shared" si="2"/>
        <v/>
      </c>
      <c r="H31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1" s="26" t="str">
        <f>IF(AND(入力!$B$34&lt;&gt;"",ISNUMBER(入力!$G$34),ISNUMBER(入力!$H$34),入力!$G$34&gt;0,入力!$H$34&gt;0),H31+設定!$E$9*C31/60,"")</f>
        <v/>
      </c>
      <c r="J31" s="49" t="str">
        <f t="shared" si="3"/>
        <v/>
      </c>
      <c r="K31" s="22" t="str">
        <f t="shared" si="4"/>
        <v/>
      </c>
      <c r="L31" s="22" t="str">
        <f>IF(K31="","",IF(AND(K31&lt;&gt;"",ISNUMBER(入力!$J$34),入力!$J$34&gt;0),$T$3+(設定!$D$17/(設定!$D$17+設定!$D$18/入力!$J$34))*(K31-$T$3),K31))</f>
        <v/>
      </c>
      <c r="M31" s="22" t="str">
        <f>IF(AND(K31&lt;&gt;"",ISNUMBER(入力!$J$34),入力!$J$34&gt;0),L31-設定!$C$21*SQRT((設定!$D$17/(設定!$D$17+設定!$D$18/入力!$J$34))*設定!$D$18/入力!$J$34),"")</f>
        <v/>
      </c>
      <c r="N31" s="22" t="str">
        <f>IF(AND(K31&lt;&gt;"",ISNUMBER(入力!$J$34),入力!$J$34&gt;0),L31+設定!$C$21*SQRT((設定!$D$17/(設定!$D$17+設定!$D$18/入力!$J$34))*設定!$D$18/入力!$J$34),"")</f>
        <v/>
      </c>
      <c r="O31" s="50" t="str">
        <f t="shared" si="5"/>
        <v/>
      </c>
      <c r="P31" s="22" t="str">
        <f t="shared" si="6"/>
        <v/>
      </c>
      <c r="Q31" s="27" t="str">
        <f t="shared" si="7"/>
        <v/>
      </c>
      <c r="U31">
        <f t="shared" si="8"/>
        <v>0</v>
      </c>
    </row>
    <row r="32" spans="1:21" x14ac:dyDescent="0.15">
      <c r="A32" s="48" t="str">
        <f t="shared" si="0"/>
        <v/>
      </c>
      <c r="B32" s="21" t="str">
        <f>IF(入力!$B$35="","",入力!$B$35)</f>
        <v>秋草文恵</v>
      </c>
      <c r="C32" s="26" t="str">
        <f>IF(AND(入力!$B$35&lt;&gt;"",ISNUMBER(入力!$G$35),ISNUMBER(入力!$H$35),入力!$G$35&gt;0,入力!$H$35&gt;0),入力!$G$35,"")</f>
        <v/>
      </c>
      <c r="D32" s="26" t="str">
        <f>IF(AND(入力!$B$35&lt;&gt;"",ISNUMBER(入力!$G$35),ISNUMBER(入力!$H$35),入力!$G$35&gt;0,入力!$H$35&gt;0),入力!$H$35,"")</f>
        <v/>
      </c>
      <c r="E32" s="26" t="str">
        <f>IF(AND(AND(入力!$B$35&lt;&gt;"",ISNUMBER(入力!$G$35),ISNUMBER(入力!$H$35),入力!$G$35&gt;0,入力!$H$35&gt;0),ISNUMBER(入力!$I$35),入力!$I$35&gt;0),入力!$I$35,"")</f>
        <v/>
      </c>
      <c r="F32" s="27" t="str">
        <f t="shared" si="1"/>
        <v/>
      </c>
      <c r="G32" s="22" t="str">
        <f t="shared" si="2"/>
        <v/>
      </c>
      <c r="H32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2" s="26" t="str">
        <f>IF(AND(入力!$B$35&lt;&gt;"",ISNUMBER(入力!$G$35),ISNUMBER(入力!$H$35),入力!$G$35&gt;0,入力!$H$35&gt;0),H32+設定!$E$9*C32/60,"")</f>
        <v/>
      </c>
      <c r="J32" s="49" t="str">
        <f t="shared" si="3"/>
        <v/>
      </c>
      <c r="K32" s="22" t="str">
        <f t="shared" si="4"/>
        <v/>
      </c>
      <c r="L32" s="22" t="str">
        <f>IF(K32="","",IF(AND(K32&lt;&gt;"",ISNUMBER(入力!$J$35),入力!$J$35&gt;0),$T$3+(設定!$D$17/(設定!$D$17+設定!$D$18/入力!$J$35))*(K32-$T$3),K32))</f>
        <v/>
      </c>
      <c r="M32" s="22" t="str">
        <f>IF(AND(K32&lt;&gt;"",ISNUMBER(入力!$J$35),入力!$J$35&gt;0),L32-設定!$C$21*SQRT((設定!$D$17/(設定!$D$17+設定!$D$18/入力!$J$35))*設定!$D$18/入力!$J$35),"")</f>
        <v/>
      </c>
      <c r="N32" s="22" t="str">
        <f>IF(AND(K32&lt;&gt;"",ISNUMBER(入力!$J$35),入力!$J$35&gt;0),L32+設定!$C$21*SQRT((設定!$D$17/(設定!$D$17+設定!$D$18/入力!$J$35))*設定!$D$18/入力!$J$35),"")</f>
        <v/>
      </c>
      <c r="O32" s="50" t="str">
        <f t="shared" si="5"/>
        <v/>
      </c>
      <c r="P32" s="22" t="str">
        <f t="shared" si="6"/>
        <v/>
      </c>
      <c r="Q32" s="27" t="str">
        <f t="shared" si="7"/>
        <v/>
      </c>
      <c r="U32">
        <f t="shared" si="8"/>
        <v>0</v>
      </c>
    </row>
    <row r="33" spans="1:21" x14ac:dyDescent="0.15">
      <c r="A33" s="48" t="str">
        <f t="shared" si="0"/>
        <v/>
      </c>
      <c r="B33" s="21" t="str">
        <f>IF(入力!$B$36="","",入力!$B$36)</f>
        <v>上村和恵</v>
      </c>
      <c r="C33" s="26" t="str">
        <f>IF(AND(入力!$B$36&lt;&gt;"",ISNUMBER(入力!$G$36),ISNUMBER(入力!$H$36),入力!$G$36&gt;0,入力!$H$36&gt;0),入力!$G$36,"")</f>
        <v/>
      </c>
      <c r="D33" s="26" t="str">
        <f>IF(AND(入力!$B$36&lt;&gt;"",ISNUMBER(入力!$G$36),ISNUMBER(入力!$H$36),入力!$G$36&gt;0,入力!$H$36&gt;0),入力!$H$36,"")</f>
        <v/>
      </c>
      <c r="E33" s="26" t="str">
        <f>IF(AND(AND(入力!$B$36&lt;&gt;"",ISNUMBER(入力!$G$36),ISNUMBER(入力!$H$36),入力!$G$36&gt;0,入力!$H$36&gt;0),ISNUMBER(入力!$I$36),入力!$I$36&gt;0),入力!$I$36,"")</f>
        <v/>
      </c>
      <c r="F33" s="27" t="str">
        <f t="shared" si="1"/>
        <v/>
      </c>
      <c r="G33" s="22" t="str">
        <f t="shared" si="2"/>
        <v/>
      </c>
      <c r="H33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3" s="26" t="str">
        <f>IF(AND(入力!$B$36&lt;&gt;"",ISNUMBER(入力!$G$36),ISNUMBER(入力!$H$36),入力!$G$36&gt;0,入力!$H$36&gt;0),H33+設定!$E$9*C33/60,"")</f>
        <v/>
      </c>
      <c r="J33" s="49" t="str">
        <f t="shared" si="3"/>
        <v/>
      </c>
      <c r="K33" s="22" t="str">
        <f t="shared" si="4"/>
        <v/>
      </c>
      <c r="L33" s="22" t="str">
        <f>IF(K33="","",IF(AND(K33&lt;&gt;"",ISNUMBER(入力!$J$36),入力!$J$36&gt;0),$T$3+(設定!$D$17/(設定!$D$17+設定!$D$18/入力!$J$36))*(K33-$T$3),K33))</f>
        <v/>
      </c>
      <c r="M33" s="22" t="str">
        <f>IF(AND(K33&lt;&gt;"",ISNUMBER(入力!$J$36),入力!$J$36&gt;0),L33-設定!$C$21*SQRT((設定!$D$17/(設定!$D$17+設定!$D$18/入力!$J$36))*設定!$D$18/入力!$J$36),"")</f>
        <v/>
      </c>
      <c r="N33" s="22" t="str">
        <f>IF(AND(K33&lt;&gt;"",ISNUMBER(入力!$J$36),入力!$J$36&gt;0),L33+設定!$C$21*SQRT((設定!$D$17/(設定!$D$17+設定!$D$18/入力!$J$36))*設定!$D$18/入力!$J$36),"")</f>
        <v/>
      </c>
      <c r="O33" s="50" t="str">
        <f t="shared" si="5"/>
        <v/>
      </c>
      <c r="P33" s="22" t="str">
        <f t="shared" si="6"/>
        <v/>
      </c>
      <c r="Q33" s="27" t="str">
        <f t="shared" si="7"/>
        <v/>
      </c>
      <c r="U33">
        <f t="shared" si="8"/>
        <v>0</v>
      </c>
    </row>
    <row r="34" spans="1:21" x14ac:dyDescent="0.15">
      <c r="A34" s="48" t="str">
        <f t="shared" si="0"/>
        <v/>
      </c>
      <c r="B34" s="21" t="str">
        <f>IF(入力!$B$37="","",入力!$B$37)</f>
        <v>平田学</v>
      </c>
      <c r="C34" s="26" t="str">
        <f>IF(AND(入力!$B$37&lt;&gt;"",ISNUMBER(入力!$G$37),ISNUMBER(入力!$H$37),入力!$G$37&gt;0,入力!$H$37&gt;0),入力!$G$37,"")</f>
        <v/>
      </c>
      <c r="D34" s="26" t="str">
        <f>IF(AND(入力!$B$37&lt;&gt;"",ISNUMBER(入力!$G$37),ISNUMBER(入力!$H$37),入力!$G$37&gt;0,入力!$H$37&gt;0),入力!$H$37,"")</f>
        <v/>
      </c>
      <c r="E34" s="26" t="str">
        <f>IF(AND(AND(入力!$B$37&lt;&gt;"",ISNUMBER(入力!$G$37),ISNUMBER(入力!$H$37),入力!$G$37&gt;0,入力!$H$37&gt;0),ISNUMBER(入力!$I$37),入力!$I$37&gt;0),入力!$I$37,"")</f>
        <v/>
      </c>
      <c r="F34" s="27" t="str">
        <f t="shared" si="1"/>
        <v/>
      </c>
      <c r="G34" s="22" t="str">
        <f t="shared" si="2"/>
        <v/>
      </c>
      <c r="H34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4" s="26" t="str">
        <f>IF(AND(入力!$B$37&lt;&gt;"",ISNUMBER(入力!$G$37),ISNUMBER(入力!$H$37),入力!$G$37&gt;0,入力!$H$37&gt;0),H34+設定!$E$9*C34/60,"")</f>
        <v/>
      </c>
      <c r="J34" s="49" t="str">
        <f t="shared" si="3"/>
        <v/>
      </c>
      <c r="K34" s="22" t="str">
        <f t="shared" si="4"/>
        <v/>
      </c>
      <c r="L34" s="22" t="str">
        <f>IF(K34="","",IF(AND(K34&lt;&gt;"",ISNUMBER(入力!$J$37),入力!$J$37&gt;0),$T$3+(設定!$D$17/(設定!$D$17+設定!$D$18/入力!$J$37))*(K34-$T$3),K34))</f>
        <v/>
      </c>
      <c r="M34" s="22" t="str">
        <f>IF(AND(K34&lt;&gt;"",ISNUMBER(入力!$J$37),入力!$J$37&gt;0),L34-設定!$C$21*SQRT((設定!$D$17/(設定!$D$17+設定!$D$18/入力!$J$37))*設定!$D$18/入力!$J$37),"")</f>
        <v/>
      </c>
      <c r="N34" s="22" t="str">
        <f>IF(AND(K34&lt;&gt;"",ISNUMBER(入力!$J$37),入力!$J$37&gt;0),L34+設定!$C$21*SQRT((設定!$D$17/(設定!$D$17+設定!$D$18/入力!$J$37))*設定!$D$18/入力!$J$37),"")</f>
        <v/>
      </c>
      <c r="O34" s="50" t="str">
        <f t="shared" si="5"/>
        <v/>
      </c>
      <c r="P34" s="22" t="str">
        <f t="shared" si="6"/>
        <v/>
      </c>
      <c r="Q34" s="27" t="str">
        <f t="shared" si="7"/>
        <v/>
      </c>
      <c r="U34">
        <f t="shared" si="8"/>
        <v>0</v>
      </c>
    </row>
    <row r="35" spans="1:21" x14ac:dyDescent="0.15">
      <c r="A35" s="48">
        <f t="shared" si="0"/>
        <v>6</v>
      </c>
      <c r="B35" s="21" t="str">
        <f>IF(入力!$B$38="","",入力!$B$38)</f>
        <v>飯田由加里</v>
      </c>
      <c r="C35" s="26">
        <f>IF(AND(入力!$B$38&lt;&gt;"",ISNUMBER(入力!$G$38),ISNUMBER(入力!$H$38),入力!$G$38&gt;0,入力!$H$38&gt;0),入力!$G$38,"")</f>
        <v>1061</v>
      </c>
      <c r="D35" s="26">
        <f>IF(AND(入力!$B$38&lt;&gt;"",ISNUMBER(入力!$G$38),ISNUMBER(入力!$H$38),入力!$G$38&gt;0,入力!$H$38&gt;0),入力!$H$38,"")</f>
        <v>1466</v>
      </c>
      <c r="E35" s="26">
        <f>IF(AND(AND(入力!$B$38&lt;&gt;"",ISNUMBER(入力!$G$38),ISNUMBER(入力!$H$38),入力!$G$38&gt;0,入力!$H$38&gt;0),ISNUMBER(入力!$I$38),入力!$I$38&gt;0),入力!$I$38,"")</f>
        <v>433</v>
      </c>
      <c r="F35" s="27">
        <f t="shared" si="1"/>
        <v>2.4503464203233256</v>
      </c>
      <c r="G35" s="22">
        <f t="shared" si="2"/>
        <v>82.902921771913284</v>
      </c>
      <c r="H35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664.65499999999997</v>
      </c>
      <c r="I35" s="26">
        <f>IF(AND(入力!$B$38&lt;&gt;"",ISNUMBER(入力!$G$38),ISNUMBER(入力!$H$38),入力!$G$38&gt;0,入力!$H$38&gt;0),H35+設定!$E$9*C35/60,"")</f>
        <v>1893.6466666666665</v>
      </c>
      <c r="J35" s="49">
        <f t="shared" si="3"/>
        <v>0.35099208933732801</v>
      </c>
      <c r="K35" s="22">
        <f t="shared" si="4"/>
        <v>129.17098681218735</v>
      </c>
      <c r="L35" s="22">
        <f>IF(K35="","",IF(AND(K35&lt;&gt;"",ISNUMBER(入力!$J$38),入力!$J$38&gt;0),$T$3+(設定!$D$17/(設定!$D$17+設定!$D$18/入力!$J$38))*(K35-$T$3),K35))</f>
        <v>126.75845645824401</v>
      </c>
      <c r="M35" s="22">
        <f>IF(AND(K35&lt;&gt;"",ISNUMBER(入力!$J$38),入力!$J$38&gt;0),L35-設定!$C$21*SQRT((設定!$D$17/(設定!$D$17+設定!$D$18/入力!$J$38))*設定!$D$18/入力!$J$38),"")</f>
        <v>107.5236313464566</v>
      </c>
      <c r="N35" s="22">
        <f>IF(AND(K35&lt;&gt;"",ISNUMBER(入力!$J$38),入力!$J$38&gt;0),L35+設定!$C$21*SQRT((設定!$D$17/(設定!$D$17+設定!$D$18/入力!$J$38))*設定!$D$18/入力!$J$38),"")</f>
        <v>145.99328157003143</v>
      </c>
      <c r="O35" s="50" t="str">
        <f t="shared" si="5"/>
        <v>○標準</v>
      </c>
      <c r="P35" s="22">
        <f t="shared" si="6"/>
        <v>45.316399622997174</v>
      </c>
      <c r="Q35" s="27">
        <f t="shared" si="7"/>
        <v>1.7847753691486019</v>
      </c>
      <c r="U35">
        <f t="shared" si="8"/>
        <v>137050.41700773078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IF(K36="","",IF(AND(K36&lt;&gt;"",ISNUMBER(入力!$J$39),入力!$J$39&gt;0),$T$3+(設定!$D$17/(設定!$D$17+設定!$D$18/入力!$J$39))*(K36-$T$3),K36))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 t="shared" si="5"/>
        <v/>
      </c>
      <c r="P36" s="22" t="str">
        <f t="shared" si="6"/>
        <v/>
      </c>
      <c r="Q36" s="27" t="str">
        <f t="shared" si="7"/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IF(K37="","",IF(AND(K37&lt;&gt;"",ISNUMBER(入力!$J$40),入力!$J$40&gt;0),$T$3+(設定!$D$17/(設定!$D$17+設定!$D$18/入力!$J$40))*(K37-$T$3),K37))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 t="shared" si="5"/>
        <v/>
      </c>
      <c r="P37" s="22" t="str">
        <f t="shared" si="6"/>
        <v/>
      </c>
      <c r="Q37" s="27" t="str">
        <f t="shared" si="7"/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IF(K38="","",IF(AND(K38&lt;&gt;"",ISNUMBER(入力!$J$41),入力!$J$41&gt;0),$T$3+(設定!$D$17/(設定!$D$17+設定!$D$18/入力!$J$41))*(K38-$T$3),K38))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 t="shared" si="5"/>
        <v/>
      </c>
      <c r="P38" s="22" t="str">
        <f t="shared" si="6"/>
        <v/>
      </c>
      <c r="Q38" s="27" t="str">
        <f t="shared" si="7"/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IF(K39="","",IF(AND(K39&lt;&gt;"",ISNUMBER(入力!$J$42),入力!$J$42&gt;0),$T$3+(設定!$D$17/(設定!$D$17+設定!$D$18/入力!$J$42))*(K39-$T$3),K39))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 t="shared" ref="O39:O66" si="14">IF(L39="","",IF(M39="","日数未入力",IF(M39&gt;$T$3,"◎上位",IF(N39&lt;$T$3,"△要支援","○標準"))))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IF(K40="","",IF(AND(K40&lt;&gt;"",ISNUMBER(入力!$J$43),入力!$J$43&gt;0),$T$3+(設定!$D$17/(設定!$D$17+設定!$D$18/入力!$J$43))*(K40-$T$3),K40))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 t="shared" si="14"/>
        <v/>
      </c>
      <c r="P40" s="22" t="str">
        <f t="shared" si="15"/>
        <v/>
      </c>
      <c r="Q40" s="27" t="str">
        <f t="shared" si="16"/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IF(K41="","",IF(AND(K41&lt;&gt;"",ISNUMBER(入力!$J$44),入力!$J$44&gt;0),$T$3+(設定!$D$17/(設定!$D$17+設定!$D$18/入力!$J$44))*(K41-$T$3),K41))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 t="shared" si="14"/>
        <v/>
      </c>
      <c r="P41" s="22" t="str">
        <f t="shared" si="15"/>
        <v/>
      </c>
      <c r="Q41" s="27" t="str">
        <f t="shared" si="16"/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IF(K42="","",IF(AND(K42&lt;&gt;"",ISNUMBER(入力!$J$45),入力!$J$45&gt;0),$T$3+(設定!$D$17/(設定!$D$17+設定!$D$18/入力!$J$45))*(K42-$T$3),K42))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 t="shared" si="14"/>
        <v/>
      </c>
      <c r="P42" s="22" t="str">
        <f t="shared" si="15"/>
        <v/>
      </c>
      <c r="Q42" s="27" t="str">
        <f t="shared" si="16"/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IF(K43="","",IF(AND(K43&lt;&gt;"",ISNUMBER(入力!$J$46),入力!$J$46&gt;0),$T$3+(設定!$D$17/(設定!$D$17+設定!$D$18/入力!$J$46))*(K43-$T$3),K43))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 t="shared" si="14"/>
        <v/>
      </c>
      <c r="P43" s="22" t="str">
        <f t="shared" si="15"/>
        <v/>
      </c>
      <c r="Q43" s="27" t="str">
        <f t="shared" si="16"/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IF(K44="","",IF(AND(K44&lt;&gt;"",ISNUMBER(入力!$J$47),入力!$J$47&gt;0),$T$3+(設定!$D$17/(設定!$D$17+設定!$D$18/入力!$J$47))*(K44-$T$3),K44))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 t="shared" si="14"/>
        <v/>
      </c>
      <c r="P44" s="22" t="str">
        <f t="shared" si="15"/>
        <v/>
      </c>
      <c r="Q44" s="27" t="str">
        <f t="shared" si="16"/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IF(K45="","",IF(AND(K45&lt;&gt;"",ISNUMBER(入力!$J$48),入力!$J$48&gt;0),$T$3+(設定!$D$17/(設定!$D$17+設定!$D$18/入力!$J$48))*(K45-$T$3),K45))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 t="shared" si="14"/>
        <v/>
      </c>
      <c r="P45" s="22" t="str">
        <f t="shared" si="15"/>
        <v/>
      </c>
      <c r="Q45" s="27" t="str">
        <f t="shared" si="16"/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IF(K46="","",IF(AND(K46&lt;&gt;"",ISNUMBER(入力!$J$49),入力!$J$49&gt;0),$T$3+(設定!$D$17/(設定!$D$17+設定!$D$18/入力!$J$49))*(K46-$T$3),K46))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 t="shared" si="14"/>
        <v/>
      </c>
      <c r="P46" s="22" t="str">
        <f t="shared" si="15"/>
        <v/>
      </c>
      <c r="Q46" s="27" t="str">
        <f t="shared" si="16"/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IF(K47="","",IF(AND(K47&lt;&gt;"",ISNUMBER(入力!$J$50),入力!$J$50&gt;0),$T$3+(設定!$D$17/(設定!$D$17+設定!$D$18/入力!$J$50))*(K47-$T$3),K47))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 t="shared" si="14"/>
        <v/>
      </c>
      <c r="P47" s="22" t="str">
        <f t="shared" si="15"/>
        <v/>
      </c>
      <c r="Q47" s="27" t="str">
        <f t="shared" si="16"/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IF(K48="","",IF(AND(K48&lt;&gt;"",ISNUMBER(入力!$J$51),入力!$J$51&gt;0),$T$3+(設定!$D$17/(設定!$D$17+設定!$D$18/入力!$J$51))*(K48-$T$3),K48))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 t="shared" si="14"/>
        <v/>
      </c>
      <c r="P48" s="22" t="str">
        <f t="shared" si="15"/>
        <v/>
      </c>
      <c r="Q48" s="27" t="str">
        <f t="shared" si="16"/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IF(K49="","",IF(AND(K49&lt;&gt;"",ISNUMBER(入力!$J$52),入力!$J$52&gt;0),$T$3+(設定!$D$17/(設定!$D$17+設定!$D$18/入力!$J$52))*(K49-$T$3),K49))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 t="shared" si="14"/>
        <v/>
      </c>
      <c r="P49" s="22" t="str">
        <f t="shared" si="15"/>
        <v/>
      </c>
      <c r="Q49" s="27" t="str">
        <f t="shared" si="16"/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IF(K50="","",IF(AND(K50&lt;&gt;"",ISNUMBER(入力!$J$53),入力!$J$53&gt;0),$T$3+(設定!$D$17/(設定!$D$17+設定!$D$18/入力!$J$53))*(K50-$T$3),K50))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 t="shared" si="14"/>
        <v/>
      </c>
      <c r="P50" s="22" t="str">
        <f t="shared" si="15"/>
        <v/>
      </c>
      <c r="Q50" s="27" t="str">
        <f t="shared" si="16"/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IF(K51="","",IF(AND(K51&lt;&gt;"",ISNUMBER(入力!$J$54),入力!$J$54&gt;0),$T$3+(設定!$D$17/(設定!$D$17+設定!$D$18/入力!$J$54))*(K51-$T$3),K51))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 t="shared" si="14"/>
        <v/>
      </c>
      <c r="P51" s="22" t="str">
        <f t="shared" si="15"/>
        <v/>
      </c>
      <c r="Q51" s="27" t="str">
        <f t="shared" si="16"/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IF(K52="","",IF(AND(K52&lt;&gt;"",ISNUMBER(入力!$J$55),入力!$J$55&gt;0),$T$3+(設定!$D$17/(設定!$D$17+設定!$D$18/入力!$J$55))*(K52-$T$3),K52))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 t="shared" si="14"/>
        <v/>
      </c>
      <c r="P52" s="22" t="str">
        <f t="shared" si="15"/>
        <v/>
      </c>
      <c r="Q52" s="27" t="str">
        <f t="shared" si="16"/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IF(K53="","",IF(AND(K53&lt;&gt;"",ISNUMBER(入力!$J$56),入力!$J$56&gt;0),$T$3+(設定!$D$17/(設定!$D$17+設定!$D$18/入力!$J$56))*(K53-$T$3),K53))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 t="shared" si="14"/>
        <v/>
      </c>
      <c r="P53" s="22" t="str">
        <f t="shared" si="15"/>
        <v/>
      </c>
      <c r="Q53" s="27" t="str">
        <f t="shared" si="16"/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IF(K54="","",IF(AND(K54&lt;&gt;"",ISNUMBER(入力!$J$57),入力!$J$57&gt;0),$T$3+(設定!$D$17/(設定!$D$17+設定!$D$18/入力!$J$57))*(K54-$T$3),K54))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 t="shared" si="14"/>
        <v/>
      </c>
      <c r="P54" s="22" t="str">
        <f t="shared" si="15"/>
        <v/>
      </c>
      <c r="Q54" s="27" t="str">
        <f t="shared" si="16"/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IF(K55="","",IF(AND(K55&lt;&gt;"",ISNUMBER(入力!$J$58),入力!$J$58&gt;0),$T$3+(設定!$D$17/(設定!$D$17+設定!$D$18/入力!$J$58))*(K55-$T$3),K55))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 t="shared" si="14"/>
        <v/>
      </c>
      <c r="P55" s="22" t="str">
        <f t="shared" si="15"/>
        <v/>
      </c>
      <c r="Q55" s="27" t="str">
        <f t="shared" si="16"/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IF(K56="","",IF(AND(K56&lt;&gt;"",ISNUMBER(入力!$J$59),入力!$J$59&gt;0),$T$3+(設定!$D$17/(設定!$D$17+設定!$D$18/入力!$J$59))*(K56-$T$3),K56))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 t="shared" si="14"/>
        <v/>
      </c>
      <c r="P56" s="22" t="str">
        <f t="shared" si="15"/>
        <v/>
      </c>
      <c r="Q56" s="27" t="str">
        <f t="shared" si="16"/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IF(K57="","",IF(AND(K57&lt;&gt;"",ISNUMBER(入力!$J$60),入力!$J$60&gt;0),$T$3+(設定!$D$17/(設定!$D$17+設定!$D$18/入力!$J$60))*(K57-$T$3),K57))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 t="shared" si="14"/>
        <v/>
      </c>
      <c r="P57" s="22" t="str">
        <f t="shared" si="15"/>
        <v/>
      </c>
      <c r="Q57" s="27" t="str">
        <f t="shared" si="16"/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IF(K58="","",IF(AND(K58&lt;&gt;"",ISNUMBER(入力!$J$61),入力!$J$61&gt;0),$T$3+(設定!$D$17/(設定!$D$17+設定!$D$18/入力!$J$61))*(K58-$T$3),K58))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 t="shared" si="14"/>
        <v/>
      </c>
      <c r="P58" s="22" t="str">
        <f t="shared" si="15"/>
        <v/>
      </c>
      <c r="Q58" s="27" t="str">
        <f t="shared" si="16"/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IF(K59="","",IF(AND(K59&lt;&gt;"",ISNUMBER(入力!$J$62),入力!$J$62&gt;0),$T$3+(設定!$D$17/(設定!$D$17+設定!$D$18/入力!$J$62))*(K59-$T$3),K59))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 t="shared" si="14"/>
        <v/>
      </c>
      <c r="P59" s="22" t="str">
        <f t="shared" si="15"/>
        <v/>
      </c>
      <c r="Q59" s="27" t="str">
        <f t="shared" si="16"/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IF(K60="","",IF(AND(K60&lt;&gt;"",ISNUMBER(入力!$J$63),入力!$J$63&gt;0),$T$3+(設定!$D$17/(設定!$D$17+設定!$D$18/入力!$J$63))*(K60-$T$3),K60))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 t="shared" si="14"/>
        <v/>
      </c>
      <c r="P60" s="22" t="str">
        <f t="shared" si="15"/>
        <v/>
      </c>
      <c r="Q60" s="27" t="str">
        <f t="shared" si="16"/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IF(K61="","",IF(AND(K61&lt;&gt;"",ISNUMBER(入力!$J$64),入力!$J$64&gt;0),$T$3+(設定!$D$17/(設定!$D$17+設定!$D$18/入力!$J$64))*(K61-$T$3),K61))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 t="shared" si="14"/>
        <v/>
      </c>
      <c r="P61" s="22" t="str">
        <f t="shared" si="15"/>
        <v/>
      </c>
      <c r="Q61" s="27" t="str">
        <f t="shared" si="16"/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IF(K62="","",IF(AND(K62&lt;&gt;"",ISNUMBER(入力!$J$65),入力!$J$65&gt;0),$T$3+(設定!$D$17/(設定!$D$17+設定!$D$18/入力!$J$65))*(K62-$T$3),K62))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 t="shared" si="14"/>
        <v/>
      </c>
      <c r="P62" s="22" t="str">
        <f t="shared" si="15"/>
        <v/>
      </c>
      <c r="Q62" s="27" t="str">
        <f t="shared" si="16"/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IF(K63="","",IF(AND(K63&lt;&gt;"",ISNUMBER(入力!$J$66),入力!$J$66&gt;0),$T$3+(設定!$D$17/(設定!$D$17+設定!$D$18/入力!$J$66))*(K63-$T$3),K63))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 t="shared" si="14"/>
        <v/>
      </c>
      <c r="P63" s="22" t="str">
        <f t="shared" si="15"/>
        <v/>
      </c>
      <c r="Q63" s="27" t="str">
        <f t="shared" si="16"/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IF(K64="","",IF(AND(K64&lt;&gt;"",ISNUMBER(入力!$J$67),入力!$J$67&gt;0),$T$3+(設定!$D$17/(設定!$D$17+設定!$D$18/入力!$J$67))*(K64-$T$3),K64))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 t="shared" si="14"/>
        <v/>
      </c>
      <c r="P64" s="22" t="str">
        <f t="shared" si="15"/>
        <v/>
      </c>
      <c r="Q64" s="27" t="str">
        <f t="shared" si="16"/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IF(K65="","",IF(AND(K65&lt;&gt;"",ISNUMBER(入力!$J$68),入力!$J$68&gt;0),$T$3+(設定!$D$17/(設定!$D$17+設定!$D$18/入力!$J$68))*(K65-$T$3),K65))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 t="shared" si="14"/>
        <v/>
      </c>
      <c r="P65" s="22" t="str">
        <f t="shared" si="15"/>
        <v/>
      </c>
      <c r="Q65" s="27" t="str">
        <f t="shared" si="16"/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IF(K66="","",IF(AND(K66&lt;&gt;"",ISNUMBER(入力!$J$69),入力!$J$69&gt;0),$T$3+(設定!$D$17/(設定!$D$17+設定!$D$18/入力!$J$69))*(K66-$T$3),K66))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 t="shared" si="14"/>
        <v/>
      </c>
      <c r="P66" s="22" t="str">
        <f t="shared" si="15"/>
        <v/>
      </c>
      <c r="Q66" s="27" t="str">
        <f t="shared" si="16"/>
        <v/>
      </c>
      <c r="U66">
        <f t="shared" si="17"/>
        <v>0</v>
      </c>
    </row>
  </sheetData>
  <phoneticPr fontId="34"/>
  <conditionalFormatting sqref="A7:Q66">
    <cfRule type="expression" dxfId="3" priority="1">
      <formula>$O7="◎上位"</formula>
    </cfRule>
    <cfRule type="expression" dxfId="2" priority="2">
      <formula>$O7="△要支援"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193</v>
      </c>
    </row>
    <row r="3" spans="2:16" x14ac:dyDescent="0.15">
      <c r="B3" s="3" t="s">
        <v>194</v>
      </c>
    </row>
    <row r="4" spans="2:16" x14ac:dyDescent="0.15">
      <c r="B4" s="17" t="s">
        <v>195</v>
      </c>
    </row>
    <row r="6" spans="2:16" x14ac:dyDescent="0.15">
      <c r="B6" s="7" t="s">
        <v>127</v>
      </c>
    </row>
    <row r="7" spans="2:16" ht="32.1" customHeight="1" x14ac:dyDescent="0.15">
      <c r="B7" s="20" t="s">
        <v>196</v>
      </c>
      <c r="C7" s="20" t="s">
        <v>197</v>
      </c>
      <c r="D7" s="20" t="s">
        <v>198</v>
      </c>
      <c r="E7" s="20" t="s">
        <v>199</v>
      </c>
      <c r="F7" s="20" t="s">
        <v>200</v>
      </c>
      <c r="G7" s="20" t="s">
        <v>201</v>
      </c>
      <c r="H7" s="20" t="s">
        <v>202</v>
      </c>
      <c r="I7" s="20" t="s">
        <v>203</v>
      </c>
      <c r="J7" s="20" t="s">
        <v>204</v>
      </c>
      <c r="K7" s="20" t="s">
        <v>205</v>
      </c>
      <c r="L7" s="20" t="s">
        <v>179</v>
      </c>
      <c r="M7" s="20" t="s">
        <v>206</v>
      </c>
      <c r="N7" s="20" t="s">
        <v>207</v>
      </c>
      <c r="O7" s="20" t="s">
        <v>208</v>
      </c>
      <c r="P7" s="20" t="s">
        <v>209</v>
      </c>
    </row>
    <row r="8" spans="2:16" x14ac:dyDescent="0.15">
      <c r="B8" s="21" t="s">
        <v>210</v>
      </c>
      <c r="C8" s="50" t="s">
        <v>211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212</v>
      </c>
      <c r="C9" s="50" t="s">
        <v>213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214</v>
      </c>
      <c r="C10" s="50" t="s">
        <v>215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216</v>
      </c>
      <c r="C11" s="50" t="s">
        <v>217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218</v>
      </c>
      <c r="C12" s="50" t="s">
        <v>219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220</v>
      </c>
      <c r="C13" s="50" t="s">
        <v>221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222</v>
      </c>
      <c r="C14" s="50" t="s">
        <v>223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224</v>
      </c>
      <c r="C15" s="50" t="s">
        <v>225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226</v>
      </c>
      <c r="C16" s="50" t="s">
        <v>227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228</v>
      </c>
      <c r="C17" s="50" t="s">
        <v>229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230</v>
      </c>
      <c r="C18" s="50" t="s">
        <v>231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232</v>
      </c>
      <c r="C19" s="50" t="s">
        <v>233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234</v>
      </c>
      <c r="C20" s="50" t="s">
        <v>235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236</v>
      </c>
      <c r="C21" s="50" t="s">
        <v>237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238</v>
      </c>
      <c r="C22" s="50" t="s">
        <v>239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240</v>
      </c>
      <c r="C23" s="50" t="s">
        <v>241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242</v>
      </c>
      <c r="C24" s="50" t="s">
        <v>243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244</v>
      </c>
      <c r="C25" s="50" t="s">
        <v>245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246</v>
      </c>
      <c r="C26" s="50" t="s">
        <v>247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248</v>
      </c>
      <c r="C27" s="50" t="s">
        <v>249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250</v>
      </c>
      <c r="C28" s="50" t="s">
        <v>251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252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155"/>
  <sheetViews>
    <sheetView showGridLines="0" topLeftCell="A17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</cols>
  <sheetData>
    <row r="2" spans="2:68" ht="17.25" x14ac:dyDescent="0.2">
      <c r="B2" s="40" t="s">
        <v>253</v>
      </c>
    </row>
    <row r="3" spans="2:68" x14ac:dyDescent="0.15">
      <c r="B3" s="3" t="s">
        <v>254</v>
      </c>
    </row>
    <row r="5" spans="2:68" x14ac:dyDescent="0.15">
      <c r="B5" s="7" t="s">
        <v>127</v>
      </c>
    </row>
    <row r="6" spans="2:68" x14ac:dyDescent="0.15">
      <c r="T6" s="1" t="s">
        <v>0</v>
      </c>
    </row>
    <row r="7" spans="2:68" x14ac:dyDescent="0.15">
      <c r="B7" s="9" t="s">
        <v>255</v>
      </c>
      <c r="T7" s="3" t="s">
        <v>117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256</v>
      </c>
      <c r="AA7" s="3" t="s">
        <v>257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258</v>
      </c>
      <c r="AN7" s="3" t="s">
        <v>259</v>
      </c>
      <c r="AO7" s="3" t="s">
        <v>11</v>
      </c>
      <c r="AP7" s="3" t="s">
        <v>12</v>
      </c>
      <c r="AQ7" s="3" t="s">
        <v>260</v>
      </c>
      <c r="AR7" s="3" t="s">
        <v>261</v>
      </c>
      <c r="AT7" s="3" t="s">
        <v>262</v>
      </c>
      <c r="AU7" s="3" t="s">
        <v>263</v>
      </c>
      <c r="AW7" s="3" t="s">
        <v>264</v>
      </c>
      <c r="AX7" s="3" t="s">
        <v>265</v>
      </c>
      <c r="AY7" s="3" t="s">
        <v>266</v>
      </c>
      <c r="AZ7" s="3" t="s">
        <v>267</v>
      </c>
      <c r="BA7" s="3" t="s">
        <v>268</v>
      </c>
      <c r="BC7" s="3" t="s">
        <v>11</v>
      </c>
      <c r="BD7" s="3" t="s">
        <v>12</v>
      </c>
      <c r="BE7" s="3" t="s">
        <v>269</v>
      </c>
      <c r="BF7" s="3" t="s">
        <v>270</v>
      </c>
      <c r="BH7" s="3" t="s">
        <v>11</v>
      </c>
      <c r="BI7" s="3" t="s">
        <v>12</v>
      </c>
      <c r="BJ7" s="3" t="s">
        <v>271</v>
      </c>
      <c r="BK7" s="3" t="s">
        <v>272</v>
      </c>
      <c r="BL7" s="3" t="s">
        <v>273</v>
      </c>
      <c r="BM7" s="3" t="s">
        <v>274</v>
      </c>
      <c r="BO7" s="3" t="s">
        <v>275</v>
      </c>
      <c r="BP7" s="3" t="s">
        <v>276</v>
      </c>
    </row>
    <row r="8" spans="2:68" ht="27.95" customHeight="1" x14ac:dyDescent="0.15">
      <c r="B8" s="91" t="s">
        <v>277</v>
      </c>
      <c r="C8" s="77"/>
      <c r="D8" s="77"/>
      <c r="E8" s="77"/>
      <c r="T8" t="str">
        <f>IF(ピッキング!$B$7="","",ピッキング!$B$7)</f>
        <v>本吉有美子</v>
      </c>
      <c r="U8">
        <f>IF(OR(ピッキング!$E$7="",ピッキング!$C$7=""),"",ピッキング!$E$7/ピッキング!$C$7)</f>
        <v>0.42022008253094911</v>
      </c>
      <c r="V8">
        <f>IF(ピッキング!$G$7="","",ピッキング!$G$7)</f>
        <v>83.686382393397523</v>
      </c>
      <c r="W8">
        <f>IF(ピッキング!$P$7="","",ピッキング!$P$7)</f>
        <v>44.984112792297111</v>
      </c>
      <c r="X8">
        <f>IF(ピッキング!$L$7="","",ピッキング!$L$7)</f>
        <v>127.28974526492047</v>
      </c>
      <c r="Y8">
        <f>IF(梱包!$L$7="","",梱包!$L$7)</f>
        <v>146.61994619353155</v>
      </c>
      <c r="Z8">
        <f>IF(OR(梱包!$E$7="",梱包!$C$7=""),"",梱包!$E$7/梱包!$C$7)</f>
        <v>0.26193341355796229</v>
      </c>
      <c r="AA8">
        <f>IF(梱包!$G$7="","",梱包!$G$7)</f>
        <v>62.551143200962699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0.42022008253094911</v>
      </c>
      <c r="AF8">
        <f t="shared" ref="AF8:AF39" si="2">IFERROR(INDEX($V$8:$V$67,MATCH(AB8,$AD$8:$AD$67,0)),"")</f>
        <v>83.686382393397523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0.42022008253094911</v>
      </c>
      <c r="AJ8">
        <f t="shared" ref="AJ8:AJ39" si="5">IFERROR(INDEX($W$8:$W$67,MATCH(AB8,$AH$8:$AH$67,0)),"")</f>
        <v>44.984112792297111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0.26193341355796229</v>
      </c>
      <c r="AN8">
        <f t="shared" ref="AN8:AN39" si="8">IFERROR(INDEX($AA$8:$AA$67,MATCH(AB8,$AL$8:$AL$67,0)),"")</f>
        <v>62.551143200962699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127.28974526492047</v>
      </c>
      <c r="AR8">
        <f t="shared" ref="AR8:AR39" si="11">IFERROR(INDEX($Y$8:$Y$67,MATCH(AB8,$AP$8:$AP$67,0)),"")</f>
        <v>146.61994619353155</v>
      </c>
      <c r="AT8">
        <v>0</v>
      </c>
      <c r="AU8">
        <f>設定!$E$7</f>
        <v>75.599999999999994</v>
      </c>
      <c r="AW8">
        <f>IF(ピッキング!$I$7="","",ピッキング!$I$7)</f>
        <v>2769.9250000000002</v>
      </c>
      <c r="AX8">
        <f>IF(ピッキング!$D$7="","",ピッキング!$D$7)</f>
        <v>2028</v>
      </c>
      <c r="AY8">
        <f>IF(AND(ISNUMBER(入力!$F$10),入力!$F$10&gt;0),入力!$F$10,"")</f>
        <v>18</v>
      </c>
      <c r="AZ8">
        <f>IF(ピッキング!$K$7="","",ピッキング!$K$7)</f>
        <v>136.58407297830374</v>
      </c>
      <c r="BA8">
        <f>IF(ピッキング!$L$7="","",ピッキング!$L$7)</f>
        <v>127.28974526492047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2769.9250000000002</v>
      </c>
      <c r="BF8">
        <f t="shared" ref="BF8:BF39" si="14">IFERROR(INDEX($AX$8:$AX$67,MATCH(AB8,$BD$8:$BD$67,0)),"")</f>
        <v>2028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18</v>
      </c>
      <c r="BK8">
        <f t="shared" ref="BK8:BK39" si="17">IFERROR(INDEX($AZ$8:$AZ$67,MATCH(AB8,$BI$8:$BI$67,0)),"")</f>
        <v>136.58407297830374</v>
      </c>
      <c r="BL8">
        <f t="shared" ref="BL8:BL39" si="18">IFERROR(INDEX($BA$8:$BA$67,MATCH(AB8,$BI$8:$BI$67,0)),"")</f>
        <v>127.28974526492047</v>
      </c>
      <c r="BM8">
        <f t="shared" ref="BM8:BM39" si="19">IF(OR(BK8="",BL8=""),"",ABS(BK8-BL8))</f>
        <v>9.294327713383268</v>
      </c>
      <c r="BO8">
        <f>IFERROR(MIN(BE8:BE67),0)</f>
        <v>145.58999999999997</v>
      </c>
      <c r="BP8">
        <f>BO8</f>
        <v>145.58999999999997</v>
      </c>
    </row>
    <row r="9" spans="2:68" x14ac:dyDescent="0.15">
      <c r="B9" s="25" t="s">
        <v>278</v>
      </c>
      <c r="C9" s="26">
        <f>COUNT($AE$8:$AE$67)</f>
        <v>29</v>
      </c>
      <c r="T9" t="str">
        <f>IF(ピッキング!$B$8="","",ピッキング!$B$8)</f>
        <v>澤田凌</v>
      </c>
      <c r="U9">
        <f>IF(OR(ピッキング!$E$8="",ピッキング!$C$8=""),"",ピッキング!$E$8/ピッキング!$C$8)</f>
        <v>0.60126582278481011</v>
      </c>
      <c r="V9">
        <f>IF(ピッキング!$G$8="","",ピッキング!$G$8)</f>
        <v>94.556962025316452</v>
      </c>
      <c r="W9">
        <f>IF(ピッキング!$P$8="","",ピッキング!$P$8)</f>
        <v>39.180379746835442</v>
      </c>
      <c r="X9">
        <f>IF(ピッキング!$L$8="","",ピッキング!$L$8)</f>
        <v>124.86052594253862</v>
      </c>
      <c r="Y9">
        <f>IF(梱包!$L$8="","",梱包!$L$8)</f>
        <v>77.985418867763826</v>
      </c>
      <c r="Z9">
        <f>IF(OR(梱包!$E$8="",梱包!$C$8=""),"",梱包!$E$8/梱包!$C$8)</f>
        <v>0.39274447949526814</v>
      </c>
      <c r="AA9">
        <f>IF(梱包!$G$8="","",梱包!$G$8)</f>
        <v>144.79495268138803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0.60126582278481011</v>
      </c>
      <c r="AF9">
        <f t="shared" si="2"/>
        <v>94.556962025316452</v>
      </c>
      <c r="AG9">
        <f t="shared" si="3"/>
        <v>1</v>
      </c>
      <c r="AH9">
        <f>IF(AG9=1,SUM($AG$8:AG9),"")</f>
        <v>2</v>
      </c>
      <c r="AI9">
        <f t="shared" si="4"/>
        <v>0.60126582278481011</v>
      </c>
      <c r="AJ9">
        <f t="shared" si="5"/>
        <v>39.180379746835442</v>
      </c>
      <c r="AK9">
        <f t="shared" si="6"/>
        <v>1</v>
      </c>
      <c r="AL9">
        <f>IF(AK9=1,SUM($AK$8:AK9),"")</f>
        <v>2</v>
      </c>
      <c r="AM9">
        <f t="shared" si="7"/>
        <v>0.39274447949526814</v>
      </c>
      <c r="AN9">
        <f t="shared" si="8"/>
        <v>144.79495268138803</v>
      </c>
      <c r="AO9">
        <f t="shared" si="9"/>
        <v>1</v>
      </c>
      <c r="AP9">
        <f>IF(AO9=1,SUM($AO$8:AO9),"")</f>
        <v>2</v>
      </c>
      <c r="AQ9">
        <f t="shared" si="10"/>
        <v>124.86052594253862</v>
      </c>
      <c r="AR9">
        <f t="shared" si="11"/>
        <v>77.985418867763826</v>
      </c>
      <c r="AT9">
        <f>MAX(AE8:AE67)</f>
        <v>0.71212121212121215</v>
      </c>
      <c r="AU9">
        <f>設定!$E$6*AT9+設定!$E$7</f>
        <v>141.18636363636364</v>
      </c>
      <c r="AW9">
        <f>IF(ピッキング!$I$8="","",ピッキング!$I$8)</f>
        <v>1724.5249999999999</v>
      </c>
      <c r="AX9">
        <f>IF(ピッキング!$D$8="","",ピッキング!$D$8)</f>
        <v>1245</v>
      </c>
      <c r="AY9">
        <f>IF(AND(ISNUMBER(入力!$F$11),入力!$F$11&gt;0),入力!$F$11,"")</f>
        <v>11</v>
      </c>
      <c r="AZ9">
        <f>IF(ピッキング!$K$8="","",ピッキング!$K$8)</f>
        <v>138.51606425702809</v>
      </c>
      <c r="BA9">
        <f>IF(ピッキング!$L$8="","",ピッキング!$L$8)</f>
        <v>124.86052594253862</v>
      </c>
      <c r="BC9">
        <f t="shared" si="12"/>
        <v>1</v>
      </c>
      <c r="BD9">
        <f>IF(BC9=1,SUM($BC$8:BC9),"")</f>
        <v>2</v>
      </c>
      <c r="BE9">
        <f t="shared" si="13"/>
        <v>1724.5249999999999</v>
      </c>
      <c r="BF9">
        <f t="shared" si="14"/>
        <v>1245</v>
      </c>
      <c r="BH9">
        <f t="shared" si="15"/>
        <v>1</v>
      </c>
      <c r="BI9">
        <f>IF(BH9=1,SUM($BH$8:BH9),"")</f>
        <v>2</v>
      </c>
      <c r="BJ9">
        <f t="shared" si="16"/>
        <v>11</v>
      </c>
      <c r="BK9">
        <f t="shared" si="17"/>
        <v>138.51606425702809</v>
      </c>
      <c r="BL9">
        <f t="shared" si="18"/>
        <v>124.86052594253862</v>
      </c>
      <c r="BM9">
        <f t="shared" si="19"/>
        <v>13.655538314489476</v>
      </c>
      <c r="BO9">
        <f>IFERROR(MAX(BE8:BE67),0)</f>
        <v>4000.8849999999993</v>
      </c>
      <c r="BP9">
        <f>BO9</f>
        <v>4000.8849999999993</v>
      </c>
    </row>
    <row r="10" spans="2:68" x14ac:dyDescent="0.15">
      <c r="B10" s="25" t="s">
        <v>57</v>
      </c>
      <c r="C10" s="52">
        <f>IFERROR(CORREL($AE$8:$AE$67,$AF$8:$AF$67),"")</f>
        <v>0.43394684051448162</v>
      </c>
      <c r="T10" t="str">
        <f>IF(ピッキング!$B$9="","",ピッキング!$B$9)</f>
        <v>大江美記子</v>
      </c>
      <c r="U10">
        <f>IF(OR(ピッキング!$E$9="",ピッキング!$C$9=""),"",ピッキング!$E$9/ピッキング!$C$9)</f>
        <v>0.49031600407747195</v>
      </c>
      <c r="V10">
        <f>IF(ピッキング!$G$9="","",ピッキング!$G$9)</f>
        <v>93.883792048929664</v>
      </c>
      <c r="W10">
        <f>IF(ピッキング!$P$9="","",ピッキング!$P$9)</f>
        <v>48.725688073394494</v>
      </c>
      <c r="X10">
        <f>IF(ピッキング!$L$9="","",ピッキング!$L$9)</f>
        <v>120.95420151086539</v>
      </c>
      <c r="Y10">
        <f>IF(梱包!$L$9="","",梱包!$L$9)</f>
        <v>131.00104643796593</v>
      </c>
      <c r="Z10">
        <f>IF(OR(梱包!$E$9="",梱包!$C$9=""),"",梱包!$E$9/梱包!$C$9)</f>
        <v>0.2580275229357798</v>
      </c>
      <c r="AA10">
        <f>IF(梱包!$G$9="","",梱包!$G$9)</f>
        <v>70.183486238532112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0.49031600407747195</v>
      </c>
      <c r="AF10">
        <f t="shared" si="2"/>
        <v>93.883792048929664</v>
      </c>
      <c r="AG10">
        <f t="shared" si="3"/>
        <v>1</v>
      </c>
      <c r="AH10">
        <f>IF(AG10=1,SUM($AG$8:AG10),"")</f>
        <v>3</v>
      </c>
      <c r="AI10">
        <f t="shared" si="4"/>
        <v>0.49031600407747195</v>
      </c>
      <c r="AJ10">
        <f t="shared" si="5"/>
        <v>48.725688073394494</v>
      </c>
      <c r="AK10">
        <f t="shared" si="6"/>
        <v>1</v>
      </c>
      <c r="AL10">
        <f>IF(AK10=1,SUM($AK$8:AK10),"")</f>
        <v>3</v>
      </c>
      <c r="AM10">
        <f t="shared" si="7"/>
        <v>0.2580275229357798</v>
      </c>
      <c r="AN10">
        <f t="shared" si="8"/>
        <v>70.183486238532112</v>
      </c>
      <c r="AO10">
        <f t="shared" si="9"/>
        <v>1</v>
      </c>
      <c r="AP10">
        <f>IF(AO10=1,SUM($AO$8:AO10),"")</f>
        <v>3</v>
      </c>
      <c r="AQ10">
        <f t="shared" si="10"/>
        <v>120.95420151086539</v>
      </c>
      <c r="AR10">
        <f t="shared" si="11"/>
        <v>131.00104643796593</v>
      </c>
      <c r="AW10">
        <f>IF(ピッキング!$I$9="","",ピッキング!$I$9)</f>
        <v>1974.395</v>
      </c>
      <c r="AX10">
        <f>IF(ピッキング!$D$9="","",ピッキング!$D$9)</f>
        <v>1535</v>
      </c>
      <c r="AY10">
        <f>IF(AND(ISNUMBER(入力!$F$12),入力!$F$12&gt;0),入力!$F$12,"")</f>
        <v>16</v>
      </c>
      <c r="AZ10">
        <f>IF(ピッキング!$K$9="","",ピッキング!$K$9)</f>
        <v>128.62508143322475</v>
      </c>
      <c r="BA10">
        <f>IF(ピッキング!$L$9="","",ピッキング!$L$9)</f>
        <v>120.95420151086539</v>
      </c>
      <c r="BC10">
        <f t="shared" si="12"/>
        <v>1</v>
      </c>
      <c r="BD10">
        <f>IF(BC10=1,SUM($BC$8:BC10),"")</f>
        <v>3</v>
      </c>
      <c r="BE10">
        <f t="shared" si="13"/>
        <v>1974.395</v>
      </c>
      <c r="BF10">
        <f t="shared" si="14"/>
        <v>1535</v>
      </c>
      <c r="BH10">
        <f t="shared" si="15"/>
        <v>1</v>
      </c>
      <c r="BI10">
        <f>IF(BH10=1,SUM($BH$8:BH10),"")</f>
        <v>3</v>
      </c>
      <c r="BJ10">
        <f t="shared" si="16"/>
        <v>16</v>
      </c>
      <c r="BK10">
        <f t="shared" si="17"/>
        <v>128.62508143322475</v>
      </c>
      <c r="BL10">
        <f t="shared" si="18"/>
        <v>120.95420151086539</v>
      </c>
      <c r="BM10">
        <f t="shared" si="19"/>
        <v>7.6708799223593616</v>
      </c>
    </row>
    <row r="11" spans="2:68" x14ac:dyDescent="0.15">
      <c r="B11" s="25" t="s">
        <v>279</v>
      </c>
      <c r="C11" s="52">
        <f>IFERROR(RSQ($AF$8:$AF$67,$AE$8:$AE$67),"")</f>
        <v>0.18830986039250094</v>
      </c>
      <c r="T11" t="str">
        <f>IF(ピッキング!$B$10="","",ピッキング!$B$10)</f>
        <v>佐藤辰成</v>
      </c>
      <c r="U11">
        <f>IF(OR(ピッキング!$E$10="",ピッキング!$C$10=""),"",ピッキング!$E$10/ピッキング!$C$10)</f>
        <v>0.22188905547226387</v>
      </c>
      <c r="V11">
        <f>IF(ピッキング!$G$10="","",ピッキング!$G$10)</f>
        <v>72.863568215892059</v>
      </c>
      <c r="W11">
        <f>IF(ピッキング!$P$10="","",ピッキング!$P$10)</f>
        <v>52.427586206896557</v>
      </c>
      <c r="X11">
        <f>IF(ピッキング!$L$10="","",ピッキング!$L$10)</f>
        <v>120.11755394548538</v>
      </c>
      <c r="Y11">
        <f>IF(梱包!$L$10="","",梱包!$L$10)</f>
        <v>128.07757268601134</v>
      </c>
      <c r="Z11">
        <f>IF(OR(梱包!$E$10="",梱包!$C$10=""),"",梱包!$E$10/梱包!$C$10)</f>
        <v>0.17253521126760563</v>
      </c>
      <c r="AA11">
        <f>IF(梱包!$G$10="","",梱包!$G$10)</f>
        <v>64.436619718309856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0.22188905547226387</v>
      </c>
      <c r="AF11">
        <f t="shared" si="2"/>
        <v>72.863568215892059</v>
      </c>
      <c r="AG11">
        <f t="shared" si="3"/>
        <v>1</v>
      </c>
      <c r="AH11">
        <f>IF(AG11=1,SUM($AG$8:AG11),"")</f>
        <v>4</v>
      </c>
      <c r="AI11">
        <f t="shared" si="4"/>
        <v>0.22188905547226387</v>
      </c>
      <c r="AJ11">
        <f t="shared" si="5"/>
        <v>52.427586206896557</v>
      </c>
      <c r="AK11">
        <f t="shared" si="6"/>
        <v>1</v>
      </c>
      <c r="AL11">
        <f>IF(AK11=1,SUM($AK$8:AK11),"")</f>
        <v>4</v>
      </c>
      <c r="AM11">
        <f t="shared" si="7"/>
        <v>0.17253521126760563</v>
      </c>
      <c r="AN11">
        <f t="shared" si="8"/>
        <v>64.436619718309856</v>
      </c>
      <c r="AO11">
        <f t="shared" si="9"/>
        <v>1</v>
      </c>
      <c r="AP11">
        <f>IF(AO11=1,SUM($AO$8:AO11),"")</f>
        <v>4</v>
      </c>
      <c r="AQ11">
        <f t="shared" si="10"/>
        <v>120.11755394548538</v>
      </c>
      <c r="AR11">
        <f t="shared" si="11"/>
        <v>128.07757268601134</v>
      </c>
      <c r="AW11">
        <f>IF(ピッキング!$I$10="","",ピッキング!$I$10)</f>
        <v>1067.5999999999999</v>
      </c>
      <c r="AX11">
        <f>IF(ピッキング!$D$10="","",ピッキング!$D$10)</f>
        <v>810</v>
      </c>
      <c r="AY11">
        <f>IF(AND(ISNUMBER(入力!$F$13),入力!$F$13&gt;0),入力!$F$13,"")</f>
        <v>10</v>
      </c>
      <c r="AZ11">
        <f>IF(ピッキング!$K$10="","",ピッキング!$K$10)</f>
        <v>131.80246913580245</v>
      </c>
      <c r="BA11">
        <f>IF(ピッキング!$L$10="","",ピッキング!$L$10)</f>
        <v>120.11755394548538</v>
      </c>
      <c r="BC11">
        <f t="shared" si="12"/>
        <v>1</v>
      </c>
      <c r="BD11">
        <f>IF(BC11=1,SUM($BC$8:BC11),"")</f>
        <v>4</v>
      </c>
      <c r="BE11">
        <f t="shared" si="13"/>
        <v>1067.5999999999999</v>
      </c>
      <c r="BF11">
        <f t="shared" si="14"/>
        <v>810</v>
      </c>
      <c r="BH11">
        <f t="shared" si="15"/>
        <v>1</v>
      </c>
      <c r="BI11">
        <f>IF(BH11=1,SUM($BH$8:BH11),"")</f>
        <v>4</v>
      </c>
      <c r="BJ11">
        <f t="shared" si="16"/>
        <v>10</v>
      </c>
      <c r="BK11">
        <f t="shared" si="17"/>
        <v>131.80246913580245</v>
      </c>
      <c r="BL11">
        <f t="shared" si="18"/>
        <v>120.11755394548538</v>
      </c>
      <c r="BM11">
        <f t="shared" si="19"/>
        <v>11.684915190317071</v>
      </c>
    </row>
    <row r="12" spans="2:68" x14ac:dyDescent="0.15">
      <c r="B12" s="25" t="s">
        <v>280</v>
      </c>
      <c r="C12" s="22">
        <f>IFERROR(SLOPE($AF$8:$AF$67,$AE$8:$AE$67),"")</f>
        <v>113.64440313804464</v>
      </c>
      <c r="T12" t="str">
        <f>IF(ピッキング!$B$11="","",ピッキング!$B$11)</f>
        <v>春谷智子</v>
      </c>
      <c r="U12">
        <f>IF(OR(ピッキング!$E$11="",ピッキング!$C$11=""),"",ピッキング!$E$11/ピッキング!$C$11)</f>
        <v>0.59836065573770492</v>
      </c>
      <c r="V12">
        <f>IF(ピッキング!$G$11="","",ピッキング!$G$11)</f>
        <v>103.27868852459017</v>
      </c>
      <c r="W12">
        <f>IF(ピッキング!$P$11="","",ピッキング!$P$11)</f>
        <v>48.16967213114755</v>
      </c>
      <c r="X12">
        <f>IF(ピッキング!$L$11="","",ピッキング!$L$11)</f>
        <v>111.86290588643365</v>
      </c>
      <c r="Y12" t="str">
        <f>IF(梱包!$L$11="","",梱包!$L$11)</f>
        <v/>
      </c>
      <c r="Z12" t="str">
        <f>IF(OR(梱包!$E$11="",梱包!$C$11=""),"",梱包!$E$11/梱包!$C$11)</f>
        <v/>
      </c>
      <c r="AA12" t="str">
        <f>IF(梱包!$G$11="","",梱包!$G$11)</f>
        <v/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0.59836065573770492</v>
      </c>
      <c r="AF12">
        <f t="shared" si="2"/>
        <v>103.27868852459017</v>
      </c>
      <c r="AG12">
        <f t="shared" si="3"/>
        <v>1</v>
      </c>
      <c r="AH12">
        <f>IF(AG12=1,SUM($AG$8:AG12),"")</f>
        <v>5</v>
      </c>
      <c r="AI12">
        <f t="shared" si="4"/>
        <v>0.59836065573770492</v>
      </c>
      <c r="AJ12">
        <f t="shared" si="5"/>
        <v>48.16967213114755</v>
      </c>
      <c r="AK12">
        <f t="shared" si="6"/>
        <v>0</v>
      </c>
      <c r="AL12" t="str">
        <f>IF(AK12=1,SUM($AK$8:AK12),"")</f>
        <v/>
      </c>
      <c r="AM12">
        <f t="shared" si="7"/>
        <v>0.26178747361013371</v>
      </c>
      <c r="AN12">
        <f t="shared" si="8"/>
        <v>116.53764954257565</v>
      </c>
      <c r="AO12">
        <f t="shared" si="9"/>
        <v>0</v>
      </c>
      <c r="AP12" t="str">
        <f>IF(AO12=1,SUM($AO$8:AO12),"")</f>
        <v/>
      </c>
      <c r="AQ12">
        <f t="shared" si="10"/>
        <v>109.49437773777254</v>
      </c>
      <c r="AR12">
        <f t="shared" si="11"/>
        <v>82.466184184781014</v>
      </c>
      <c r="AW12">
        <f>IF(ピッキング!$I$11="","",ピッキング!$I$11)</f>
        <v>265.77499999999998</v>
      </c>
      <c r="AX12">
        <f>IF(ピッキング!$D$11="","",ピッキング!$D$11)</f>
        <v>210</v>
      </c>
      <c r="AY12">
        <f>IF(AND(ISNUMBER(入力!$F$14),入力!$F$14&gt;0),入力!$F$14,"")</f>
        <v>4</v>
      </c>
      <c r="AZ12">
        <f>IF(ピッキング!$K$11="","",ピッキング!$K$11)</f>
        <v>126.5595238095238</v>
      </c>
      <c r="BA12">
        <f>IF(ピッキング!$L$11="","",ピッキング!$L$11)</f>
        <v>111.86290588643365</v>
      </c>
      <c r="BC12">
        <f t="shared" si="12"/>
        <v>1</v>
      </c>
      <c r="BD12">
        <f>IF(BC12=1,SUM($BC$8:BC12),"")</f>
        <v>5</v>
      </c>
      <c r="BE12">
        <f t="shared" si="13"/>
        <v>265.77499999999998</v>
      </c>
      <c r="BF12">
        <f t="shared" si="14"/>
        <v>210</v>
      </c>
      <c r="BH12">
        <f t="shared" si="15"/>
        <v>1</v>
      </c>
      <c r="BI12">
        <f>IF(BH12=1,SUM($BH$8:BH12),"")</f>
        <v>5</v>
      </c>
      <c r="BJ12">
        <f t="shared" si="16"/>
        <v>4</v>
      </c>
      <c r="BK12">
        <f t="shared" si="17"/>
        <v>126.5595238095238</v>
      </c>
      <c r="BL12">
        <f t="shared" si="18"/>
        <v>111.86290588643365</v>
      </c>
      <c r="BM12">
        <f t="shared" si="19"/>
        <v>14.696617923090145</v>
      </c>
    </row>
    <row r="13" spans="2:68" x14ac:dyDescent="0.15">
      <c r="B13" s="25" t="s">
        <v>281</v>
      </c>
      <c r="C13" s="22">
        <f>IFERROR(INTERCEPT($AF$8:$AF$67,$AE$8:$AE$67),"")</f>
        <v>70.735013025518327</v>
      </c>
      <c r="T13" t="str">
        <f>IF(ピッキング!$B$12="","",ピッキング!$B$12)</f>
        <v>後藤克行</v>
      </c>
      <c r="U13">
        <f>IF(OR(ピッキング!$E$12="",ピッキング!$C$12=""),"",ピッキング!$E$12/ピッキング!$C$12)</f>
        <v>0.47782760338814151</v>
      </c>
      <c r="V13">
        <f>IF(ピッキング!$G$12="","",ピッキング!$G$12)</f>
        <v>107.17488789237669</v>
      </c>
      <c r="W13">
        <f>IF(ピッキング!$P$12="","",ピッキング!$P$12)</f>
        <v>63.16696562032886</v>
      </c>
      <c r="X13">
        <f>IF(ピッキング!$L$12="","",ピッキング!$L$12)</f>
        <v>109.49437773777254</v>
      </c>
      <c r="Y13">
        <f>IF(梱包!$L$12="","",梱包!$L$12)</f>
        <v>82.466184184781014</v>
      </c>
      <c r="Z13">
        <f>IF(OR(梱包!$E$12="",梱包!$C$12=""),"",梱包!$E$12/梱包!$C$12)</f>
        <v>0.26178747361013371</v>
      </c>
      <c r="AA13">
        <f>IF(梱包!$G$12="","",梱包!$G$12)</f>
        <v>116.53764954257565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0.47782760338814151</v>
      </c>
      <c r="AF13">
        <f t="shared" si="2"/>
        <v>107.17488789237669</v>
      </c>
      <c r="AG13">
        <f t="shared" si="3"/>
        <v>1</v>
      </c>
      <c r="AH13">
        <f>IF(AG13=1,SUM($AG$8:AG13),"")</f>
        <v>6</v>
      </c>
      <c r="AI13">
        <f t="shared" si="4"/>
        <v>0.47782760338814151</v>
      </c>
      <c r="AJ13">
        <f t="shared" si="5"/>
        <v>63.16696562032886</v>
      </c>
      <c r="AK13">
        <f t="shared" si="6"/>
        <v>1</v>
      </c>
      <c r="AL13">
        <f>IF(AK13=1,SUM($AK$8:AK13),"")</f>
        <v>5</v>
      </c>
      <c r="AM13">
        <f t="shared" si="7"/>
        <v>0.28266666666666668</v>
      </c>
      <c r="AN13">
        <f t="shared" si="8"/>
        <v>116.8</v>
      </c>
      <c r="AO13">
        <f t="shared" si="9"/>
        <v>1</v>
      </c>
      <c r="AP13">
        <f>IF(AO13=1,SUM($AO$8:AO13),"")</f>
        <v>5</v>
      </c>
      <c r="AQ13">
        <f t="shared" si="10"/>
        <v>108.83316918183169</v>
      </c>
      <c r="AR13">
        <f t="shared" si="11"/>
        <v>89.601445304729197</v>
      </c>
      <c r="AW13">
        <f>IF(ピッキング!$I$12="","",ピッキング!$I$12)</f>
        <v>4000.8849999999993</v>
      </c>
      <c r="AX13">
        <f>IF(ピッキング!$D$12="","",ピッキング!$D$12)</f>
        <v>3585</v>
      </c>
      <c r="AY13">
        <f>IF(AND(ISNUMBER(入力!$F$15),入力!$F$15&gt;0),入力!$F$15,"")</f>
        <v>20</v>
      </c>
      <c r="AZ13">
        <f>IF(ピッキング!$K$12="","",ピッキング!$K$12)</f>
        <v>111.60069735006972</v>
      </c>
      <c r="BA13">
        <f>IF(ピッキング!$L$12="","",ピッキング!$L$12)</f>
        <v>109.49437773777254</v>
      </c>
      <c r="BC13">
        <f t="shared" si="12"/>
        <v>1</v>
      </c>
      <c r="BD13">
        <f>IF(BC13=1,SUM($BC$8:BC13),"")</f>
        <v>6</v>
      </c>
      <c r="BE13">
        <f t="shared" si="13"/>
        <v>4000.8849999999993</v>
      </c>
      <c r="BF13">
        <f t="shared" si="14"/>
        <v>3585</v>
      </c>
      <c r="BH13">
        <f t="shared" si="15"/>
        <v>1</v>
      </c>
      <c r="BI13">
        <f>IF(BH13=1,SUM($BH$8:BH13),"")</f>
        <v>6</v>
      </c>
      <c r="BJ13">
        <f t="shared" si="16"/>
        <v>20</v>
      </c>
      <c r="BK13">
        <f t="shared" si="17"/>
        <v>111.60069735006972</v>
      </c>
      <c r="BL13">
        <f t="shared" si="18"/>
        <v>109.49437773777254</v>
      </c>
      <c r="BM13">
        <f t="shared" si="19"/>
        <v>2.1063196122971846</v>
      </c>
    </row>
    <row r="14" spans="2:68" x14ac:dyDescent="0.15">
      <c r="B14" s="25" t="s">
        <v>282</v>
      </c>
      <c r="C14" s="53">
        <f>IFERROR(TDIST(ABS(C10)*SQRT((C9-2)/(1-C10^2)),C9-2,2),"")</f>
        <v>1.8675328813917116E-2</v>
      </c>
      <c r="T14" t="str">
        <f>IF(ピッキング!$B$13="","",ピッキング!$B$13)</f>
        <v>中村美佳</v>
      </c>
      <c r="U14">
        <f>IF(OR(ピッキング!$E$13="",ピッキング!$C$13=""),"",ピッキング!$E$13/ピッキング!$C$13)</f>
        <v>0.379746835443038</v>
      </c>
      <c r="V14">
        <f>IF(ピッキング!$G$13="","",ピッキング!$G$13)</f>
        <v>91.139240506329116</v>
      </c>
      <c r="W14">
        <f>IF(ピッキング!$P$13="","",ピッキング!$P$13)</f>
        <v>56.164556962025316</v>
      </c>
      <c r="X14">
        <f>IF(ピッキング!$L$13="","",ピッキング!$L$13)</f>
        <v>108.83316918183169</v>
      </c>
      <c r="Y14">
        <f>IF(梱包!$L$13="","",梱包!$L$13)</f>
        <v>89.601445304729197</v>
      </c>
      <c r="Z14">
        <f>IF(OR(梱包!$E$13="",梱包!$C$13=""),"",梱包!$E$13/梱包!$C$13)</f>
        <v>0.28266666666666668</v>
      </c>
      <c r="AA14">
        <f>IF(梱包!$G$13="","",梱包!$G$13)</f>
        <v>116.8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0.379746835443038</v>
      </c>
      <c r="AF14">
        <f t="shared" si="2"/>
        <v>91.139240506329116</v>
      </c>
      <c r="AG14">
        <f t="shared" si="3"/>
        <v>1</v>
      </c>
      <c r="AH14">
        <f>IF(AG14=1,SUM($AG$8:AG14),"")</f>
        <v>7</v>
      </c>
      <c r="AI14">
        <f t="shared" si="4"/>
        <v>0.379746835443038</v>
      </c>
      <c r="AJ14">
        <f t="shared" si="5"/>
        <v>56.164556962025316</v>
      </c>
      <c r="AK14">
        <f t="shared" si="6"/>
        <v>1</v>
      </c>
      <c r="AL14">
        <f>IF(AK14=1,SUM($AK$8:AK14),"")</f>
        <v>6</v>
      </c>
      <c r="AM14">
        <f t="shared" si="7"/>
        <v>0.34293648038875391</v>
      </c>
      <c r="AN14">
        <f t="shared" si="8"/>
        <v>83.450190905935443</v>
      </c>
      <c r="AO14">
        <f t="shared" si="9"/>
        <v>1</v>
      </c>
      <c r="AP14">
        <f>IF(AO14=1,SUM($AO$8:AO14),"")</f>
        <v>6</v>
      </c>
      <c r="AQ14">
        <f t="shared" si="10"/>
        <v>106.78993993502498</v>
      </c>
      <c r="AR14">
        <f t="shared" si="11"/>
        <v>120.16949514391577</v>
      </c>
      <c r="AW14">
        <f>IF(ピッキング!$I$13="","",ピッキング!$I$13)</f>
        <v>145.58999999999997</v>
      </c>
      <c r="AX14">
        <f>IF(ピッキング!$D$13="","",ピッキング!$D$13)</f>
        <v>120</v>
      </c>
      <c r="AY14">
        <f>IF(AND(ISNUMBER(入力!$F$16),入力!$F$16&gt;0),入力!$F$16,"")</f>
        <v>3</v>
      </c>
      <c r="AZ14">
        <f>IF(ピッキング!$K$13="","",ピッキング!$K$13)</f>
        <v>121.32499999999997</v>
      </c>
      <c r="BA14">
        <f>IF(ピッキング!$L$13="","",ピッキング!$L$13)</f>
        <v>108.83316918183169</v>
      </c>
      <c r="BC14">
        <f t="shared" si="12"/>
        <v>1</v>
      </c>
      <c r="BD14">
        <f>IF(BC14=1,SUM($BC$8:BC14),"")</f>
        <v>7</v>
      </c>
      <c r="BE14">
        <f t="shared" si="13"/>
        <v>145.58999999999997</v>
      </c>
      <c r="BF14">
        <f t="shared" si="14"/>
        <v>120</v>
      </c>
      <c r="BH14">
        <f t="shared" si="15"/>
        <v>1</v>
      </c>
      <c r="BI14">
        <f>IF(BH14=1,SUM($BH$8:BH14),"")</f>
        <v>7</v>
      </c>
      <c r="BJ14">
        <f t="shared" si="16"/>
        <v>3</v>
      </c>
      <c r="BK14">
        <f t="shared" si="17"/>
        <v>121.32499999999997</v>
      </c>
      <c r="BL14">
        <f t="shared" si="18"/>
        <v>108.83316918183169</v>
      </c>
      <c r="BM14">
        <f t="shared" si="19"/>
        <v>12.491830818168282</v>
      </c>
    </row>
    <row r="15" spans="2:68" x14ac:dyDescent="0.15">
      <c r="T15" t="str">
        <f>IF(ピッキング!$B$14="","",ピッキング!$B$14)</f>
        <v>晩田恵美</v>
      </c>
      <c r="U15">
        <f>IF(OR(ピッキング!$E$14="",ピッキング!$C$14=""),"",ピッキング!$E$14/ピッキング!$C$14)</f>
        <v>0.26339794754846069</v>
      </c>
      <c r="V15">
        <f>IF(ピッキング!$G$14="","",ピッキング!$G$14)</f>
        <v>92.086659064994294</v>
      </c>
      <c r="W15">
        <f>IF(ピッキング!$P$14="","",ピッキング!$P$14)</f>
        <v>67.827708095781063</v>
      </c>
      <c r="X15">
        <f>IF(ピッキング!$L$14="","",ピッキング!$L$14)</f>
        <v>106.78993993502498</v>
      </c>
      <c r="Y15">
        <f>IF(梱包!$L$14="","",梱包!$L$14)</f>
        <v>120.16949514391577</v>
      </c>
      <c r="Z15">
        <f>IF(OR(梱包!$E$14="",梱包!$C$14=""),"",梱包!$E$14/梱包!$C$14)</f>
        <v>0.34293648038875391</v>
      </c>
      <c r="AA15">
        <f>IF(梱包!$G$14="","",梱包!$G$14)</f>
        <v>83.450190905935443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0.26339794754846069</v>
      </c>
      <c r="AF15">
        <f t="shared" si="2"/>
        <v>92.086659064994294</v>
      </c>
      <c r="AG15">
        <f t="shared" si="3"/>
        <v>1</v>
      </c>
      <c r="AH15">
        <f>IF(AG15=1,SUM($AG$8:AG15),"")</f>
        <v>8</v>
      </c>
      <c r="AI15">
        <f t="shared" si="4"/>
        <v>0.26339794754846069</v>
      </c>
      <c r="AJ15">
        <f t="shared" si="5"/>
        <v>67.827708095781063</v>
      </c>
      <c r="AK15">
        <f t="shared" si="6"/>
        <v>1</v>
      </c>
      <c r="AL15">
        <f>IF(AK15=1,SUM($AK$8:AK15),"")</f>
        <v>7</v>
      </c>
      <c r="AM15">
        <f t="shared" si="7"/>
        <v>0.28860445912469035</v>
      </c>
      <c r="AN15">
        <f t="shared" si="8"/>
        <v>102.36168455821635</v>
      </c>
      <c r="AO15">
        <f t="shared" si="9"/>
        <v>1</v>
      </c>
      <c r="AP15">
        <f>IF(AO15=1,SUM($AO$8:AO15),"")</f>
        <v>7</v>
      </c>
      <c r="AQ15">
        <f t="shared" si="10"/>
        <v>105.79720390865057</v>
      </c>
      <c r="AR15">
        <f t="shared" si="11"/>
        <v>94.989155931320283</v>
      </c>
      <c r="AW15">
        <f>IF(ピッキング!$I$14="","",ピッキング!$I$14)</f>
        <v>1459.605</v>
      </c>
      <c r="AX15">
        <f>IF(ピッキング!$D$14="","",ピッキング!$D$14)</f>
        <v>1346</v>
      </c>
      <c r="AY15">
        <f>IF(AND(ISNUMBER(入力!$F$17),入力!$F$17&gt;0),入力!$F$17,"")</f>
        <v>14</v>
      </c>
      <c r="AZ15">
        <f>IF(ピッキング!$K$14="","",ピッキング!$K$14)</f>
        <v>108.44019316493313</v>
      </c>
      <c r="BA15">
        <f>IF(ピッキング!$L$14="","",ピッキング!$L$14)</f>
        <v>106.78993993502498</v>
      </c>
      <c r="BC15">
        <f t="shared" si="12"/>
        <v>1</v>
      </c>
      <c r="BD15">
        <f>IF(BC15=1,SUM($BC$8:BC15),"")</f>
        <v>8</v>
      </c>
      <c r="BE15">
        <f t="shared" si="13"/>
        <v>1459.605</v>
      </c>
      <c r="BF15">
        <f t="shared" si="14"/>
        <v>1346</v>
      </c>
      <c r="BH15">
        <f t="shared" si="15"/>
        <v>1</v>
      </c>
      <c r="BI15">
        <f>IF(BH15=1,SUM($BH$8:BH15),"")</f>
        <v>8</v>
      </c>
      <c r="BJ15">
        <f t="shared" si="16"/>
        <v>14</v>
      </c>
      <c r="BK15">
        <f t="shared" si="17"/>
        <v>108.44019316493313</v>
      </c>
      <c r="BL15">
        <f t="shared" si="18"/>
        <v>106.78993993502498</v>
      </c>
      <c r="BM15">
        <f t="shared" si="19"/>
        <v>1.6502532299081594</v>
      </c>
    </row>
    <row r="16" spans="2:68" x14ac:dyDescent="0.15">
      <c r="B16" s="9" t="s">
        <v>283</v>
      </c>
      <c r="T16" t="str">
        <f>IF(ピッキング!$B$15="","",ピッキング!$B$15)</f>
        <v>高橋佐織</v>
      </c>
      <c r="U16">
        <f>IF(OR(ピッキング!$E$15="",ピッキング!$C$15=""),"",ピッキング!$E$15/ピッキング!$C$15)</f>
        <v>0.42507970244420828</v>
      </c>
      <c r="V16">
        <f>IF(ピッキング!$G$15="","",ピッキング!$G$15)</f>
        <v>107.43889479277364</v>
      </c>
      <c r="W16">
        <f>IF(ピッキング!$P$15="","",ピッキング!$P$15)</f>
        <v>68.289054197662068</v>
      </c>
      <c r="X16">
        <f>IF(ピッキング!$L$15="","",ピッキング!$L$15)</f>
        <v>105.79720390865057</v>
      </c>
      <c r="Y16">
        <f>IF(梱包!$L$15="","",梱包!$L$15)</f>
        <v>94.989155931320283</v>
      </c>
      <c r="Z16">
        <f>IF(OR(梱包!$E$15="",梱包!$C$15=""),"",梱包!$E$15/梱包!$C$15)</f>
        <v>0.28860445912469035</v>
      </c>
      <c r="AA16">
        <f>IF(梱包!$G$15="","",梱包!$G$15)</f>
        <v>102.36168455821635</v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0.42507970244420828</v>
      </c>
      <c r="AF16">
        <f t="shared" si="2"/>
        <v>107.43889479277364</v>
      </c>
      <c r="AG16">
        <f t="shared" si="3"/>
        <v>1</v>
      </c>
      <c r="AH16">
        <f>IF(AG16=1,SUM($AG$8:AG16),"")</f>
        <v>9</v>
      </c>
      <c r="AI16">
        <f t="shared" si="4"/>
        <v>0.42507970244420828</v>
      </c>
      <c r="AJ16">
        <f t="shared" si="5"/>
        <v>68.289054197662068</v>
      </c>
      <c r="AK16">
        <f t="shared" si="6"/>
        <v>1</v>
      </c>
      <c r="AL16">
        <f>IF(AK16=1,SUM($AK$8:AK16),"")</f>
        <v>8</v>
      </c>
      <c r="AM16">
        <f t="shared" si="7"/>
        <v>0.25387596899224807</v>
      </c>
      <c r="AN16">
        <f t="shared" si="8"/>
        <v>109.6124031007752</v>
      </c>
      <c r="AO16">
        <f t="shared" si="9"/>
        <v>1</v>
      </c>
      <c r="AP16">
        <f>IF(AO16=1,SUM($AO$8:AO16),"")</f>
        <v>8</v>
      </c>
      <c r="AQ16">
        <f t="shared" si="10"/>
        <v>105.51500291640784</v>
      </c>
      <c r="AR16">
        <f t="shared" si="11"/>
        <v>86.545994007513698</v>
      </c>
      <c r="AW16">
        <f>IF(ピッキング!$I$15="","",ピッキング!$I$15)</f>
        <v>1799.6599999999999</v>
      </c>
      <c r="AX16">
        <f>IF(ピッキング!$D$15="","",ピッキング!$D$15)</f>
        <v>1685</v>
      </c>
      <c r="AY16">
        <f>IF(AND(ISNUMBER(入力!$F$18),入力!$F$18&gt;0),入力!$F$18,"")</f>
        <v>16</v>
      </c>
      <c r="AZ16">
        <f>IF(ピッキング!$K$15="","",ピッキング!$K$15)</f>
        <v>106.8047477744807</v>
      </c>
      <c r="BA16">
        <f>IF(ピッキング!$L$15="","",ピッキング!$L$15)</f>
        <v>105.79720390865057</v>
      </c>
      <c r="BC16">
        <f t="shared" si="12"/>
        <v>1</v>
      </c>
      <c r="BD16">
        <f>IF(BC16=1,SUM($BC$8:BC16),"")</f>
        <v>9</v>
      </c>
      <c r="BE16">
        <f t="shared" si="13"/>
        <v>1799.6599999999999</v>
      </c>
      <c r="BF16">
        <f t="shared" si="14"/>
        <v>1685</v>
      </c>
      <c r="BH16">
        <f t="shared" si="15"/>
        <v>1</v>
      </c>
      <c r="BI16">
        <f>IF(BH16=1,SUM($BH$8:BH16),"")</f>
        <v>9</v>
      </c>
      <c r="BJ16">
        <f t="shared" si="16"/>
        <v>16</v>
      </c>
      <c r="BK16">
        <f t="shared" si="17"/>
        <v>106.8047477744807</v>
      </c>
      <c r="BL16">
        <f t="shared" si="18"/>
        <v>105.79720390865057</v>
      </c>
      <c r="BM16">
        <f t="shared" si="19"/>
        <v>1.0075438658301294</v>
      </c>
    </row>
    <row r="17" spans="2:65" ht="27.95" customHeight="1" x14ac:dyDescent="0.15">
      <c r="B17" s="91" t="s">
        <v>284</v>
      </c>
      <c r="C17" s="77"/>
      <c r="D17" s="77"/>
      <c r="E17" s="77"/>
      <c r="T17" t="str">
        <f>IF(ピッキング!$B$16="","",ピッキング!$B$16)</f>
        <v>山本祥吉</v>
      </c>
      <c r="U17">
        <f>IF(OR(ピッキング!$E$16="",ピッキング!$C$16=""),"",ピッキング!$E$16/ピッキング!$C$16)</f>
        <v>0.34570220760920622</v>
      </c>
      <c r="V17">
        <f>IF(ピッキング!$G$16="","",ピッキング!$G$16)</f>
        <v>101.14607797087835</v>
      </c>
      <c r="W17">
        <f>IF(ピッキング!$P$16="","",ピッキング!$P$16)</f>
        <v>69.306904650070464</v>
      </c>
      <c r="X17">
        <f>IF(ピッキング!$L$16="","",ピッキング!$L$16)</f>
        <v>105.51500291640784</v>
      </c>
      <c r="Y17">
        <f>IF(梱包!$L$16="","",梱包!$L$16)</f>
        <v>86.545994007513698</v>
      </c>
      <c r="Z17">
        <f>IF(OR(梱包!$E$16="",梱包!$C$16=""),"",梱包!$E$16/梱包!$C$16)</f>
        <v>0.25387596899224807</v>
      </c>
      <c r="AA17">
        <f>IF(梱包!$G$16="","",梱包!$G$16)</f>
        <v>109.6124031007752</v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0.34570220760920622</v>
      </c>
      <c r="AF17">
        <f t="shared" si="2"/>
        <v>101.14607797087835</v>
      </c>
      <c r="AG17">
        <f t="shared" si="3"/>
        <v>1</v>
      </c>
      <c r="AH17">
        <f>IF(AG17=1,SUM($AG$8:AG17),"")</f>
        <v>10</v>
      </c>
      <c r="AI17">
        <f t="shared" si="4"/>
        <v>0.34570220760920622</v>
      </c>
      <c r="AJ17">
        <f t="shared" si="5"/>
        <v>69.306904650070464</v>
      </c>
      <c r="AK17">
        <f t="shared" si="6"/>
        <v>1</v>
      </c>
      <c r="AL17">
        <f>IF(AK17=1,SUM($AK$8:AK17),"")</f>
        <v>9</v>
      </c>
      <c r="AM17">
        <f t="shared" si="7"/>
        <v>0.21460674157303372</v>
      </c>
      <c r="AN17">
        <f t="shared" si="8"/>
        <v>51.91011235955056</v>
      </c>
      <c r="AO17">
        <f t="shared" si="9"/>
        <v>1</v>
      </c>
      <c r="AP17">
        <f>IF(AO17=1,SUM($AO$8:AO17),"")</f>
        <v>9</v>
      </c>
      <c r="AQ17">
        <f t="shared" si="10"/>
        <v>105.20453333776844</v>
      </c>
      <c r="AR17">
        <f t="shared" si="11"/>
        <v>160.10839574130645</v>
      </c>
      <c r="AW17">
        <f>IF(ピッキング!$I$16="","",ピッキング!$I$16)</f>
        <v>3812.2999999999997</v>
      </c>
      <c r="AX17">
        <f>IF(ピッキング!$D$16="","",ピッキング!$D$16)</f>
        <v>3589</v>
      </c>
      <c r="AY17">
        <f>IF(AND(ISNUMBER(入力!$F$19),入力!$F$19&gt;0),入力!$F$19,"")</f>
        <v>20</v>
      </c>
      <c r="AZ17">
        <f>IF(ピッキング!$K$16="","",ピッキング!$K$16)</f>
        <v>106.22178879910837</v>
      </c>
      <c r="BA17">
        <f>IF(ピッキング!$L$16="","",ピッキング!$L$16)</f>
        <v>105.51500291640784</v>
      </c>
      <c r="BC17">
        <f t="shared" si="12"/>
        <v>1</v>
      </c>
      <c r="BD17">
        <f>IF(BC17=1,SUM($BC$8:BC17),"")</f>
        <v>10</v>
      </c>
      <c r="BE17">
        <f t="shared" si="13"/>
        <v>3812.2999999999997</v>
      </c>
      <c r="BF17">
        <f t="shared" si="14"/>
        <v>3589</v>
      </c>
      <c r="BH17">
        <f t="shared" si="15"/>
        <v>1</v>
      </c>
      <c r="BI17">
        <f>IF(BH17=1,SUM($BH$8:BH17),"")</f>
        <v>10</v>
      </c>
      <c r="BJ17">
        <f t="shared" si="16"/>
        <v>20</v>
      </c>
      <c r="BK17">
        <f t="shared" si="17"/>
        <v>106.22178879910837</v>
      </c>
      <c r="BL17">
        <f t="shared" si="18"/>
        <v>105.51500291640784</v>
      </c>
      <c r="BM17">
        <f t="shared" si="19"/>
        <v>0.70678588270052956</v>
      </c>
    </row>
    <row r="18" spans="2:65" x14ac:dyDescent="0.15">
      <c r="B18" s="25" t="s">
        <v>278</v>
      </c>
      <c r="C18" s="26">
        <f>COUNT($AI$8:$AI$67)</f>
        <v>29</v>
      </c>
      <c r="T18" t="str">
        <f>IF(ピッキング!$B$17="","",ピッキング!$B$17)</f>
        <v>佐々木千恵</v>
      </c>
      <c r="U18">
        <f>IF(OR(ピッキング!$E$17="",ピッキング!$C$17=""),"",ピッキング!$E$17/ピッキング!$C$17)</f>
        <v>0.28046989720998533</v>
      </c>
      <c r="V18">
        <f>IF(ピッキング!$G$17="","",ピッキング!$G$17)</f>
        <v>95.330396475770925</v>
      </c>
      <c r="W18">
        <f>IF(ピッキング!$P$17="","",ピッキング!$P$17)</f>
        <v>69.499118942731286</v>
      </c>
      <c r="X18">
        <f>IF(ピッキング!$L$17="","",ピッキング!$L$17)</f>
        <v>105.20453333776844</v>
      </c>
      <c r="Y18">
        <f>IF(梱包!$L$17="","",梱包!$L$17)</f>
        <v>160.10839574130645</v>
      </c>
      <c r="Z18">
        <f>IF(OR(梱包!$E$17="",梱包!$C$17=""),"",梱包!$E$17/梱包!$C$17)</f>
        <v>0.21460674157303372</v>
      </c>
      <c r="AA18">
        <f>IF(梱包!$G$17="","",梱包!$G$17)</f>
        <v>51.91011235955056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0.28046989720998533</v>
      </c>
      <c r="AF18">
        <f t="shared" si="2"/>
        <v>95.330396475770925</v>
      </c>
      <c r="AG18">
        <f t="shared" si="3"/>
        <v>1</v>
      </c>
      <c r="AH18">
        <f>IF(AG18=1,SUM($AG$8:AG18),"")</f>
        <v>11</v>
      </c>
      <c r="AI18">
        <f t="shared" si="4"/>
        <v>0.28046989720998533</v>
      </c>
      <c r="AJ18">
        <f t="shared" si="5"/>
        <v>69.499118942731286</v>
      </c>
      <c r="AK18">
        <f t="shared" si="6"/>
        <v>1</v>
      </c>
      <c r="AL18">
        <f>IF(AK18=1,SUM($AK$8:AK18),"")</f>
        <v>10</v>
      </c>
      <c r="AM18">
        <f t="shared" si="7"/>
        <v>0.32732316227461861</v>
      </c>
      <c r="AN18">
        <f t="shared" si="8"/>
        <v>73.148404993065185</v>
      </c>
      <c r="AO18">
        <f t="shared" si="9"/>
        <v>1</v>
      </c>
      <c r="AP18">
        <f>IF(AO18=1,SUM($AO$8:AO18),"")</f>
        <v>10</v>
      </c>
      <c r="AQ18">
        <f t="shared" si="10"/>
        <v>102.50307274983271</v>
      </c>
      <c r="AR18">
        <f t="shared" si="11"/>
        <v>133.19600527081576</v>
      </c>
      <c r="AW18">
        <f>IF(ピッキング!$I$17="","",ピッキング!$I$17)</f>
        <v>1151.2449999999999</v>
      </c>
      <c r="AX18">
        <f>IF(ピッキング!$D$17="","",ピッキング!$D$17)</f>
        <v>1082</v>
      </c>
      <c r="AY18">
        <f>IF(AND(ISNUMBER(入力!$F$20),入力!$F$20&gt;0),入力!$F$20,"")</f>
        <v>10</v>
      </c>
      <c r="AZ18">
        <f>IF(ピッキング!$K$17="","",ピッキング!$K$17)</f>
        <v>106.39972273567466</v>
      </c>
      <c r="BA18">
        <f>IF(ピッキング!$L$17="","",ピッキング!$L$17)</f>
        <v>105.20453333776844</v>
      </c>
      <c r="BC18">
        <f t="shared" si="12"/>
        <v>1</v>
      </c>
      <c r="BD18">
        <f>IF(BC18=1,SUM($BC$8:BC18),"")</f>
        <v>11</v>
      </c>
      <c r="BE18">
        <f t="shared" si="13"/>
        <v>1151.2449999999999</v>
      </c>
      <c r="BF18">
        <f t="shared" si="14"/>
        <v>1082</v>
      </c>
      <c r="BH18">
        <f t="shared" si="15"/>
        <v>1</v>
      </c>
      <c r="BI18">
        <f>IF(BH18=1,SUM($BH$8:BH18),"")</f>
        <v>11</v>
      </c>
      <c r="BJ18">
        <f t="shared" si="16"/>
        <v>10</v>
      </c>
      <c r="BK18">
        <f t="shared" si="17"/>
        <v>106.39972273567466</v>
      </c>
      <c r="BL18">
        <f t="shared" si="18"/>
        <v>105.20453333776844</v>
      </c>
      <c r="BM18">
        <f t="shared" si="19"/>
        <v>1.1951893979062191</v>
      </c>
    </row>
    <row r="19" spans="2:65" x14ac:dyDescent="0.15">
      <c r="B19" s="25" t="s">
        <v>57</v>
      </c>
      <c r="C19" s="52">
        <f>IFERROR(CORREL($AI$8:$AI$67,$AJ$8:$AJ$67),"")</f>
        <v>9.0933680502395461E-2</v>
      </c>
      <c r="T19" t="str">
        <f>IF(ピッキング!$B$18="","",ピッキング!$B$18)</f>
        <v>北田倫子</v>
      </c>
      <c r="U19">
        <f>IF(OR(ピッキング!$E$18="",ピッキング!$C$18=""),"",ピッキング!$E$18/ピッキング!$C$18)</f>
        <v>0.6004273504273504</v>
      </c>
      <c r="V19">
        <f>IF(ピッキング!$G$18="","",ピッキング!$G$18)</f>
        <v>128.33333333333334</v>
      </c>
      <c r="W19">
        <f>IF(ピッキング!$P$18="","",ピッキング!$P$18)</f>
        <v>73.033974358974348</v>
      </c>
      <c r="X19">
        <f>IF(ピッキング!$L$18="","",ピッキング!$L$18)</f>
        <v>102.50307274983271</v>
      </c>
      <c r="Y19">
        <f>IF(梱包!$L$18="","",梱包!$L$18)</f>
        <v>133.19600527081576</v>
      </c>
      <c r="Z19">
        <f>IF(OR(梱包!$E$18="",梱包!$C$18=""),"",梱包!$E$18/梱包!$C$18)</f>
        <v>0.32732316227461861</v>
      </c>
      <c r="AA19">
        <f>IF(梱包!$G$18="","",梱包!$G$18)</f>
        <v>73.148404993065185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0.6004273504273504</v>
      </c>
      <c r="AF19">
        <f t="shared" si="2"/>
        <v>128.33333333333334</v>
      </c>
      <c r="AG19">
        <f t="shared" si="3"/>
        <v>1</v>
      </c>
      <c r="AH19">
        <f>IF(AG19=1,SUM($AG$8:AG19),"")</f>
        <v>12</v>
      </c>
      <c r="AI19">
        <f t="shared" si="4"/>
        <v>0.6004273504273504</v>
      </c>
      <c r="AJ19">
        <f t="shared" si="5"/>
        <v>73.033974358974348</v>
      </c>
      <c r="AK19">
        <f t="shared" si="6"/>
        <v>1</v>
      </c>
      <c r="AL19">
        <f>IF(AK19=1,SUM($AK$8:AK19),"")</f>
        <v>11</v>
      </c>
      <c r="AM19">
        <f t="shared" si="7"/>
        <v>0.16964285714285715</v>
      </c>
      <c r="AN19">
        <f t="shared" si="8"/>
        <v>127.23214285714286</v>
      </c>
      <c r="AO19">
        <f t="shared" si="9"/>
        <v>1</v>
      </c>
      <c r="AP19">
        <f>IF(AO19=1,SUM($AO$8:AO19),"")</f>
        <v>11</v>
      </c>
      <c r="AQ19">
        <f t="shared" si="10"/>
        <v>102.49958553696862</v>
      </c>
      <c r="AR19">
        <f t="shared" si="11"/>
        <v>81.623854973799993</v>
      </c>
      <c r="AW19">
        <f>IF(ピッキング!$I$18="","",ピッキング!$I$18)</f>
        <v>1021.0149999999999</v>
      </c>
      <c r="AX19">
        <f>IF(ピッキング!$D$18="","",ピッキング!$D$18)</f>
        <v>1001</v>
      </c>
      <c r="AY19">
        <f>IF(AND(ISNUMBER(入力!$F$21),入力!$F$21&gt;0),入力!$F$21,"")</f>
        <v>14</v>
      </c>
      <c r="AZ19">
        <f>IF(ピッキング!$K$18="","",ピッキング!$K$18)</f>
        <v>101.99950049950048</v>
      </c>
      <c r="BA19">
        <f>IF(ピッキング!$L$18="","",ピッキング!$L$18)</f>
        <v>102.50307274983271</v>
      </c>
      <c r="BC19">
        <f t="shared" si="12"/>
        <v>1</v>
      </c>
      <c r="BD19">
        <f>IF(BC19=1,SUM($BC$8:BC19),"")</f>
        <v>12</v>
      </c>
      <c r="BE19">
        <f t="shared" si="13"/>
        <v>1021.0149999999999</v>
      </c>
      <c r="BF19">
        <f t="shared" si="14"/>
        <v>1001</v>
      </c>
      <c r="BH19">
        <f t="shared" si="15"/>
        <v>1</v>
      </c>
      <c r="BI19">
        <f>IF(BH19=1,SUM($BH$8:BH19),"")</f>
        <v>12</v>
      </c>
      <c r="BJ19">
        <f t="shared" si="16"/>
        <v>14</v>
      </c>
      <c r="BK19">
        <f t="shared" si="17"/>
        <v>101.99950049950048</v>
      </c>
      <c r="BL19">
        <f t="shared" si="18"/>
        <v>102.50307274983271</v>
      </c>
      <c r="BM19">
        <f t="shared" si="19"/>
        <v>0.50357225033222619</v>
      </c>
    </row>
    <row r="20" spans="2:65" x14ac:dyDescent="0.15">
      <c r="B20" s="25" t="s">
        <v>279</v>
      </c>
      <c r="C20" s="52">
        <f>IFERROR(RSQ($AJ$8:$AJ$67,$AI$8:$AI$67),"")</f>
        <v>8.268934249711736E-3</v>
      </c>
      <c r="T20" t="str">
        <f>IF(ピッキング!$B$19="","",ピッキング!$B$19)</f>
        <v>中納沙織</v>
      </c>
      <c r="U20">
        <f>IF(OR(ピッキング!$E$19="",ピッキング!$C$19=""),"",ピッキング!$E$19/ピッキング!$C$19)</f>
        <v>0.4864391951006124</v>
      </c>
      <c r="V20">
        <f>IF(ピッキング!$G$19="","",ピッキング!$G$19)</f>
        <v>118.37270341207349</v>
      </c>
      <c r="W20">
        <f>IF(ピッキング!$P$19="","",ピッキング!$P$19)</f>
        <v>73.571653543307079</v>
      </c>
      <c r="X20">
        <f>IF(ピッキング!$L$19="","",ピッキング!$L$19)</f>
        <v>102.49958553696862</v>
      </c>
      <c r="Y20">
        <f>IF(梱包!$L$19="","",梱包!$L$19)</f>
        <v>81.623854973799993</v>
      </c>
      <c r="Z20">
        <f>IF(OR(梱包!$E$19="",梱包!$C$19=""),"",梱包!$E$19/梱包!$C$19)</f>
        <v>0.16964285714285715</v>
      </c>
      <c r="AA20">
        <f>IF(梱包!$G$19="","",梱包!$G$19)</f>
        <v>127.23214285714286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0.4864391951006124</v>
      </c>
      <c r="AF20">
        <f t="shared" si="2"/>
        <v>118.37270341207349</v>
      </c>
      <c r="AG20">
        <f t="shared" si="3"/>
        <v>1</v>
      </c>
      <c r="AH20">
        <f>IF(AG20=1,SUM($AG$8:AG20),"")</f>
        <v>13</v>
      </c>
      <c r="AI20">
        <f t="shared" si="4"/>
        <v>0.4864391951006124</v>
      </c>
      <c r="AJ20">
        <f t="shared" si="5"/>
        <v>73.571653543307079</v>
      </c>
      <c r="AK20">
        <f t="shared" si="6"/>
        <v>1</v>
      </c>
      <c r="AL20">
        <f>IF(AK20=1,SUM($AK$8:AK20),"")</f>
        <v>12</v>
      </c>
      <c r="AM20">
        <f t="shared" si="7"/>
        <v>0.29682539682539683</v>
      </c>
      <c r="AN20">
        <f t="shared" si="8"/>
        <v>185.23809523809524</v>
      </c>
      <c r="AO20">
        <f t="shared" si="9"/>
        <v>1</v>
      </c>
      <c r="AP20">
        <f>IF(AO20=1,SUM($AO$8:AO20),"")</f>
        <v>12</v>
      </c>
      <c r="AQ20">
        <f t="shared" si="10"/>
        <v>101.30979777676158</v>
      </c>
      <c r="AR20">
        <f t="shared" si="11"/>
        <v>60.168471740699999</v>
      </c>
      <c r="AW20">
        <f>IF(ピッキング!$I$19="","",ピッキング!$I$19)</f>
        <v>2293.64</v>
      </c>
      <c r="AX20">
        <f>IF(ピッキング!$D$19="","",ピッキング!$D$19)</f>
        <v>2255</v>
      </c>
      <c r="AY20">
        <f>IF(AND(ISNUMBER(入力!$F$22),入力!$F$22&gt;0),入力!$F$22,"")</f>
        <v>9</v>
      </c>
      <c r="AZ20">
        <f>IF(ピッキング!$K$19="","",ピッキング!$K$19)</f>
        <v>101.71352549889134</v>
      </c>
      <c r="BA20">
        <f>IF(ピッキング!$L$19="","",ピッキング!$L$19)</f>
        <v>102.49958553696862</v>
      </c>
      <c r="BC20">
        <f t="shared" si="12"/>
        <v>1</v>
      </c>
      <c r="BD20">
        <f>IF(BC20=1,SUM($BC$8:BC20),"")</f>
        <v>13</v>
      </c>
      <c r="BE20">
        <f t="shared" si="13"/>
        <v>2293.64</v>
      </c>
      <c r="BF20">
        <f t="shared" si="14"/>
        <v>2255</v>
      </c>
      <c r="BH20">
        <f t="shared" si="15"/>
        <v>1</v>
      </c>
      <c r="BI20">
        <f>IF(BH20=1,SUM($BH$8:BH20),"")</f>
        <v>13</v>
      </c>
      <c r="BJ20">
        <f t="shared" si="16"/>
        <v>9</v>
      </c>
      <c r="BK20">
        <f t="shared" si="17"/>
        <v>101.71352549889134</v>
      </c>
      <c r="BL20">
        <f t="shared" si="18"/>
        <v>102.49958553696862</v>
      </c>
      <c r="BM20">
        <f t="shared" si="19"/>
        <v>0.78606003807728086</v>
      </c>
    </row>
    <row r="21" spans="2:65" x14ac:dyDescent="0.15">
      <c r="B21" s="25" t="s">
        <v>280</v>
      </c>
      <c r="C21" s="22">
        <f>IFERROR(SLOPE($AJ$8:$AJ$67,$AI$8:$AI$67),"")</f>
        <v>21.544403138044615</v>
      </c>
      <c r="T21" t="str">
        <f>IF(ピッキング!$B$20="","",ピッキング!$B$20)</f>
        <v>石戸谷亜子</v>
      </c>
      <c r="U21">
        <f>IF(OR(ピッキング!$E$20="",ピッキング!$C$20=""),"",ピッキング!$E$20/ピッキング!$C$20)</f>
        <v>0.33333333333333331</v>
      </c>
      <c r="V21">
        <f>IF(ピッキング!$G$20="","",ピッキング!$G$20)</f>
        <v>105.67375886524823</v>
      </c>
      <c r="W21">
        <f>IF(ピッキング!$P$20="","",ピッキング!$P$20)</f>
        <v>74.973758865248229</v>
      </c>
      <c r="X21">
        <f>IF(ピッキング!$L$20="","",ピッキング!$L$20)</f>
        <v>101.9554031333199</v>
      </c>
      <c r="Y21" t="str">
        <f>IF(梱包!$L$20="","",梱包!$L$20)</f>
        <v/>
      </c>
      <c r="Z21" t="str">
        <f>IF(OR(梱包!$E$20="",梱包!$C$20=""),"",梱包!$E$20/梱包!$C$20)</f>
        <v/>
      </c>
      <c r="AA21" t="str">
        <f>IF(梱包!$G$20="","",梱包!$G$20)</f>
        <v/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0.33333333333333331</v>
      </c>
      <c r="AF21">
        <f t="shared" si="2"/>
        <v>105.67375886524823</v>
      </c>
      <c r="AG21">
        <f t="shared" si="3"/>
        <v>1</v>
      </c>
      <c r="AH21">
        <f>IF(AG21=1,SUM($AG$8:AG21),"")</f>
        <v>14</v>
      </c>
      <c r="AI21">
        <f t="shared" si="4"/>
        <v>0.33333333333333331</v>
      </c>
      <c r="AJ21">
        <f t="shared" si="5"/>
        <v>74.973758865248229</v>
      </c>
      <c r="AK21">
        <f t="shared" si="6"/>
        <v>0</v>
      </c>
      <c r="AL21" t="str">
        <f>IF(AK21=1,SUM($AK$8:AK21),"")</f>
        <v/>
      </c>
      <c r="AM21">
        <f t="shared" si="7"/>
        <v>0.12141652613827993</v>
      </c>
      <c r="AN21">
        <f t="shared" si="8"/>
        <v>69.308600337268132</v>
      </c>
      <c r="AO21">
        <f t="shared" si="9"/>
        <v>0</v>
      </c>
      <c r="AP21" t="str">
        <f>IF(AO21=1,SUM($AO$8:AO21),"")</f>
        <v/>
      </c>
      <c r="AQ21">
        <f t="shared" si="10"/>
        <v>101.02482891621315</v>
      </c>
      <c r="AR21">
        <f t="shared" si="11"/>
        <v>114.9964054395198</v>
      </c>
      <c r="AW21">
        <f>IF(ピッキング!$I$20="","",ピッキング!$I$20)</f>
        <v>1498.83</v>
      </c>
      <c r="AX21">
        <f>IF(ピッキング!$D$20="","",ピッキング!$D$20)</f>
        <v>1490</v>
      </c>
      <c r="AY21">
        <f>IF(AND(ISNUMBER(入力!$F$23),入力!$F$23&gt;0),入力!$F$23,"")</f>
        <v>8</v>
      </c>
      <c r="AZ21">
        <f>IF(ピッキング!$K$20="","",ピッキング!$K$20)</f>
        <v>100.59261744966443</v>
      </c>
      <c r="BA21">
        <f>IF(ピッキング!$L$20="","",ピッキング!$L$20)</f>
        <v>101.9554031333199</v>
      </c>
      <c r="BC21">
        <f t="shared" si="12"/>
        <v>1</v>
      </c>
      <c r="BD21">
        <f>IF(BC21=1,SUM($BC$8:BC21),"")</f>
        <v>14</v>
      </c>
      <c r="BE21">
        <f t="shared" si="13"/>
        <v>1498.83</v>
      </c>
      <c r="BF21">
        <f t="shared" si="14"/>
        <v>1490</v>
      </c>
      <c r="BH21">
        <f t="shared" si="15"/>
        <v>1</v>
      </c>
      <c r="BI21">
        <f>IF(BH21=1,SUM($BH$8:BH21),"")</f>
        <v>14</v>
      </c>
      <c r="BJ21">
        <f t="shared" si="16"/>
        <v>8</v>
      </c>
      <c r="BK21">
        <f t="shared" si="17"/>
        <v>100.59261744966443</v>
      </c>
      <c r="BL21">
        <f t="shared" si="18"/>
        <v>101.9554031333199</v>
      </c>
      <c r="BM21">
        <f t="shared" si="19"/>
        <v>1.3627856836554741</v>
      </c>
    </row>
    <row r="22" spans="2:65" x14ac:dyDescent="0.15">
      <c r="B22" s="25" t="s">
        <v>281</v>
      </c>
      <c r="C22" s="22">
        <f>IFERROR(INTERCEPT($AJ$8:$AJ$67,$AI$8:$AI$67),"")</f>
        <v>70.735013025518327</v>
      </c>
      <c r="T22" t="str">
        <f>IF(ピッキング!$B$21="","",ピッキング!$B$21)</f>
        <v>森田美加</v>
      </c>
      <c r="U22">
        <f>IF(OR(ピッキング!$E$21="",ピッキング!$C$21=""),"",ピッキング!$E$21/ピッキング!$C$21)</f>
        <v>0.5</v>
      </c>
      <c r="V22">
        <f>IF(ピッキング!$G$21="","",ピッキング!$G$21)</f>
        <v>123.85321100917432</v>
      </c>
      <c r="W22">
        <f>IF(ピッキング!$P$21="","",ピッキング!$P$21)</f>
        <v>77.803211009174305</v>
      </c>
      <c r="X22">
        <f>IF(ピッキング!$L$21="","",ピッキング!$L$21)</f>
        <v>101.30979777676158</v>
      </c>
      <c r="Y22">
        <f>IF(梱包!$L$21="","",梱包!$L$21)</f>
        <v>60.168471740699999</v>
      </c>
      <c r="Z22">
        <f>IF(OR(梱包!$E$21="",梱包!$C$21=""),"",梱包!$E$21/梱包!$C$21)</f>
        <v>0.29682539682539683</v>
      </c>
      <c r="AA22">
        <f>IF(梱包!$G$21="","",梱包!$G$21)</f>
        <v>185.23809523809524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0.5</v>
      </c>
      <c r="AF22">
        <f t="shared" si="2"/>
        <v>123.85321100917432</v>
      </c>
      <c r="AG22">
        <f t="shared" si="3"/>
        <v>1</v>
      </c>
      <c r="AH22">
        <f>IF(AG22=1,SUM($AG$8:AG22),"")</f>
        <v>15</v>
      </c>
      <c r="AI22">
        <f t="shared" si="4"/>
        <v>0.5</v>
      </c>
      <c r="AJ22">
        <f t="shared" si="5"/>
        <v>77.803211009174305</v>
      </c>
      <c r="AK22">
        <f t="shared" si="6"/>
        <v>1</v>
      </c>
      <c r="AL22">
        <f>IF(AK22=1,SUM($AK$8:AK22),"")</f>
        <v>13</v>
      </c>
      <c r="AM22">
        <f t="shared" si="7"/>
        <v>0.25828571428571429</v>
      </c>
      <c r="AN22">
        <f t="shared" si="8"/>
        <v>129.87428571428572</v>
      </c>
      <c r="AO22">
        <f t="shared" si="9"/>
        <v>1</v>
      </c>
      <c r="AP22">
        <f>IF(AO22=1,SUM($AO$8:AO22),"")</f>
        <v>13</v>
      </c>
      <c r="AQ22">
        <f t="shared" si="10"/>
        <v>100.82289288993715</v>
      </c>
      <c r="AR22">
        <f t="shared" si="11"/>
        <v>74.605827454922348</v>
      </c>
      <c r="AW22">
        <f>IF(ピッキング!$I$21="","",ピッキング!$I$21)</f>
        <v>441.995</v>
      </c>
      <c r="AX22">
        <f>IF(ピッキング!$D$21="","",ピッキング!$D$21)</f>
        <v>450</v>
      </c>
      <c r="AY22">
        <f>IF(AND(ISNUMBER(入力!$F$24),入力!$F$24&gt;0),入力!$F$24,"")</f>
        <v>5</v>
      </c>
      <c r="AZ22">
        <f>IF(ピッキング!$K$21="","",ピッキング!$K$21)</f>
        <v>98.221111111111114</v>
      </c>
      <c r="BA22">
        <f>IF(ピッキング!$L$21="","",ピッキング!$L$21)</f>
        <v>101.30979777676158</v>
      </c>
      <c r="BC22">
        <f t="shared" si="12"/>
        <v>1</v>
      </c>
      <c r="BD22">
        <f>IF(BC22=1,SUM($BC$8:BC22),"")</f>
        <v>15</v>
      </c>
      <c r="BE22">
        <f t="shared" si="13"/>
        <v>441.995</v>
      </c>
      <c r="BF22">
        <f t="shared" si="14"/>
        <v>450</v>
      </c>
      <c r="BH22">
        <f t="shared" si="15"/>
        <v>1</v>
      </c>
      <c r="BI22">
        <f>IF(BH22=1,SUM($BH$8:BH22),"")</f>
        <v>15</v>
      </c>
      <c r="BJ22">
        <f t="shared" si="16"/>
        <v>5</v>
      </c>
      <c r="BK22">
        <f t="shared" si="17"/>
        <v>98.221111111111114</v>
      </c>
      <c r="BL22">
        <f t="shared" si="18"/>
        <v>101.30979777676158</v>
      </c>
      <c r="BM22">
        <f t="shared" si="19"/>
        <v>3.0886866656504708</v>
      </c>
    </row>
    <row r="23" spans="2:65" x14ac:dyDescent="0.15">
      <c r="B23" s="25" t="s">
        <v>282</v>
      </c>
      <c r="C23" s="27">
        <f>IFERROR(TDIST(ABS(C19)*SQRT((C18-2)/(1-C19^2)),C18-2,2),"")</f>
        <v>0.63897915074996003</v>
      </c>
      <c r="T23" t="str">
        <f>IF(ピッキング!$B$22="","",ピッキング!$B$22)</f>
        <v>河野忠</v>
      </c>
      <c r="U23">
        <f>IF(OR(ピッキング!$E$22="",ピッキング!$C$22=""),"",ピッキング!$E$22/ピッキング!$C$22)</f>
        <v>0.43928571428571428</v>
      </c>
      <c r="V23">
        <f>IF(ピッキング!$G$22="","",ピッキング!$G$22)</f>
        <v>118.28571428571429</v>
      </c>
      <c r="W23">
        <f>IF(ピッキング!$P$22="","",ピッキング!$P$22)</f>
        <v>77.827500000000015</v>
      </c>
      <c r="X23">
        <f>IF(ピッキング!$L$22="","",ピッキング!$L$22)</f>
        <v>101.02482891621315</v>
      </c>
      <c r="Y23">
        <f>IF(梱包!$L$22="","",梱包!$L$22)</f>
        <v>114.9964054395198</v>
      </c>
      <c r="Z23">
        <f>IF(OR(梱包!$E$22="",梱包!$C$22=""),"",梱包!$E$22/梱包!$C$22)</f>
        <v>0.12141652613827993</v>
      </c>
      <c r="AA23">
        <f>IF(梱包!$G$22="","",梱包!$G$22)</f>
        <v>69.308600337268132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0.43928571428571428</v>
      </c>
      <c r="AF23">
        <f t="shared" si="2"/>
        <v>118.28571428571429</v>
      </c>
      <c r="AG23">
        <f t="shared" si="3"/>
        <v>1</v>
      </c>
      <c r="AH23">
        <f>IF(AG23=1,SUM($AG$8:AG23),"")</f>
        <v>16</v>
      </c>
      <c r="AI23">
        <f t="shared" si="4"/>
        <v>0.43928571428571428</v>
      </c>
      <c r="AJ23">
        <f t="shared" si="5"/>
        <v>77.827500000000015</v>
      </c>
      <c r="AK23">
        <f t="shared" si="6"/>
        <v>1</v>
      </c>
      <c r="AL23">
        <f>IF(AK23=1,SUM($AK$8:AK23),"")</f>
        <v>14</v>
      </c>
      <c r="AM23">
        <f t="shared" si="7"/>
        <v>0.3619047619047619</v>
      </c>
      <c r="AN23">
        <f t="shared" si="8"/>
        <v>105.6</v>
      </c>
      <c r="AO23">
        <f t="shared" si="9"/>
        <v>1</v>
      </c>
      <c r="AP23">
        <f>IF(AO23=1,SUM($AO$8:AO23),"")</f>
        <v>14</v>
      </c>
      <c r="AQ23">
        <f t="shared" si="10"/>
        <v>99.417763038447092</v>
      </c>
      <c r="AR23">
        <f t="shared" si="11"/>
        <v>98.746784747731013</v>
      </c>
      <c r="AW23">
        <f>IF(ピッキング!$I$22="","",ピッキング!$I$22)</f>
        <v>541.60500000000002</v>
      </c>
      <c r="AX23">
        <f>IF(ピッキング!$D$22="","",ピッキング!$D$22)</f>
        <v>552</v>
      </c>
      <c r="AY23">
        <f>IF(AND(ISNUMBER(入力!$F$25),入力!$F$25&gt;0),入力!$F$25,"")</f>
        <v>6</v>
      </c>
      <c r="AZ23">
        <f>IF(ピッキング!$K$22="","",ピッキング!$K$22)</f>
        <v>98.116847826086968</v>
      </c>
      <c r="BA23">
        <f>IF(ピッキング!$L$22="","",ピッキング!$L$22)</f>
        <v>101.02482891621315</v>
      </c>
      <c r="BC23">
        <f t="shared" si="12"/>
        <v>1</v>
      </c>
      <c r="BD23">
        <f>IF(BC23=1,SUM($BC$8:BC23),"")</f>
        <v>16</v>
      </c>
      <c r="BE23">
        <f t="shared" si="13"/>
        <v>541.60500000000002</v>
      </c>
      <c r="BF23">
        <f t="shared" si="14"/>
        <v>552</v>
      </c>
      <c r="BH23">
        <f t="shared" si="15"/>
        <v>1</v>
      </c>
      <c r="BI23">
        <f>IF(BH23=1,SUM($BH$8:BH23),"")</f>
        <v>16</v>
      </c>
      <c r="BJ23">
        <f t="shared" si="16"/>
        <v>6</v>
      </c>
      <c r="BK23">
        <f t="shared" si="17"/>
        <v>98.116847826086968</v>
      </c>
      <c r="BL23">
        <f t="shared" si="18"/>
        <v>101.02482891621315</v>
      </c>
      <c r="BM23">
        <f t="shared" si="19"/>
        <v>2.9079810901261851</v>
      </c>
    </row>
    <row r="24" spans="2:65" x14ac:dyDescent="0.15">
      <c r="T24" t="str">
        <f>IF(ピッキング!$B$23="","",ピッキング!$B$23)</f>
        <v>木村千鶴</v>
      </c>
      <c r="U24">
        <f>IF(OR(ピッキング!$E$23="",ピッキング!$C$23=""),"",ピッキング!$E$23/ピッキング!$C$23)</f>
        <v>0.49059334298118668</v>
      </c>
      <c r="V24">
        <f>IF(ピッキング!$G$23="","",ピッキング!$G$23)</f>
        <v>121.21562952243126</v>
      </c>
      <c r="W24">
        <f>IF(ピッキング!$P$23="","",ピッキング!$P$23)</f>
        <v>76.031982633863961</v>
      </c>
      <c r="X24">
        <f>IF(ピッキング!$L$23="","",ピッキング!$L$23)</f>
        <v>100.82289288993715</v>
      </c>
      <c r="Y24">
        <f>IF(梱包!$L$23="","",梱包!$L$23)</f>
        <v>74.605827454922348</v>
      </c>
      <c r="Z24">
        <f>IF(OR(梱包!$E$23="",梱包!$C$23=""),"",梱包!$E$23/梱包!$C$23)</f>
        <v>0.25828571428571429</v>
      </c>
      <c r="AA24">
        <f>IF(梱包!$G$23="","",梱包!$G$23)</f>
        <v>129.87428571428572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0.49059334298118668</v>
      </c>
      <c r="AF24">
        <f t="shared" si="2"/>
        <v>121.21562952243126</v>
      </c>
      <c r="AG24">
        <f t="shared" si="3"/>
        <v>1</v>
      </c>
      <c r="AH24">
        <f>IF(AG24=1,SUM($AG$8:AG24),"")</f>
        <v>17</v>
      </c>
      <c r="AI24">
        <f t="shared" si="4"/>
        <v>0.49059334298118668</v>
      </c>
      <c r="AJ24">
        <f t="shared" si="5"/>
        <v>76.031982633863961</v>
      </c>
      <c r="AK24">
        <f t="shared" si="6"/>
        <v>1</v>
      </c>
      <c r="AL24">
        <f>IF(AK24=1,SUM($AK$8:AK24),"")</f>
        <v>15</v>
      </c>
      <c r="AM24">
        <f t="shared" si="7"/>
        <v>0.30206185567010307</v>
      </c>
      <c r="AN24">
        <f t="shared" si="8"/>
        <v>96.371134020618555</v>
      </c>
      <c r="AO24">
        <f t="shared" si="9"/>
        <v>1</v>
      </c>
      <c r="AP24">
        <f>IF(AO24=1,SUM($AO$8:AO24),"")</f>
        <v>15</v>
      </c>
      <c r="AQ24">
        <f t="shared" si="10"/>
        <v>91.373442052986164</v>
      </c>
      <c r="AR24">
        <f t="shared" si="11"/>
        <v>102.18958506791222</v>
      </c>
      <c r="AW24">
        <f>IF(ピッキング!$I$23="","",ピッキング!$I$23)</f>
        <v>1391.0250000000001</v>
      </c>
      <c r="AX24">
        <f>IF(ピッキング!$D$23="","",ピッキング!$D$23)</f>
        <v>1396</v>
      </c>
      <c r="AY24">
        <f>IF(AND(ISNUMBER(入力!$F$26),入力!$F$26&gt;0),入力!$F$26,"")</f>
        <v>16</v>
      </c>
      <c r="AZ24">
        <f>IF(ピッキング!$K$23="","",ピッキング!$K$23)</f>
        <v>99.64362464183381</v>
      </c>
      <c r="BA24">
        <f>IF(ピッキング!$L$23="","",ピッキング!$L$23)</f>
        <v>100.82289288993715</v>
      </c>
      <c r="BC24">
        <f t="shared" si="12"/>
        <v>1</v>
      </c>
      <c r="BD24">
        <f>IF(BC24=1,SUM($BC$8:BC24),"")</f>
        <v>17</v>
      </c>
      <c r="BE24">
        <f t="shared" si="13"/>
        <v>1391.0250000000001</v>
      </c>
      <c r="BF24">
        <f t="shared" si="14"/>
        <v>1396</v>
      </c>
      <c r="BH24">
        <f t="shared" si="15"/>
        <v>1</v>
      </c>
      <c r="BI24">
        <f>IF(BH24=1,SUM($BH$8:BH24),"")</f>
        <v>17</v>
      </c>
      <c r="BJ24">
        <f t="shared" si="16"/>
        <v>16</v>
      </c>
      <c r="BK24">
        <f t="shared" si="17"/>
        <v>99.64362464183381</v>
      </c>
      <c r="BL24">
        <f t="shared" si="18"/>
        <v>100.82289288993715</v>
      </c>
      <c r="BM24">
        <f t="shared" si="19"/>
        <v>1.179268248103341</v>
      </c>
    </row>
    <row r="25" spans="2:65" x14ac:dyDescent="0.15">
      <c r="B25" s="9" t="s">
        <v>285</v>
      </c>
      <c r="T25" t="str">
        <f>IF(ピッキング!$B$24="","",ピッキング!$B$24)</f>
        <v>奥野愛海</v>
      </c>
      <c r="U25">
        <f>IF(OR(ピッキング!$E$24="",ピッキング!$C$24=""),"",ピッキング!$E$24/ピッキング!$C$24)</f>
        <v>0.50240384615384615</v>
      </c>
      <c r="V25">
        <f>IF(ピッキング!$G$24="","",ピッキング!$G$24)</f>
        <v>133.41346153846155</v>
      </c>
      <c r="W25">
        <f>IF(ピッキング!$P$24="","",ピッキング!$P$24)</f>
        <v>87.142067307692315</v>
      </c>
      <c r="X25">
        <f>IF(ピッキング!$L$24="","",ピッキング!$L$24)</f>
        <v>99.87068040500408</v>
      </c>
      <c r="Y25" t="str">
        <f>IF(梱包!$L$24="","",梱包!$L$24)</f>
        <v/>
      </c>
      <c r="Z25" t="str">
        <f>IF(OR(梱包!$E$24="",梱包!$C$24=""),"",梱包!$E$24/梱包!$C$24)</f>
        <v/>
      </c>
      <c r="AA25" t="str">
        <f>IF(梱包!$G$24="","",梱包!$G$24)</f>
        <v/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0.50240384615384615</v>
      </c>
      <c r="AF25">
        <f t="shared" si="2"/>
        <v>133.41346153846155</v>
      </c>
      <c r="AG25">
        <f t="shared" si="3"/>
        <v>1</v>
      </c>
      <c r="AH25">
        <f>IF(AG25=1,SUM($AG$8:AG25),"")</f>
        <v>18</v>
      </c>
      <c r="AI25">
        <f t="shared" si="4"/>
        <v>0.50240384615384615</v>
      </c>
      <c r="AJ25">
        <f t="shared" si="5"/>
        <v>87.142067307692315</v>
      </c>
      <c r="AK25">
        <f t="shared" si="6"/>
        <v>0</v>
      </c>
      <c r="AL25" t="str">
        <f>IF(AK25=1,SUM($AK$8:AK25),"")</f>
        <v/>
      </c>
      <c r="AM25">
        <f t="shared" si="7"/>
        <v>0.31022823330515636</v>
      </c>
      <c r="AN25">
        <f t="shared" si="8"/>
        <v>149.26458157227387</v>
      </c>
      <c r="AO25">
        <f t="shared" si="9"/>
        <v>0</v>
      </c>
      <c r="AP25" t="str">
        <f>IF(AO25=1,SUM($AO$8:AO25),"")</f>
        <v/>
      </c>
      <c r="AQ25">
        <f t="shared" si="10"/>
        <v>91.02607335819954</v>
      </c>
      <c r="AR25">
        <f t="shared" si="11"/>
        <v>69.459988943073199</v>
      </c>
      <c r="AW25">
        <f>IF(ピッキング!$I$24="","",ピッキング!$I$24)</f>
        <v>844.97499999999991</v>
      </c>
      <c r="AX25">
        <f>IF(ピッキング!$D$24="","",ピッキング!$D$24)</f>
        <v>925</v>
      </c>
      <c r="AY25">
        <f>IF(AND(ISNUMBER(入力!$F$27),入力!$F$27&gt;0),入力!$F$27,"")</f>
        <v>3</v>
      </c>
      <c r="AZ25">
        <f>IF(ピッキング!$K$24="","",ピッキング!$K$24)</f>
        <v>91.348648648648634</v>
      </c>
      <c r="BA25">
        <f>IF(ピッキング!$L$24="","",ピッキング!$L$24)</f>
        <v>99.87068040500408</v>
      </c>
      <c r="BC25">
        <f t="shared" si="12"/>
        <v>1</v>
      </c>
      <c r="BD25">
        <f>IF(BC25=1,SUM($BC$8:BC25),"")</f>
        <v>18</v>
      </c>
      <c r="BE25">
        <f t="shared" si="13"/>
        <v>844.97499999999991</v>
      </c>
      <c r="BF25">
        <f t="shared" si="14"/>
        <v>925</v>
      </c>
      <c r="BH25">
        <f t="shared" si="15"/>
        <v>1</v>
      </c>
      <c r="BI25">
        <f>IF(BH25=1,SUM($BH$8:BH25),"")</f>
        <v>18</v>
      </c>
      <c r="BJ25">
        <f t="shared" si="16"/>
        <v>3</v>
      </c>
      <c r="BK25">
        <f t="shared" si="17"/>
        <v>91.348648648648634</v>
      </c>
      <c r="BL25">
        <f t="shared" si="18"/>
        <v>99.87068040500408</v>
      </c>
      <c r="BM25">
        <f t="shared" si="19"/>
        <v>8.522031756355446</v>
      </c>
    </row>
    <row r="26" spans="2:65" ht="27.95" customHeight="1" x14ac:dyDescent="0.15">
      <c r="B26" s="91" t="s">
        <v>286</v>
      </c>
      <c r="C26" s="77"/>
      <c r="D26" s="77"/>
      <c r="E26" s="77"/>
      <c r="T26" t="str">
        <f>IF(ピッキング!$B$25="","",ピッキング!$B$25)</f>
        <v>鈴木香織</v>
      </c>
      <c r="U26">
        <f>IF(OR(ピッキング!$E$25="",ピッキング!$C$25=""),"",ピッキング!$E$25/ピッキング!$C$25)</f>
        <v>0.55411255411255411</v>
      </c>
      <c r="V26">
        <f>IF(ピッキング!$G$25="","",ピッキング!$G$25)</f>
        <v>131.16883116883116</v>
      </c>
      <c r="W26">
        <f>IF(ピッキング!$P$25="","",ピッキング!$P$25)</f>
        <v>80.135064935064918</v>
      </c>
      <c r="X26">
        <f>IF(ピッキング!$L$25="","",ピッキング!$L$25)</f>
        <v>99.417763038447092</v>
      </c>
      <c r="Y26">
        <f>IF(梱包!$L$25="","",梱包!$L$25)</f>
        <v>98.746784747731013</v>
      </c>
      <c r="Z26">
        <f>IF(OR(梱包!$E$25="",梱包!$C$25=""),"",梱包!$E$25/梱包!$C$25)</f>
        <v>0.3619047619047619</v>
      </c>
      <c r="AA26">
        <f>IF(梱包!$G$25="","",梱包!$G$25)</f>
        <v>105.6</v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0.55411255411255411</v>
      </c>
      <c r="AF26">
        <f t="shared" si="2"/>
        <v>131.16883116883116</v>
      </c>
      <c r="AG26">
        <f t="shared" si="3"/>
        <v>1</v>
      </c>
      <c r="AH26">
        <f>IF(AG26=1,SUM($AG$8:AG26),"")</f>
        <v>19</v>
      </c>
      <c r="AI26">
        <f t="shared" si="4"/>
        <v>0.55411255411255411</v>
      </c>
      <c r="AJ26">
        <f t="shared" si="5"/>
        <v>80.135064935064918</v>
      </c>
      <c r="AK26">
        <f t="shared" si="6"/>
        <v>1</v>
      </c>
      <c r="AL26">
        <f>IF(AK26=1,SUM($AK$8:AK26),"")</f>
        <v>16</v>
      </c>
      <c r="AM26">
        <f t="shared" si="7"/>
        <v>0.40810556079170596</v>
      </c>
      <c r="AN26">
        <f t="shared" si="8"/>
        <v>82.902921771913284</v>
      </c>
      <c r="AO26">
        <f t="shared" si="9"/>
        <v>1</v>
      </c>
      <c r="AP26">
        <f>IF(AO26=1,SUM($AO$8:AO26),"")</f>
        <v>16</v>
      </c>
      <c r="AQ26">
        <f t="shared" si="10"/>
        <v>85.892657318260035</v>
      </c>
      <c r="AR26">
        <f t="shared" si="11"/>
        <v>126.75845645824401</v>
      </c>
      <c r="AW26">
        <f>IF(ピッキング!$I$25="","",ピッキング!$I$25)</f>
        <v>487.53999999999996</v>
      </c>
      <c r="AX26">
        <f>IF(ピッキング!$D$25="","",ピッキング!$D$25)</f>
        <v>505</v>
      </c>
      <c r="AY26">
        <f>IF(AND(ISNUMBER(入力!$F$28),入力!$F$28&gt;0),入力!$F$28,"")</f>
        <v>10</v>
      </c>
      <c r="AZ26">
        <f>IF(ピッキング!$K$25="","",ピッキング!$K$25)</f>
        <v>96.542574257425741</v>
      </c>
      <c r="BA26">
        <f>IF(ピッキング!$L$25="","",ピッキング!$L$25)</f>
        <v>99.417763038447092</v>
      </c>
      <c r="BC26">
        <f t="shared" si="12"/>
        <v>1</v>
      </c>
      <c r="BD26">
        <f>IF(BC26=1,SUM($BC$8:BC26),"")</f>
        <v>19</v>
      </c>
      <c r="BE26">
        <f t="shared" si="13"/>
        <v>487.53999999999996</v>
      </c>
      <c r="BF26">
        <f t="shared" si="14"/>
        <v>505</v>
      </c>
      <c r="BH26">
        <f t="shared" si="15"/>
        <v>1</v>
      </c>
      <c r="BI26">
        <f>IF(BH26=1,SUM($BH$8:BH26),"")</f>
        <v>19</v>
      </c>
      <c r="BJ26">
        <f t="shared" si="16"/>
        <v>10</v>
      </c>
      <c r="BK26">
        <f t="shared" si="17"/>
        <v>96.542574257425741</v>
      </c>
      <c r="BL26">
        <f t="shared" si="18"/>
        <v>99.417763038447092</v>
      </c>
      <c r="BM26">
        <f t="shared" si="19"/>
        <v>2.8751887810213503</v>
      </c>
    </row>
    <row r="27" spans="2:65" x14ac:dyDescent="0.15">
      <c r="B27" s="25" t="s">
        <v>278</v>
      </c>
      <c r="C27" s="26">
        <f>COUNT($AM$8:$AM$67)</f>
        <v>19</v>
      </c>
      <c r="T27" t="str">
        <f>IF(ピッキング!$B$26="","",ピッキング!$B$26)</f>
        <v>向井ひかり</v>
      </c>
      <c r="U27">
        <f>IF(OR(ピッキング!$E$26="",ピッキング!$C$26=""),"",ピッキング!$E$26/ピッキング!$C$26)</f>
        <v>0.44919168591224018</v>
      </c>
      <c r="V27">
        <f>IF(ピッキング!$G$26="","",ピッキング!$G$26)</f>
        <v>129.9769053117783</v>
      </c>
      <c r="W27">
        <f>IF(ピッキング!$P$26="","",ピッキング!$P$26)</f>
        <v>88.606351039260971</v>
      </c>
      <c r="X27">
        <f>IF(ピッキング!$L$26="","",ピッキング!$L$26)</f>
        <v>94.986665946425504</v>
      </c>
      <c r="Y27" t="str">
        <f>IF(梱包!$L$26="","",梱包!$L$26)</f>
        <v/>
      </c>
      <c r="Z27" t="str">
        <f>IF(OR(梱包!$E$26="",梱包!$C$26=""),"",梱包!$E$26/梱包!$C$26)</f>
        <v/>
      </c>
      <c r="AA27" t="str">
        <f>IF(梱包!$G$26="","",梱包!$G$26)</f>
        <v/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0.44919168591224018</v>
      </c>
      <c r="AF27">
        <f t="shared" si="2"/>
        <v>129.9769053117783</v>
      </c>
      <c r="AG27">
        <f t="shared" si="3"/>
        <v>1</v>
      </c>
      <c r="AH27">
        <f>IF(AG27=1,SUM($AG$8:AG27),"")</f>
        <v>20</v>
      </c>
      <c r="AI27">
        <f t="shared" si="4"/>
        <v>0.44919168591224018</v>
      </c>
      <c r="AJ27">
        <f t="shared" si="5"/>
        <v>88.606351039260971</v>
      </c>
      <c r="AK27">
        <f t="shared" si="6"/>
        <v>0</v>
      </c>
      <c r="AL27" t="str">
        <f>IF(AK27=1,SUM($AK$8:AK27),"")</f>
        <v/>
      </c>
      <c r="AM27" t="str">
        <f t="shared" si="7"/>
        <v/>
      </c>
      <c r="AN27" t="str">
        <f t="shared" si="8"/>
        <v/>
      </c>
      <c r="AO27">
        <f t="shared" si="9"/>
        <v>0</v>
      </c>
      <c r="AP27" t="str">
        <f>IF(AO27=1,SUM($AO$8:AO27),"")</f>
        <v/>
      </c>
      <c r="AQ27" t="str">
        <f t="shared" si="10"/>
        <v/>
      </c>
      <c r="AR27" t="str">
        <f t="shared" si="11"/>
        <v/>
      </c>
      <c r="AW27">
        <f>IF(ピッキング!$I$26="","",ピッキング!$I$26)</f>
        <v>1688.2750000000001</v>
      </c>
      <c r="AX27">
        <f>IF(ピッキング!$D$26="","",ピッキング!$D$26)</f>
        <v>1876</v>
      </c>
      <c r="AY27">
        <f>IF(AND(ISNUMBER(入力!$F$29),入力!$F$29&gt;0),入力!$F$29,"")</f>
        <v>12</v>
      </c>
      <c r="AZ27">
        <f>IF(ピッキング!$K$26="","",ピッキング!$K$26)</f>
        <v>89.993336886993617</v>
      </c>
      <c r="BA27">
        <f>IF(ピッキング!$L$26="","",ピッキング!$L$26)</f>
        <v>94.986665946425504</v>
      </c>
      <c r="BC27">
        <f t="shared" si="12"/>
        <v>1</v>
      </c>
      <c r="BD27">
        <f>IF(BC27=1,SUM($BC$8:BC27),"")</f>
        <v>20</v>
      </c>
      <c r="BE27">
        <f t="shared" si="13"/>
        <v>1688.2750000000001</v>
      </c>
      <c r="BF27">
        <f t="shared" si="14"/>
        <v>1876</v>
      </c>
      <c r="BH27">
        <f t="shared" si="15"/>
        <v>1</v>
      </c>
      <c r="BI27">
        <f>IF(BH27=1,SUM($BH$8:BH27),"")</f>
        <v>20</v>
      </c>
      <c r="BJ27">
        <f t="shared" si="16"/>
        <v>12</v>
      </c>
      <c r="BK27">
        <f t="shared" si="17"/>
        <v>89.993336886993617</v>
      </c>
      <c r="BL27">
        <f t="shared" si="18"/>
        <v>94.986665946425504</v>
      </c>
      <c r="BM27">
        <f t="shared" si="19"/>
        <v>4.9933290594318862</v>
      </c>
    </row>
    <row r="28" spans="2:65" x14ac:dyDescent="0.15">
      <c r="B28" s="25" t="s">
        <v>57</v>
      </c>
      <c r="C28" s="52">
        <f>IFERROR(CORREL($AM$8:$AM$67,$AN$8:$AN$67),"")</f>
        <v>0.27698204466595189</v>
      </c>
      <c r="T28" t="str">
        <f>IF(ピッキング!$B$27="","",ピッキング!$B$27)</f>
        <v>片岡達也</v>
      </c>
      <c r="U28">
        <f>IF(OR(ピッキング!$E$27="",ピッキング!$C$27=""),"",ピッキング!$E$27/ピッキング!$C$27)</f>
        <v>0.71212121212121215</v>
      </c>
      <c r="V28">
        <f>IF(ピッキング!$G$27="","",ピッキング!$G$27)</f>
        <v>183.63636363636363</v>
      </c>
      <c r="W28">
        <f>IF(ピッキング!$P$27="","",ピッキング!$P$27)</f>
        <v>118.05000000000001</v>
      </c>
      <c r="X28">
        <f>IF(ピッキング!$L$27="","",ピッキング!$L$27)</f>
        <v>93.854516940062098</v>
      </c>
      <c r="Y28" t="str">
        <f>IF(梱包!$L$27="","",梱包!$L$27)</f>
        <v/>
      </c>
      <c r="Z28" t="str">
        <f>IF(OR(梱包!$E$27="",梱包!$C$27=""),"",梱包!$E$27/梱包!$C$27)</f>
        <v/>
      </c>
      <c r="AA28" t="str">
        <f>IF(梱包!$G$27="","",梱包!$G$27)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0.71212121212121215</v>
      </c>
      <c r="AF28">
        <f t="shared" si="2"/>
        <v>183.63636363636363</v>
      </c>
      <c r="AG28">
        <f t="shared" si="3"/>
        <v>1</v>
      </c>
      <c r="AH28">
        <f>IF(AG28=1,SUM($AG$8:AG28),"")</f>
        <v>21</v>
      </c>
      <c r="AI28">
        <f t="shared" si="4"/>
        <v>0.71212121212121215</v>
      </c>
      <c r="AJ28">
        <f t="shared" si="5"/>
        <v>118.05000000000001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155.30500000000001</v>
      </c>
      <c r="AX28">
        <f>IF(ピッキング!$D$27="","",ピッキング!$D$27)</f>
        <v>202</v>
      </c>
      <c r="AY28">
        <f>IF(AND(ISNUMBER(入力!$F$30),入力!$F$30&gt;0),入力!$F$30,"")</f>
        <v>4</v>
      </c>
      <c r="AZ28">
        <f>IF(ピッキング!$K$27="","",ピッキング!$K$27)</f>
        <v>76.883663366336634</v>
      </c>
      <c r="BA28">
        <f>IF(ピッキング!$L$27="","",ピッキング!$L$27)</f>
        <v>93.854516940062098</v>
      </c>
      <c r="BC28">
        <f t="shared" si="12"/>
        <v>1</v>
      </c>
      <c r="BD28">
        <f>IF(BC28=1,SUM($BC$8:BC28),"")</f>
        <v>21</v>
      </c>
      <c r="BE28">
        <f t="shared" si="13"/>
        <v>155.30500000000001</v>
      </c>
      <c r="BF28">
        <f t="shared" si="14"/>
        <v>202</v>
      </c>
      <c r="BH28">
        <f t="shared" si="15"/>
        <v>1</v>
      </c>
      <c r="BI28">
        <f>IF(BH28=1,SUM($BH$8:BH28),"")</f>
        <v>21</v>
      </c>
      <c r="BJ28">
        <f t="shared" si="16"/>
        <v>4</v>
      </c>
      <c r="BK28">
        <f t="shared" si="17"/>
        <v>76.883663366336634</v>
      </c>
      <c r="BL28">
        <f t="shared" si="18"/>
        <v>93.854516940062098</v>
      </c>
      <c r="BM28">
        <f t="shared" si="19"/>
        <v>16.970853573725464</v>
      </c>
    </row>
    <row r="29" spans="2:65" x14ac:dyDescent="0.15">
      <c r="B29" s="25" t="s">
        <v>279</v>
      </c>
      <c r="C29" s="52">
        <f>IFERROR(RSQ($AN$8:$AN$67,$AM$8:$AM$67),"")</f>
        <v>7.6719053067331303E-2</v>
      </c>
      <c r="T29" t="str">
        <f>IF(ピッキング!$B$28="","",ピッキング!$B$28)</f>
        <v>廣瀬こずえ</v>
      </c>
      <c r="U29">
        <f>IF(OR(ピッキング!$E$28="",ピッキング!$C$28=""),"",ピッキング!$E$28/ピッキング!$C$28)</f>
        <v>0.52863961813842486</v>
      </c>
      <c r="V29">
        <f>IF(ピッキング!$G$28="","",ピッキング!$G$28)</f>
        <v>141.19331742243438</v>
      </c>
      <c r="W29">
        <f>IF(ピッキング!$P$28="","",ピッキング!$P$28)</f>
        <v>92.505608591885462</v>
      </c>
      <c r="X29">
        <f>IF(ピッキング!$L$28="","",ピッキング!$L$28)</f>
        <v>93.74674542156832</v>
      </c>
      <c r="Y29" t="str">
        <f>IF(梱包!$L$28="","",梱包!$L$28)</f>
        <v/>
      </c>
      <c r="Z29" t="str">
        <f>IF(OR(梱包!$E$28="",梱包!$C$28=""),"",梱包!$E$28/梱包!$C$28)</f>
        <v/>
      </c>
      <c r="AA29" t="str">
        <f>IF(梱包!$G$28="","",梱包!$G$28)</f>
        <v/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0.52863961813842486</v>
      </c>
      <c r="AF29">
        <f t="shared" si="2"/>
        <v>141.19331742243438</v>
      </c>
      <c r="AG29">
        <f t="shared" si="3"/>
        <v>1</v>
      </c>
      <c r="AH29">
        <f>IF(AG29=1,SUM($AG$8:AG29),"")</f>
        <v>22</v>
      </c>
      <c r="AI29">
        <f t="shared" si="4"/>
        <v>0.52863961813842486</v>
      </c>
      <c r="AJ29">
        <f t="shared" si="5"/>
        <v>92.505608591885462</v>
      </c>
      <c r="AK29">
        <f t="shared" si="6"/>
        <v>0</v>
      </c>
      <c r="AL29" t="str">
        <f>IF(AK29=1,SUM($AK$8:AK29),"")</f>
        <v/>
      </c>
      <c r="AM29" t="str">
        <f t="shared" si="7"/>
        <v/>
      </c>
      <c r="AN29" t="str">
        <f t="shared" si="8"/>
        <v/>
      </c>
      <c r="AO29">
        <f t="shared" si="9"/>
        <v>0</v>
      </c>
      <c r="AP29" t="str">
        <f>IF(AO29=1,SUM($AO$8:AO29),"")</f>
        <v/>
      </c>
      <c r="AQ29" t="str">
        <f t="shared" si="10"/>
        <v/>
      </c>
      <c r="AR29" t="str">
        <f t="shared" si="11"/>
        <v/>
      </c>
      <c r="AW29">
        <f>IF(ピッキング!$I$28="","",ピッキング!$I$28)</f>
        <v>1735.8849999999998</v>
      </c>
      <c r="AX29">
        <f>IF(ピッキング!$D$28="","",ピッキング!$D$28)</f>
        <v>1972</v>
      </c>
      <c r="AY29">
        <f>IF(AND(ISNUMBER(入力!$F$31),入力!$F$31&gt;0),入力!$F$31,"")</f>
        <v>12</v>
      </c>
      <c r="AZ29">
        <f>IF(ピッキング!$K$28="","",ピッキング!$K$28)</f>
        <v>88.026622718052721</v>
      </c>
      <c r="BA29">
        <f>IF(ピッキング!$L$28="","",ピッキング!$L$28)</f>
        <v>93.74674542156832</v>
      </c>
      <c r="BC29">
        <f t="shared" si="12"/>
        <v>1</v>
      </c>
      <c r="BD29">
        <f>IF(BC29=1,SUM($BC$8:BC29),"")</f>
        <v>22</v>
      </c>
      <c r="BE29">
        <f t="shared" si="13"/>
        <v>1735.8849999999998</v>
      </c>
      <c r="BF29">
        <f t="shared" si="14"/>
        <v>1972</v>
      </c>
      <c r="BH29">
        <f t="shared" si="15"/>
        <v>1</v>
      </c>
      <c r="BI29">
        <f>IF(BH29=1,SUM($BH$8:BH29),"")</f>
        <v>22</v>
      </c>
      <c r="BJ29">
        <f t="shared" si="16"/>
        <v>12</v>
      </c>
      <c r="BK29">
        <f t="shared" si="17"/>
        <v>88.026622718052721</v>
      </c>
      <c r="BL29">
        <f t="shared" si="18"/>
        <v>93.74674542156832</v>
      </c>
      <c r="BM29">
        <f t="shared" si="19"/>
        <v>5.7201227035155995</v>
      </c>
    </row>
    <row r="30" spans="2:65" x14ac:dyDescent="0.15">
      <c r="B30" s="25" t="s">
        <v>280</v>
      </c>
      <c r="C30" s="22">
        <f>IFERROR(SLOPE($AN$8:$AN$67,$AM$8:$AM$67),"")</f>
        <v>130.56559319766592</v>
      </c>
      <c r="T30" t="str">
        <f>IF(ピッキング!$B$29="","",ピッキング!$B$29)</f>
        <v>森本久美</v>
      </c>
      <c r="U30">
        <f>IF(OR(ピッキング!$E$29="",ピッキング!$C$29=""),"",ピッキング!$E$29/ピッキング!$C$29)</f>
        <v>0.31940298507462689</v>
      </c>
      <c r="V30">
        <f>IF(ピッキング!$G$29="","",ピッキング!$G$29)</f>
        <v>128.23880597014926</v>
      </c>
      <c r="W30">
        <f>IF(ピッキング!$P$29="","",ピッキング!$P$29)</f>
        <v>98.821791044776134</v>
      </c>
      <c r="X30">
        <f>IF(ピッキング!$L$29="","",ピッキング!$L$29)</f>
        <v>91.373442052986164</v>
      </c>
      <c r="Y30">
        <f>IF(梱包!$L$29="","",梱包!$L$29)</f>
        <v>102.18958506791222</v>
      </c>
      <c r="Z30">
        <f>IF(OR(梱包!$E$29="",梱包!$C$29=""),"",梱包!$E$29/梱包!$C$29)</f>
        <v>0.30206185567010307</v>
      </c>
      <c r="AA30">
        <f>IF(梱包!$G$29="","",梱包!$G$29)</f>
        <v>96.371134020618555</v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0.31940298507462689</v>
      </c>
      <c r="AF30">
        <f t="shared" si="2"/>
        <v>128.23880597014926</v>
      </c>
      <c r="AG30">
        <f t="shared" si="3"/>
        <v>1</v>
      </c>
      <c r="AH30">
        <f>IF(AG30=1,SUM($AG$8:AG30),"")</f>
        <v>23</v>
      </c>
      <c r="AI30">
        <f t="shared" si="4"/>
        <v>0.31940298507462689</v>
      </c>
      <c r="AJ30">
        <f t="shared" si="5"/>
        <v>98.821791044776134</v>
      </c>
      <c r="AK30">
        <f t="shared" si="6"/>
        <v>1</v>
      </c>
      <c r="AL30">
        <f>IF(AK30=1,SUM($AK$8:AK30),"")</f>
        <v>17</v>
      </c>
      <c r="AM30" t="str">
        <f t="shared" si="7"/>
        <v/>
      </c>
      <c r="AN30" t="str">
        <f t="shared" si="8"/>
        <v/>
      </c>
      <c r="AO30">
        <f t="shared" si="9"/>
        <v>1</v>
      </c>
      <c r="AP30">
        <f>IF(AO30=1,SUM($AO$8:AO30),"")</f>
        <v>17</v>
      </c>
      <c r="AQ30" t="str">
        <f t="shared" si="10"/>
        <v/>
      </c>
      <c r="AR30" t="str">
        <f t="shared" si="11"/>
        <v/>
      </c>
      <c r="AW30">
        <f>IF(ピッキング!$I$29="","",ピッキング!$I$29)</f>
        <v>586.34499999999991</v>
      </c>
      <c r="AX30">
        <f>IF(ピッキング!$D$29="","",ピッキング!$D$29)</f>
        <v>716</v>
      </c>
      <c r="AY30">
        <f>IF(AND(ISNUMBER(入力!$F$32),入力!$F$32&gt;0),入力!$F$32,"")</f>
        <v>9</v>
      </c>
      <c r="AZ30">
        <f>IF(ピッキング!$K$29="","",ピッキング!$K$29)</f>
        <v>81.891759776536304</v>
      </c>
      <c r="BA30">
        <f>IF(ピッキング!$L$29="","",ピッキング!$L$29)</f>
        <v>91.373442052986164</v>
      </c>
      <c r="BC30">
        <f t="shared" si="12"/>
        <v>1</v>
      </c>
      <c r="BD30">
        <f>IF(BC30=1,SUM($BC$8:BC30),"")</f>
        <v>23</v>
      </c>
      <c r="BE30">
        <f t="shared" si="13"/>
        <v>586.34499999999991</v>
      </c>
      <c r="BF30">
        <f t="shared" si="14"/>
        <v>716</v>
      </c>
      <c r="BH30">
        <f t="shared" si="15"/>
        <v>1</v>
      </c>
      <c r="BI30">
        <f>IF(BH30=1,SUM($BH$8:BH30),"")</f>
        <v>23</v>
      </c>
      <c r="BJ30">
        <f t="shared" si="16"/>
        <v>9</v>
      </c>
      <c r="BK30">
        <f t="shared" si="17"/>
        <v>81.891759776536304</v>
      </c>
      <c r="BL30">
        <f t="shared" si="18"/>
        <v>91.373442052986164</v>
      </c>
      <c r="BM30">
        <f t="shared" si="19"/>
        <v>9.4816822764498596</v>
      </c>
    </row>
    <row r="31" spans="2:65" x14ac:dyDescent="0.15">
      <c r="B31" s="25" t="s">
        <v>281</v>
      </c>
      <c r="C31" s="22">
        <f>IFERROR(INTERCEPT($AN$8:$AN$67,$AM$8:$AM$67),"")</f>
        <v>65.866965038372655</v>
      </c>
      <c r="T31" t="str">
        <f>IF(ピッキング!$B$30="","",ピッキング!$B$30)</f>
        <v>菊池敬</v>
      </c>
      <c r="U31">
        <f>IF(OR(ピッキング!$E$30="",ピッキング!$C$30=""),"",ピッキング!$E$30/ピッキング!$C$30)</f>
        <v>0.43838862559241704</v>
      </c>
      <c r="V31">
        <f>IF(ピッキング!$G$30="","",ピッキング!$G$30)</f>
        <v>135.07109004739337</v>
      </c>
      <c r="W31">
        <f>IF(ピッキング!$P$30="","",ピッキング!$P$30)</f>
        <v>94.695497630331758</v>
      </c>
      <c r="X31">
        <f>IF(ピッキング!$L$30="","",ピッキング!$L$30)</f>
        <v>91.02607335819954</v>
      </c>
      <c r="Y31">
        <f>IF(梱包!$L$30="","",梱包!$L$30)</f>
        <v>69.459988943073199</v>
      </c>
      <c r="Z31">
        <f>IF(OR(梱包!$E$30="",梱包!$C$30=""),"",梱包!$E$30/梱包!$C$30)</f>
        <v>0.31022823330515636</v>
      </c>
      <c r="AA31">
        <f>IF(梱包!$G$30="","",梱包!$G$30)</f>
        <v>149.26458157227387</v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0.43838862559241704</v>
      </c>
      <c r="AF31">
        <f t="shared" si="2"/>
        <v>135.07109004739337</v>
      </c>
      <c r="AG31">
        <f t="shared" si="3"/>
        <v>1</v>
      </c>
      <c r="AH31">
        <f>IF(AG31=1,SUM($AG$8:AG31),"")</f>
        <v>24</v>
      </c>
      <c r="AI31">
        <f t="shared" si="4"/>
        <v>0.43838862559241704</v>
      </c>
      <c r="AJ31">
        <f t="shared" si="5"/>
        <v>94.695497630331758</v>
      </c>
      <c r="AK31">
        <f t="shared" si="6"/>
        <v>1</v>
      </c>
      <c r="AL31">
        <f>IF(AK31=1,SUM($AK$8:AK31),"")</f>
        <v>18</v>
      </c>
      <c r="AM31" t="str">
        <f t="shared" si="7"/>
        <v/>
      </c>
      <c r="AN31" t="str">
        <f t="shared" si="8"/>
        <v/>
      </c>
      <c r="AO31">
        <f t="shared" si="9"/>
        <v>1</v>
      </c>
      <c r="AP31">
        <f>IF(AO31=1,SUM($AO$8:AO31),"")</f>
        <v>18</v>
      </c>
      <c r="AQ31" t="str">
        <f t="shared" si="10"/>
        <v/>
      </c>
      <c r="AR31" t="str">
        <f t="shared" si="11"/>
        <v/>
      </c>
      <c r="AW31">
        <f>IF(ピッキング!$I$30="","",ピッキング!$I$30)</f>
        <v>815.69499999999994</v>
      </c>
      <c r="AX31">
        <f>IF(ピッキング!$D$30="","",ピッキング!$D$30)</f>
        <v>950</v>
      </c>
      <c r="AY31">
        <f>IF(AND(ISNUMBER(入力!$F$33),入力!$F$33&gt;0),入力!$F$33,"")</f>
        <v>17</v>
      </c>
      <c r="AZ31">
        <f>IF(ピッキング!$K$30="","",ピッキング!$K$30)</f>
        <v>85.862631578947358</v>
      </c>
      <c r="BA31">
        <f>IF(ピッキング!$L$30="","",ピッキング!$L$30)</f>
        <v>91.02607335819954</v>
      </c>
      <c r="BC31">
        <f t="shared" si="12"/>
        <v>1</v>
      </c>
      <c r="BD31">
        <f>IF(BC31=1,SUM($BC$8:BC31),"")</f>
        <v>24</v>
      </c>
      <c r="BE31">
        <f t="shared" si="13"/>
        <v>815.69499999999994</v>
      </c>
      <c r="BF31">
        <f t="shared" si="14"/>
        <v>950</v>
      </c>
      <c r="BH31">
        <f t="shared" si="15"/>
        <v>1</v>
      </c>
      <c r="BI31">
        <f>IF(BH31=1,SUM($BH$8:BH31),"")</f>
        <v>24</v>
      </c>
      <c r="BJ31">
        <f t="shared" si="16"/>
        <v>17</v>
      </c>
      <c r="BK31">
        <f t="shared" si="17"/>
        <v>85.862631578947358</v>
      </c>
      <c r="BL31">
        <f t="shared" si="18"/>
        <v>91.02607335819954</v>
      </c>
      <c r="BM31">
        <f t="shared" si="19"/>
        <v>5.1634417792521816</v>
      </c>
    </row>
    <row r="32" spans="2:65" x14ac:dyDescent="0.15">
      <c r="B32" s="25" t="s">
        <v>282</v>
      </c>
      <c r="C32" s="53">
        <f>IFERROR(TDIST(ABS(C28)*SQRT((C27-2)/(1-C28^2)),C27-2,2),"")</f>
        <v>0.2509645019059259</v>
      </c>
      <c r="T32" t="str">
        <f>IF(ピッキング!$B$31="","",ピッキング!$B$31)</f>
        <v>高橋正美</v>
      </c>
      <c r="U32">
        <f>IF(OR(ピッキング!$E$31="",ピッキング!$C$31=""),"",ピッキング!$E$31/ピッキング!$C$31)</f>
        <v>0.39266055045871562</v>
      </c>
      <c r="V32">
        <f>IF(ピッキング!$G$31="","",ピッキング!$G$31)</f>
        <v>138.16513761467891</v>
      </c>
      <c r="W32">
        <f>IF(ピッキング!$P$31="","",ピッキング!$P$31)</f>
        <v>102.00110091743119</v>
      </c>
      <c r="X32">
        <f>IF(ピッキング!$L$31="","",ピッキング!$L$31)</f>
        <v>89.248471214873774</v>
      </c>
      <c r="Y32" t="str">
        <f>IF(梱包!$L$31="","",梱包!$L$31)</f>
        <v/>
      </c>
      <c r="Z32" t="str">
        <f>IF(OR(梱包!$E$31="",梱包!$C$31=""),"",梱包!$E$31/梱包!$C$31)</f>
        <v/>
      </c>
      <c r="AA32" t="str">
        <f>IF(梱包!$G$31="","",梱包!$G$31)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0.39266055045871562</v>
      </c>
      <c r="AF32">
        <f t="shared" si="2"/>
        <v>138.16513761467891</v>
      </c>
      <c r="AG32">
        <f t="shared" si="3"/>
        <v>1</v>
      </c>
      <c r="AH32">
        <f>IF(AG32=1,SUM($AG$8:AG32),"")</f>
        <v>25</v>
      </c>
      <c r="AI32">
        <f t="shared" si="4"/>
        <v>0.39266055045871562</v>
      </c>
      <c r="AJ32">
        <f t="shared" si="5"/>
        <v>102.00110091743119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2030.38</v>
      </c>
      <c r="AX32">
        <f>IF(ピッキング!$D$31="","",ピッキング!$D$31)</f>
        <v>2510</v>
      </c>
      <c r="AY32">
        <f>IF(AND(ISNUMBER(入力!$F$34),入力!$F$34&gt;0),入力!$F$34,"")</f>
        <v>12</v>
      </c>
      <c r="AZ32">
        <f>IF(ピッキング!$K$31="","",ピッキング!$K$31)</f>
        <v>80.89163346613546</v>
      </c>
      <c r="BA32">
        <f>IF(ピッキング!$L$31="","",ピッキング!$L$31)</f>
        <v>89.248471214873774</v>
      </c>
      <c r="BC32">
        <f t="shared" si="12"/>
        <v>1</v>
      </c>
      <c r="BD32">
        <f>IF(BC32=1,SUM($BC$8:BC32),"")</f>
        <v>25</v>
      </c>
      <c r="BE32">
        <f t="shared" si="13"/>
        <v>2030.38</v>
      </c>
      <c r="BF32">
        <f t="shared" si="14"/>
        <v>2510</v>
      </c>
      <c r="BH32">
        <f t="shared" si="15"/>
        <v>1</v>
      </c>
      <c r="BI32">
        <f>IF(BH32=1,SUM($BH$8:BH32),"")</f>
        <v>25</v>
      </c>
      <c r="BJ32">
        <f t="shared" si="16"/>
        <v>12</v>
      </c>
      <c r="BK32">
        <f t="shared" si="17"/>
        <v>80.89163346613546</v>
      </c>
      <c r="BL32">
        <f t="shared" si="18"/>
        <v>89.248471214873774</v>
      </c>
      <c r="BM32">
        <f t="shared" si="19"/>
        <v>8.3568377487383145</v>
      </c>
    </row>
    <row r="33" spans="2:65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0.45571095571095571</v>
      </c>
      <c r="V33">
        <f>IF(ピッキング!$G$32="","",ピッキング!$G$32)</f>
        <v>146.43356643356643</v>
      </c>
      <c r="W33">
        <f>IF(ピッキング!$P$32="","",ピッキング!$P$32)</f>
        <v>104.46258741258742</v>
      </c>
      <c r="X33">
        <f>IF(ピッキング!$L$32="","",ピッキング!$L$32)</f>
        <v>88.868940872437221</v>
      </c>
      <c r="Y33" t="str">
        <f>IF(梱包!$L$32="","",梱包!$L$32)</f>
        <v/>
      </c>
      <c r="Z33" t="str">
        <f>IF(OR(梱包!$E$32="",梱包!$C$32=""),"",梱包!$E$32/梱包!$C$32)</f>
        <v/>
      </c>
      <c r="AA33" t="str">
        <f>IF(梱包!$G$32="","",梱包!$G$32)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0.45571095571095571</v>
      </c>
      <c r="AF33">
        <f t="shared" si="2"/>
        <v>146.43356643356643</v>
      </c>
      <c r="AG33">
        <f t="shared" si="3"/>
        <v>1</v>
      </c>
      <c r="AH33">
        <f>IF(AG33=1,SUM($AG$8:AG33),"")</f>
        <v>26</v>
      </c>
      <c r="AI33">
        <f t="shared" si="4"/>
        <v>0.45571095571095571</v>
      </c>
      <c r="AJ33">
        <f t="shared" si="5"/>
        <v>104.46258741258742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1681.2649999999999</v>
      </c>
      <c r="AX33">
        <f>IF(ピッキング!$D$32="","",ピッキング!$D$32)</f>
        <v>2094</v>
      </c>
      <c r="AY33">
        <f>IF(AND(ISNUMBER(入力!$F$35),入力!$F$35&gt;0),入力!$F$35,"")</f>
        <v>12</v>
      </c>
      <c r="AZ33">
        <f>IF(ピッキング!$K$32="","",ピッキング!$K$32)</f>
        <v>80.289637058261704</v>
      </c>
      <c r="BA33">
        <f>IF(ピッキング!$L$32="","",ピッキング!$L$32)</f>
        <v>88.868940872437221</v>
      </c>
      <c r="BC33">
        <f t="shared" si="12"/>
        <v>1</v>
      </c>
      <c r="BD33">
        <f>IF(BC33=1,SUM($BC$8:BC33),"")</f>
        <v>26</v>
      </c>
      <c r="BE33">
        <f t="shared" si="13"/>
        <v>1681.2649999999999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80.289637058261704</v>
      </c>
      <c r="BL33">
        <f t="shared" si="18"/>
        <v>88.868940872437221</v>
      </c>
      <c r="BM33">
        <f t="shared" si="19"/>
        <v>8.5793038141755176</v>
      </c>
    </row>
    <row r="34" spans="2:65" x14ac:dyDescent="0.15">
      <c r="B34" s="9" t="s">
        <v>287</v>
      </c>
      <c r="T34" t="str">
        <f>IF(ピッキング!$B$33="","",ピッキング!$B$33)</f>
        <v>上村和恵</v>
      </c>
      <c r="U34">
        <f>IF(OR(ピッキング!$E$33="",ピッキング!$C$33=""),"",ピッキング!$E$33/ピッキング!$C$33)</f>
        <v>0.41816546762589929</v>
      </c>
      <c r="V34">
        <f>IF(ピッキング!$G$33="","",ピッキング!$G$33)</f>
        <v>143.79496402877697</v>
      </c>
      <c r="W34">
        <f>IF(ピッキング!$P$33="","",ピッキング!$P$33)</f>
        <v>105.28192446043165</v>
      </c>
      <c r="X34">
        <f>IF(ピッキング!$L$33="","",ピッキング!$L$33)</f>
        <v>87.836268797835658</v>
      </c>
      <c r="Y34" t="str">
        <f>IF(梱包!$L$33="","",梱包!$L$33)</f>
        <v/>
      </c>
      <c r="Z34" t="str">
        <f>IF(OR(梱包!$E$33="",梱包!$C$33=""),"",梱包!$E$33/梱包!$C$33)</f>
        <v/>
      </c>
      <c r="AA34" t="str">
        <f>IF(梱包!$G$33="","",梱包!$G$33)</f>
        <v/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0.41816546762589929</v>
      </c>
      <c r="AF34">
        <f t="shared" si="2"/>
        <v>143.79496402877697</v>
      </c>
      <c r="AG34">
        <f t="shared" si="3"/>
        <v>1</v>
      </c>
      <c r="AH34">
        <f>IF(AG34=1,SUM($AG$8:AG34),"")</f>
        <v>27</v>
      </c>
      <c r="AI34">
        <f t="shared" si="4"/>
        <v>0.41816546762589929</v>
      </c>
      <c r="AJ34">
        <f t="shared" si="5"/>
        <v>105.28192446043165</v>
      </c>
      <c r="AK34">
        <f t="shared" si="6"/>
        <v>0</v>
      </c>
      <c r="AL34" t="str">
        <f>IF(AK34=1,SUM($AK$8:AK34),"")</f>
        <v/>
      </c>
      <c r="AM34" t="str">
        <f t="shared" si="7"/>
        <v/>
      </c>
      <c r="AN34" t="str">
        <f t="shared" si="8"/>
        <v/>
      </c>
      <c r="AO34">
        <f t="shared" si="9"/>
        <v>0</v>
      </c>
      <c r="AP34" t="str">
        <f>IF(AO34=1,SUM($AO$8:AO34),"")</f>
        <v/>
      </c>
      <c r="AQ34" t="str">
        <f t="shared" si="10"/>
        <v/>
      </c>
      <c r="AR34" t="str">
        <f t="shared" si="11"/>
        <v/>
      </c>
      <c r="AW34">
        <f>IF(ピッキング!$I$33="","",ピッキング!$I$33)</f>
        <v>2114.895</v>
      </c>
      <c r="AX34">
        <f>IF(ピッキング!$D$33="","",ピッキング!$D$33)</f>
        <v>2665</v>
      </c>
      <c r="AY34">
        <f>IF(AND(ISNUMBER(入力!$F$36),入力!$F$36&gt;0),入力!$F$36,"")</f>
        <v>13</v>
      </c>
      <c r="AZ34">
        <f>IF(ピッキング!$K$33="","",ピッキング!$K$33)</f>
        <v>79.358161350844284</v>
      </c>
      <c r="BA34">
        <f>IF(ピッキング!$L$33="","",ピッキング!$L$33)</f>
        <v>87.836268797835658</v>
      </c>
      <c r="BC34">
        <f t="shared" si="12"/>
        <v>1</v>
      </c>
      <c r="BD34">
        <f>IF(BC34=1,SUM($BC$8:BC34),"")</f>
        <v>27</v>
      </c>
      <c r="BE34">
        <f t="shared" si="13"/>
        <v>2114.895</v>
      </c>
      <c r="BF34">
        <f t="shared" si="14"/>
        <v>2665</v>
      </c>
      <c r="BH34">
        <f t="shared" si="15"/>
        <v>1</v>
      </c>
      <c r="BI34">
        <f>IF(BH34=1,SUM($BH$8:BH34),"")</f>
        <v>27</v>
      </c>
      <c r="BJ34">
        <f t="shared" si="16"/>
        <v>13</v>
      </c>
      <c r="BK34">
        <f t="shared" si="17"/>
        <v>79.358161350844284</v>
      </c>
      <c r="BL34">
        <f t="shared" si="18"/>
        <v>87.836268797835658</v>
      </c>
      <c r="BM34">
        <f t="shared" si="19"/>
        <v>8.4781074469913733</v>
      </c>
    </row>
    <row r="35" spans="2:65" ht="27.95" customHeight="1" x14ac:dyDescent="0.15">
      <c r="B35" s="91" t="s">
        <v>288</v>
      </c>
      <c r="C35" s="77"/>
      <c r="D35" s="77"/>
      <c r="E35" s="77"/>
      <c r="T35" t="str">
        <f>IF(ピッキング!$B$34="","",ピッキング!$B$34)</f>
        <v>平田学</v>
      </c>
      <c r="U35">
        <f>IF(OR(ピッキング!$E$34="",ピッキング!$C$34=""),"",ピッキング!$E$34/ピッキング!$C$34)</f>
        <v>0.4</v>
      </c>
      <c r="V35">
        <f>IF(ピッキング!$G$34="","",ピッキング!$G$34)</f>
        <v>198.64864864864865</v>
      </c>
      <c r="W35">
        <f>IF(ピッキング!$P$34="","",ピッキング!$P$34)</f>
        <v>161.80864864864867</v>
      </c>
      <c r="X35">
        <f>IF(ピッキング!$L$34="","",ピッキング!$L$34)</f>
        <v>86.502213553209813</v>
      </c>
      <c r="Y35" t="str">
        <f>IF(梱包!$L$34="","",梱包!$L$34)</f>
        <v/>
      </c>
      <c r="Z35" t="str">
        <f>IF(OR(梱包!$E$34="",梱包!$C$34=""),"",梱包!$E$34/梱包!$C$34)</f>
        <v/>
      </c>
      <c r="AA35" t="str">
        <f>IF(梱包!$G$34="","",梱包!$G$34)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0.4</v>
      </c>
      <c r="AF35">
        <f t="shared" si="2"/>
        <v>198.64864864864865</v>
      </c>
      <c r="AG35">
        <f t="shared" si="3"/>
        <v>1</v>
      </c>
      <c r="AH35">
        <f>IF(AG35=1,SUM($AG$8:AG35),"")</f>
        <v>28</v>
      </c>
      <c r="AI35">
        <f t="shared" si="4"/>
        <v>0.4</v>
      </c>
      <c r="AJ35">
        <f t="shared" si="5"/>
        <v>161.80864864864867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693.37999999999988</v>
      </c>
      <c r="AX35">
        <f>IF(ピッキング!$D$34="","",ピッキング!$D$34)</f>
        <v>1225</v>
      </c>
      <c r="AY35">
        <f>IF(AND(ISNUMBER(入力!$F$37),入力!$F$37&gt;0),入力!$F$37,"")</f>
        <v>4</v>
      </c>
      <c r="AZ35">
        <f>IF(ピッキング!$K$34="","",ピッキング!$K$34)</f>
        <v>56.602448979591827</v>
      </c>
      <c r="BA35">
        <f>IF(ピッキング!$L$34="","",ピッキング!$L$34)</f>
        <v>86.502213553209813</v>
      </c>
      <c r="BC35">
        <f t="shared" si="12"/>
        <v>1</v>
      </c>
      <c r="BD35">
        <f>IF(BC35=1,SUM($BC$8:BC35),"")</f>
        <v>28</v>
      </c>
      <c r="BE35">
        <f t="shared" si="13"/>
        <v>693.37999999999988</v>
      </c>
      <c r="BF35">
        <f t="shared" si="14"/>
        <v>1225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56.602448979591827</v>
      </c>
      <c r="BL35">
        <f t="shared" si="18"/>
        <v>86.502213553209813</v>
      </c>
      <c r="BM35">
        <f t="shared" si="19"/>
        <v>29.899764573617986</v>
      </c>
    </row>
    <row r="36" spans="2:65" x14ac:dyDescent="0.15">
      <c r="B36" s="25" t="s">
        <v>278</v>
      </c>
      <c r="C36" s="26">
        <f>COUNT($AQ$8:$AQ$67)</f>
        <v>19</v>
      </c>
      <c r="T36" t="str">
        <f>IF(ピッキング!$B$35="","",ピッキング!$B$35)</f>
        <v>飯田由加里</v>
      </c>
      <c r="U36">
        <f>IF(OR(ピッキング!$E$35="",ピッキング!$C$35=""),"",ピッキング!$E$35/ピッキング!$C$35)</f>
        <v>0.54981549815498154</v>
      </c>
      <c r="V36">
        <f>IF(ピッキング!$G$35="","",ピッキング!$G$35)</f>
        <v>169.15129151291512</v>
      </c>
      <c r="W36">
        <f>IF(ピッキング!$P$35="","",ピッキング!$P$35)</f>
        <v>118.51328413284132</v>
      </c>
      <c r="X36">
        <f>IF(ピッキング!$L$35="","",ピッキング!$L$35)</f>
        <v>85.892657318260035</v>
      </c>
      <c r="Y36">
        <f>IF(梱包!$L$35="","",梱包!$L$35)</f>
        <v>126.75845645824401</v>
      </c>
      <c r="Z36">
        <f>IF(OR(梱包!$E$35="",梱包!$C$35=""),"",梱包!$E$35/梱包!$C$35)</f>
        <v>0.40810556079170596</v>
      </c>
      <c r="AA36">
        <f>IF(梱包!$G$35="","",梱包!$G$35)</f>
        <v>82.902921771913284</v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0.54981549815498154</v>
      </c>
      <c r="AF36">
        <f t="shared" si="2"/>
        <v>169.15129151291512</v>
      </c>
      <c r="AG36">
        <f t="shared" si="3"/>
        <v>1</v>
      </c>
      <c r="AH36">
        <f>IF(AG36=1,SUM($AG$8:AG36),"")</f>
        <v>29</v>
      </c>
      <c r="AI36">
        <f t="shared" si="4"/>
        <v>0.54981549815498154</v>
      </c>
      <c r="AJ36">
        <f t="shared" si="5"/>
        <v>118.51328413284132</v>
      </c>
      <c r="AK36">
        <f t="shared" si="6"/>
        <v>1</v>
      </c>
      <c r="AL36">
        <f>IF(AK36=1,SUM($AK$8:AK36),"")</f>
        <v>19</v>
      </c>
      <c r="AM36" t="str">
        <f t="shared" si="7"/>
        <v/>
      </c>
      <c r="AN36" t="str">
        <f t="shared" si="8"/>
        <v/>
      </c>
      <c r="AO36">
        <f t="shared" si="9"/>
        <v>1</v>
      </c>
      <c r="AP36">
        <f>IF(AO36=1,SUM($AO$8:AO36),"")</f>
        <v>19</v>
      </c>
      <c r="AQ36" t="str">
        <f t="shared" si="10"/>
        <v/>
      </c>
      <c r="AR36" t="str">
        <f t="shared" si="11"/>
        <v/>
      </c>
      <c r="AW36">
        <f>IF(ピッキング!$I$35="","",ピッキング!$I$35)</f>
        <v>570.17499999999995</v>
      </c>
      <c r="AX36">
        <f>IF(ピッキング!$D$35="","",ピッキング!$D$35)</f>
        <v>764</v>
      </c>
      <c r="AY36">
        <f>IF(AND(ISNUMBER(入力!$F$38),入力!$F$38&gt;0),入力!$F$38,"")</f>
        <v>11</v>
      </c>
      <c r="AZ36">
        <f>IF(ピッキング!$K$35="","",ピッキング!$K$35)</f>
        <v>74.630235602094231</v>
      </c>
      <c r="BA36">
        <f>IF(ピッキング!$L$35="","",ピッキング!$L$35)</f>
        <v>85.892657318260035</v>
      </c>
      <c r="BC36">
        <f t="shared" si="12"/>
        <v>1</v>
      </c>
      <c r="BD36">
        <f>IF(BC36=1,SUM($BC$8:BC36),"")</f>
        <v>29</v>
      </c>
      <c r="BE36">
        <f t="shared" si="13"/>
        <v>570.17499999999995</v>
      </c>
      <c r="BF36">
        <f t="shared" si="14"/>
        <v>764</v>
      </c>
      <c r="BH36">
        <f t="shared" si="15"/>
        <v>1</v>
      </c>
      <c r="BI36">
        <f>IF(BH36=1,SUM($BH$8:BH36),"")</f>
        <v>29</v>
      </c>
      <c r="BJ36">
        <f t="shared" si="16"/>
        <v>11</v>
      </c>
      <c r="BK36">
        <f t="shared" si="17"/>
        <v>74.630235602094231</v>
      </c>
      <c r="BL36">
        <f t="shared" si="18"/>
        <v>85.892657318260035</v>
      </c>
      <c r="BM36">
        <f t="shared" si="19"/>
        <v>11.262421716165804</v>
      </c>
    </row>
    <row r="37" spans="2:65" x14ac:dyDescent="0.15">
      <c r="B37" s="25" t="s">
        <v>57</v>
      </c>
      <c r="C37" s="52">
        <f>IFERROR(CORREL($AQ$8:$AQ$67,$AR$8:$AR$67),"")</f>
        <v>0.25192620324570852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IF(梱包!$L$36="","",梱包!$L$36)</f>
        <v/>
      </c>
      <c r="Z37" t="str">
        <f>IF(OR(梱包!$E$36="",梱包!$C$36=""),"",梱包!$E$36/梱包!$C$36)</f>
        <v/>
      </c>
      <c r="AA37" t="str">
        <f>IF(梱包!$G$36="","",梱包!$G$36)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IF(AND(ISNUMBER(入力!$F$39),入力!$F$39&gt;0),入力!$F$39,"")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</row>
    <row r="38" spans="2:65" x14ac:dyDescent="0.15">
      <c r="B38" s="25" t="s">
        <v>279</v>
      </c>
      <c r="C38" s="52">
        <f>IFERROR(RSQ($AR$8:$AR$67,$AQ$8:$AQ$67),"")</f>
        <v>6.3466811881798035E-2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IF(梱包!$L$37="","",梱包!$L$37)</f>
        <v/>
      </c>
      <c r="Z38" t="str">
        <f>IF(OR(梱包!$E$37="",梱包!$C$37=""),"",梱包!$E$37/梱包!$C$37)</f>
        <v/>
      </c>
      <c r="AA38" t="str">
        <f>IF(梱包!$G$37="","",梱包!$G$37)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IF(AND(ISNUMBER(入力!$F$40),入力!$F$40&gt;0),入力!$F$40,"")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</row>
    <row r="39" spans="2:65" x14ac:dyDescent="0.15">
      <c r="B39" s="25" t="s">
        <v>280</v>
      </c>
      <c r="C39" s="22">
        <f>IFERROR(SLOPE($AR$8:$AR$67,$AQ$8:$AQ$67),"")</f>
        <v>0.6362724924755403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IF(梱包!$L$38="","",梱包!$L$38)</f>
        <v/>
      </c>
      <c r="Z39" t="str">
        <f>IF(OR(梱包!$E$38="",梱包!$C$38=""),"",梱包!$E$38/梱包!$C$38)</f>
        <v/>
      </c>
      <c r="AA39" t="str">
        <f>IF(梱包!$G$38="","",梱包!$G$38)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IF(AND(ISNUMBER(入力!$F$41),入力!$F$41&gt;0),入力!$F$41,"")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</row>
    <row r="40" spans="2:65" x14ac:dyDescent="0.15">
      <c r="B40" s="25" t="s">
        <v>281</v>
      </c>
      <c r="C40" s="22">
        <f>IFERROR(INTERCEPT($AR$8:$AR$67,$AQ$8:$AQ$67),"")</f>
        <v>36.838955640804727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IF(梱包!$L$39="","",梱包!$L$39)</f>
        <v/>
      </c>
      <c r="Z40" t="str">
        <f>IF(OR(梱包!$E$39="",梱包!$C$39=""),"",梱包!$E$39/梱包!$C$39)</f>
        <v/>
      </c>
      <c r="AA40" t="str">
        <f>IF(梱包!$G$39="","",梱包!$G$39)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IF(AND(ISNUMBER(入力!$F$42),入力!$F$42&gt;0),入力!$F$42,"")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</row>
    <row r="41" spans="2:65" x14ac:dyDescent="0.15">
      <c r="B41" s="25" t="s">
        <v>282</v>
      </c>
      <c r="C41" s="53">
        <f>IFERROR(TDIST(ABS(C37)*SQRT((C36-2)/(1-C37^2)),C36-2,2),"")</f>
        <v>0.29812003612945631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IF(梱包!$L$40="","",梱包!$L$40)</f>
        <v/>
      </c>
      <c r="Z41" t="str">
        <f>IF(OR(梱包!$E$40="",梱包!$C$40=""),"",梱包!$E$40/梱包!$C$40)</f>
        <v/>
      </c>
      <c r="AA41" t="str">
        <f>IF(梱包!$G$40="","",梱包!$G$40)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IF(AND(ISNUMBER(入力!$F$43),入力!$F$43&gt;0),入力!$F$43,"")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</row>
    <row r="42" spans="2:65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IF(梱包!$L$41="","",梱包!$L$41)</f>
        <v/>
      </c>
      <c r="Z42" t="str">
        <f>IF(OR(梱包!$E$41="",梱包!$C$41=""),"",梱包!$E$41/梱包!$C$41)</f>
        <v/>
      </c>
      <c r="AA42" t="str">
        <f>IF(梱包!$G$41="","",梱包!$G$41)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IF(AND(ISNUMBER(入力!$F$44),入力!$F$44&gt;0),入力!$F$44,"")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</row>
    <row r="43" spans="2:65" x14ac:dyDescent="0.15">
      <c r="B43" s="9" t="s">
        <v>289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IF(梱包!$L$42="","",梱包!$L$42)</f>
        <v/>
      </c>
      <c r="Z43" t="str">
        <f>IF(OR(梱包!$E$42="",梱包!$C$42=""),"",梱包!$E$42/梱包!$C$42)</f>
        <v/>
      </c>
      <c r="AA43" t="str">
        <f>IF(梱包!$G$42="","",梱包!$G$42)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IF(AND(ISNUMBER(入力!$F$45),入力!$F$45&gt;0),入力!$F$45,"")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</row>
    <row r="44" spans="2:65" ht="27.95" customHeight="1" x14ac:dyDescent="0.15">
      <c r="B44" s="91" t="s">
        <v>290</v>
      </c>
      <c r="C44" s="77"/>
      <c r="D44" s="77"/>
      <c r="E44" s="77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IF(梱包!$L$43="","",梱包!$L$43)</f>
        <v/>
      </c>
      <c r="Z44" t="str">
        <f>IF(OR(梱包!$E$43="",梱包!$C$43=""),"",梱包!$E$43/梱包!$C$43)</f>
        <v/>
      </c>
      <c r="AA44" t="str">
        <f>IF(梱包!$G$43="","",梱包!$G$43)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IF(AND(ISNUMBER(入力!$F$46),入力!$F$46&gt;0),入力!$F$46,"")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</row>
    <row r="45" spans="2:65" x14ac:dyDescent="0.15">
      <c r="B45" s="25" t="s">
        <v>278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IF(梱包!$L$44="","",梱包!$L$44)</f>
        <v/>
      </c>
      <c r="Z45" t="str">
        <f>IF(OR(梱包!$E$44="",梱包!$C$44=""),"",梱包!$E$44/梱包!$C$44)</f>
        <v/>
      </c>
      <c r="AA45" t="str">
        <f>IF(梱包!$G$44="","",梱包!$G$44)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IF(AND(ISNUMBER(入力!$F$47),入力!$F$47&gt;0),入力!$F$47,"")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</row>
    <row r="46" spans="2:65" x14ac:dyDescent="0.15">
      <c r="B46" s="25" t="s">
        <v>57</v>
      </c>
      <c r="C46" s="52">
        <f>IFERROR(CORREL($BE$8:$BE$67,$BF$8:$BF$67),"")</f>
        <v>0.95310405097052642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IF(梱包!$L$45="","",梱包!$L$45)</f>
        <v/>
      </c>
      <c r="Z46" t="str">
        <f>IF(OR(梱包!$E$45="",梱包!$C$45=""),"",梱包!$E$45/梱包!$C$45)</f>
        <v/>
      </c>
      <c r="AA46" t="str">
        <f>IF(梱包!$G$45="","",梱包!$G$45)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IF(AND(ISNUMBER(入力!$F$48),入力!$F$48&gt;0),入力!$F$48,"")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</row>
    <row r="47" spans="2:65" x14ac:dyDescent="0.15">
      <c r="B47" s="25" t="s">
        <v>279</v>
      </c>
      <c r="C47" s="52">
        <f>IFERROR(RSQ($BF$8:$BF$67,$BE$8:$BE$67),"")</f>
        <v>0.90840733197642787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IF(梱包!$L$46="","",梱包!$L$46)</f>
        <v/>
      </c>
      <c r="Z47" t="str">
        <f>IF(OR(梱包!$E$46="",梱包!$C$46=""),"",梱包!$E$46/梱包!$C$46)</f>
        <v/>
      </c>
      <c r="AA47" t="str">
        <f>IF(梱包!$G$46="","",梱包!$G$46)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IF(AND(ISNUMBER(入力!$F$49),入力!$F$49&gt;0),入力!$F$49,"")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</row>
    <row r="48" spans="2:65" x14ac:dyDescent="0.15">
      <c r="B48" s="25" t="s">
        <v>280</v>
      </c>
      <c r="C48" s="22">
        <f>IFERROR(SLOPE($BF$8:$BF$67,$BE$8:$BE$67),"")</f>
        <v>0.89397327543044314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IF(梱包!$L$47="","",梱包!$L$47)</f>
        <v/>
      </c>
      <c r="Z48" t="str">
        <f>IF(OR(梱包!$E$47="",梱包!$C$47=""),"",梱包!$E$47/梱包!$C$47)</f>
        <v/>
      </c>
      <c r="AA48" t="str">
        <f>IF(梱包!$G$47="","",梱包!$G$47)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IF(AND(ISNUMBER(入力!$F$50),入力!$F$50&gt;0),入力!$F$50,"")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</row>
    <row r="49" spans="2:65" x14ac:dyDescent="0.15">
      <c r="B49" s="25" t="s">
        <v>281</v>
      </c>
      <c r="C49" s="22">
        <f>IFERROR(INTERCEPT($BF$8:$BF$67,$BE$8:$BE$67),"")</f>
        <v>149.7005094185447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IF(梱包!$L$48="","",梱包!$L$48)</f>
        <v/>
      </c>
      <c r="Z49" t="str">
        <f>IF(OR(梱包!$E$48="",梱包!$C$48=""),"",梱包!$E$48/梱包!$C$48)</f>
        <v/>
      </c>
      <c r="AA49" t="str">
        <f>IF(梱包!$G$48="","",梱包!$G$48)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IF(AND(ISNUMBER(入力!$F$51),入力!$F$51&gt;0),入力!$F$51,"")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</row>
    <row r="50" spans="2:65" x14ac:dyDescent="0.15">
      <c r="B50" s="25" t="s">
        <v>282</v>
      </c>
      <c r="C50" s="53">
        <f>IFERROR(TDIST(ABS(C46)*SQRT((C45-2)/(1-C46^2)),C45-2,2),"")</f>
        <v>1.5371600494731645E-15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IF(梱包!$L$49="","",梱包!$L$49)</f>
        <v/>
      </c>
      <c r="Z50" t="str">
        <f>IF(OR(梱包!$E$49="",梱包!$C$49=""),"",梱包!$E$49/梱包!$C$49)</f>
        <v/>
      </c>
      <c r="AA50" t="str">
        <f>IF(梱包!$G$49="","",梱包!$G$49)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IF(AND(ISNUMBER(入力!$F$52),入力!$F$52&gt;0),入力!$F$52,"")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</row>
    <row r="51" spans="2:65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IF(梱包!$L$50="","",梱包!$L$50)</f>
        <v/>
      </c>
      <c r="Z51" t="str">
        <f>IF(OR(梱包!$E$50="",梱包!$C$50=""),"",梱包!$E$50/梱包!$C$50)</f>
        <v/>
      </c>
      <c r="AA51" t="str">
        <f>IF(梱包!$G$50="","",梱包!$G$50)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IF(AND(ISNUMBER(入力!$F$53),入力!$F$53&gt;0),入力!$F$53,"")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</row>
    <row r="52" spans="2:65" x14ac:dyDescent="0.15">
      <c r="B52" s="9" t="s">
        <v>291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IF(梱包!$L$51="","",梱包!$L$51)</f>
        <v/>
      </c>
      <c r="Z52" t="str">
        <f>IF(OR(梱包!$E$51="",梱包!$C$51=""),"",梱包!$E$51/梱包!$C$51)</f>
        <v/>
      </c>
      <c r="AA52" t="str">
        <f>IF(梱包!$G$51="","",梱包!$G$51)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IF(AND(ISNUMBER(入力!$F$54),入力!$F$54&gt;0),入力!$F$54,"")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</row>
    <row r="53" spans="2:65" ht="42" customHeight="1" x14ac:dyDescent="0.15">
      <c r="B53" s="91" t="s">
        <v>292</v>
      </c>
      <c r="C53" s="77"/>
      <c r="D53" s="77"/>
      <c r="E53" s="77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IF(梱包!$L$52="","",梱包!$L$52)</f>
        <v/>
      </c>
      <c r="Z53" t="str">
        <f>IF(OR(梱包!$E$52="",梱包!$C$52=""),"",梱包!$E$52/梱包!$C$52)</f>
        <v/>
      </c>
      <c r="AA53" t="str">
        <f>IF(梱包!$G$52="","",梱包!$G$52)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IF(AND(ISNUMBER(入力!$F$55),入力!$F$55&gt;0),入力!$F$55,"")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</row>
    <row r="54" spans="2:65" x14ac:dyDescent="0.15">
      <c r="B54" s="25" t="s">
        <v>278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IF(梱包!$L$53="","",梱包!$L$53)</f>
        <v/>
      </c>
      <c r="Z54" t="str">
        <f>IF(OR(梱包!$E$53="",梱包!$C$53=""),"",梱包!$E$53/梱包!$C$53)</f>
        <v/>
      </c>
      <c r="AA54" t="str">
        <f>IF(梱包!$G$53="","",梱包!$G$53)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IF(AND(ISNUMBER(入力!$F$56),入力!$F$56&gt;0),入力!$F$56,"")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</row>
    <row r="55" spans="2:65" x14ac:dyDescent="0.15">
      <c r="B55" s="25" t="s">
        <v>57</v>
      </c>
      <c r="C55" s="52">
        <f>IFERROR(CORREL($BJ$8:$BJ$67,$BM$8:$BM$67),"")</f>
        <v>-0.49372132495017046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IF(梱包!$L$54="","",梱包!$L$54)</f>
        <v/>
      </c>
      <c r="Z55" t="str">
        <f>IF(OR(梱包!$E$54="",梱包!$C$54=""),"",梱包!$E$54/梱包!$C$54)</f>
        <v/>
      </c>
      <c r="AA55" t="str">
        <f>IF(梱包!$G$54="","",梱包!$G$54)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IF(AND(ISNUMBER(入力!$F$57),入力!$F$57&gt;0),入力!$F$57,"")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</row>
    <row r="56" spans="2:65" x14ac:dyDescent="0.15">
      <c r="B56" s="25" t="s">
        <v>279</v>
      </c>
      <c r="C56" s="52">
        <f>IFERROR(RSQ($BM$8:$BM$67,$BJ$8:$BJ$67),"")</f>
        <v>0.24376074671055192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IF(梱包!$L$55="","",梱包!$L$55)</f>
        <v/>
      </c>
      <c r="Z56" t="str">
        <f>IF(OR(梱包!$E$55="",梱包!$C$55=""),"",梱包!$E$55/梱包!$C$55)</f>
        <v/>
      </c>
      <c r="AA56" t="str">
        <f>IF(梱包!$G$55="","",梱包!$G$55)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IF(AND(ISNUMBER(入力!$F$58),入力!$F$58&gt;0),入力!$F$58,"")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</row>
    <row r="57" spans="2:65" x14ac:dyDescent="0.15">
      <c r="B57" s="25" t="s">
        <v>280</v>
      </c>
      <c r="C57" s="22">
        <f>IFERROR(SLOPE($BM$8:$BM$67,$BJ$8:$BJ$67),"")</f>
        <v>-0.64036658326252749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IF(梱包!$L$56="","",梱包!$L$56)</f>
        <v/>
      </c>
      <c r="Z57" t="str">
        <f>IF(OR(梱包!$E$56="",梱包!$C$56=""),"",梱包!$E$56/梱包!$C$56)</f>
        <v/>
      </c>
      <c r="AA57" t="str">
        <f>IF(梱包!$G$56="","",梱包!$G$56)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IF(AND(ISNUMBER(入力!$F$59),入力!$F$59&gt;0),入力!$F$59,"")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</row>
    <row r="58" spans="2:65" x14ac:dyDescent="0.15">
      <c r="B58" s="25" t="s">
        <v>281</v>
      </c>
      <c r="C58" s="22">
        <f>IFERROR(INTERCEPT($BM$8:$BM$67,$BJ$8:$BJ$67),"")</f>
        <v>14.157537280571789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IF(梱包!$L$57="","",梱包!$L$57)</f>
        <v/>
      </c>
      <c r="Z58" t="str">
        <f>IF(OR(梱包!$E$57="",梱包!$C$57=""),"",梱包!$E$57/梱包!$C$57)</f>
        <v/>
      </c>
      <c r="AA58" t="str">
        <f>IF(梱包!$G$57="","",梱包!$G$57)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IF(AND(ISNUMBER(入力!$F$60),入力!$F$60&gt;0),入力!$F$60,"")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</row>
    <row r="59" spans="2:65" x14ac:dyDescent="0.15">
      <c r="B59" s="25" t="s">
        <v>282</v>
      </c>
      <c r="C59" s="53">
        <f>IFERROR(TDIST(ABS(C55)*SQRT((C54-2)/(1-C55^2)),C54-2,2),"")</f>
        <v>6.4912940276178471E-3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IF(梱包!$L$58="","",梱包!$L$58)</f>
        <v/>
      </c>
      <c r="Z59" t="str">
        <f>IF(OR(梱包!$E$58="",梱包!$C$58=""),"",梱包!$E$58/梱包!$C$58)</f>
        <v/>
      </c>
      <c r="AA59" t="str">
        <f>IF(梱包!$G$58="","",梱包!$G$58)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IF(AND(ISNUMBER(入力!$F$61),入力!$F$61&gt;0),入力!$F$61,"")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</row>
    <row r="60" spans="2:65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IF(梱包!$L$59="","",梱包!$L$59)</f>
        <v/>
      </c>
      <c r="Z60" t="str">
        <f>IF(OR(梱包!$E$59="",梱包!$C$59=""),"",梱包!$E$59/梱包!$C$59)</f>
        <v/>
      </c>
      <c r="AA60" t="str">
        <f>IF(梱包!$G$59="","",梱包!$G$59)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IF(AND(ISNUMBER(入力!$F$62),入力!$F$62&gt;0),入力!$F$62,"")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</row>
    <row r="61" spans="2:65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IF(梱包!$L$60="","",梱包!$L$60)</f>
        <v/>
      </c>
      <c r="Z61" t="str">
        <f>IF(OR(梱包!$E$60="",梱包!$C$60=""),"",梱包!$E$60/梱包!$C$60)</f>
        <v/>
      </c>
      <c r="AA61" t="str">
        <f>IF(梱包!$G$60="","",梱包!$G$60)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IF(AND(ISNUMBER(入力!$F$63),入力!$F$63&gt;0),入力!$F$63,"")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</row>
    <row r="62" spans="2:65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IF(梱包!$L$61="","",梱包!$L$61)</f>
        <v/>
      </c>
      <c r="Z62" t="str">
        <f>IF(OR(梱包!$E$61="",梱包!$C$61=""),"",梱包!$E$61/梱包!$C$61)</f>
        <v/>
      </c>
      <c r="AA62" t="str">
        <f>IF(梱包!$G$61="","",梱包!$G$61)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IF(AND(ISNUMBER(入力!$F$64),入力!$F$64&gt;0),入力!$F$64,"")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</row>
    <row r="63" spans="2:65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IF(梱包!$L$62="","",梱包!$L$62)</f>
        <v/>
      </c>
      <c r="Z63" t="str">
        <f>IF(OR(梱包!$E$62="",梱包!$C$62=""),"",梱包!$E$62/梱包!$C$62)</f>
        <v/>
      </c>
      <c r="AA63" t="str">
        <f>IF(梱包!$G$62="","",梱包!$G$62)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IF(AND(ISNUMBER(入力!$F$65),入力!$F$65&gt;0),入力!$F$65,"")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</row>
    <row r="64" spans="2:65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IF(梱包!$L$63="","",梱包!$L$63)</f>
        <v/>
      </c>
      <c r="Z64" t="str">
        <f>IF(OR(梱包!$E$63="",梱包!$C$63=""),"",梱包!$E$63/梱包!$C$63)</f>
        <v/>
      </c>
      <c r="AA64" t="str">
        <f>IF(梱包!$G$63="","",梱包!$G$63)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IF(AND(ISNUMBER(入力!$F$66),入力!$F$66&gt;0),入力!$F$66,"")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</row>
    <row r="65" spans="20:65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IF(梱包!$L$64="","",梱包!$L$64)</f>
        <v/>
      </c>
      <c r="Z65" t="str">
        <f>IF(OR(梱包!$E$64="",梱包!$C$64=""),"",梱包!$E$64/梱包!$C$64)</f>
        <v/>
      </c>
      <c r="AA65" t="str">
        <f>IF(梱包!$G$64="","",梱包!$G$64)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IF(AND(ISNUMBER(入力!$F$67),入力!$F$67&gt;0),入力!$F$67,"")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</row>
    <row r="66" spans="20:65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IF(梱包!$L$65="","",梱包!$L$65)</f>
        <v/>
      </c>
      <c r="Z66" t="str">
        <f>IF(OR(梱包!$E$65="",梱包!$C$65=""),"",梱包!$E$65/梱包!$C$65)</f>
        <v/>
      </c>
      <c r="AA66" t="str">
        <f>IF(梱包!$G$65="","",梱包!$G$65)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IF(AND(ISNUMBER(入力!$F$68),入力!$F$68&gt;0),入力!$F$68,"")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</row>
    <row r="67" spans="20:65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IF(梱包!$L$66="","",梱包!$L$66)</f>
        <v/>
      </c>
      <c r="Z67" t="str">
        <f>IF(OR(梱包!$E$66="",梱包!$C$66=""),"",梱包!$E$66/梱包!$C$66)</f>
        <v/>
      </c>
      <c r="AA67" t="str">
        <f>IF(梱包!$G$66="","",梱包!$G$66)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IF(AND(ISNUMBER(入力!$F$69),入力!$F$69&gt;0),入力!$F$69,"")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</row>
    <row r="129" spans="2:2" x14ac:dyDescent="0.15">
      <c r="B129" s="9" t="s">
        <v>293</v>
      </c>
    </row>
    <row r="130" spans="2:2" x14ac:dyDescent="0.15">
      <c r="B130" s="54" t="s">
        <v>294</v>
      </c>
    </row>
    <row r="131" spans="2:2" x14ac:dyDescent="0.15">
      <c r="B131" s="54" t="s">
        <v>295</v>
      </c>
    </row>
    <row r="132" spans="2:2" x14ac:dyDescent="0.15">
      <c r="B132" s="54"/>
    </row>
    <row r="133" spans="2:2" x14ac:dyDescent="0.15">
      <c r="B133" s="54" t="s">
        <v>296</v>
      </c>
    </row>
    <row r="134" spans="2:2" x14ac:dyDescent="0.15">
      <c r="B134" s="54" t="s">
        <v>297</v>
      </c>
    </row>
    <row r="135" spans="2:2" x14ac:dyDescent="0.15">
      <c r="B135" s="54"/>
    </row>
    <row r="136" spans="2:2" x14ac:dyDescent="0.15">
      <c r="B136" s="54" t="s">
        <v>298</v>
      </c>
    </row>
    <row r="137" spans="2:2" x14ac:dyDescent="0.15">
      <c r="B137" s="54" t="s">
        <v>299</v>
      </c>
    </row>
    <row r="138" spans="2:2" x14ac:dyDescent="0.15">
      <c r="B138" s="54"/>
    </row>
    <row r="139" spans="2:2" x14ac:dyDescent="0.15">
      <c r="B139" s="54" t="s">
        <v>300</v>
      </c>
    </row>
    <row r="140" spans="2:2" x14ac:dyDescent="0.15">
      <c r="B140" s="54"/>
    </row>
    <row r="141" spans="2:2" x14ac:dyDescent="0.15">
      <c r="B141" s="54" t="s">
        <v>301</v>
      </c>
    </row>
    <row r="142" spans="2:2" x14ac:dyDescent="0.15">
      <c r="B142" s="54" t="s">
        <v>302</v>
      </c>
    </row>
    <row r="143" spans="2:2" x14ac:dyDescent="0.15">
      <c r="B143" s="54" t="s">
        <v>303</v>
      </c>
    </row>
    <row r="144" spans="2:2" x14ac:dyDescent="0.15">
      <c r="B144" s="54" t="s">
        <v>304</v>
      </c>
    </row>
    <row r="145" spans="2:2" x14ac:dyDescent="0.15">
      <c r="B145" s="54" t="s">
        <v>305</v>
      </c>
    </row>
    <row r="146" spans="2:2" x14ac:dyDescent="0.15">
      <c r="B146" s="54"/>
    </row>
    <row r="147" spans="2:2" x14ac:dyDescent="0.15">
      <c r="B147" s="54" t="s">
        <v>306</v>
      </c>
    </row>
    <row r="148" spans="2:2" x14ac:dyDescent="0.15">
      <c r="B148" s="54" t="s">
        <v>307</v>
      </c>
    </row>
    <row r="149" spans="2:2" x14ac:dyDescent="0.15">
      <c r="B149" s="54" t="s">
        <v>308</v>
      </c>
    </row>
    <row r="150" spans="2:2" x14ac:dyDescent="0.15">
      <c r="B150" s="54" t="s">
        <v>309</v>
      </c>
    </row>
    <row r="151" spans="2:2" x14ac:dyDescent="0.15">
      <c r="B151" s="54"/>
    </row>
    <row r="152" spans="2:2" x14ac:dyDescent="0.15">
      <c r="B152" s="54" t="s">
        <v>310</v>
      </c>
    </row>
    <row r="153" spans="2:2" x14ac:dyDescent="0.15">
      <c r="B153" s="54" t="s">
        <v>311</v>
      </c>
    </row>
    <row r="154" spans="2:2" x14ac:dyDescent="0.15">
      <c r="B154" s="54" t="s">
        <v>312</v>
      </c>
    </row>
    <row r="155" spans="2:2" x14ac:dyDescent="0.15">
      <c r="B155" s="54" t="s">
        <v>313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314</v>
      </c>
    </row>
    <row r="3" spans="2:8" x14ac:dyDescent="0.15">
      <c r="B3" s="3" t="s">
        <v>315</v>
      </c>
    </row>
    <row r="5" spans="2:8" x14ac:dyDescent="0.15">
      <c r="B5" s="7" t="s">
        <v>127</v>
      </c>
    </row>
    <row r="7" spans="2:8" ht="20.100000000000001" customHeight="1" x14ac:dyDescent="0.15">
      <c r="B7" s="20" t="s">
        <v>129</v>
      </c>
      <c r="C7" s="20" t="s">
        <v>316</v>
      </c>
      <c r="D7" s="20" t="s">
        <v>317</v>
      </c>
      <c r="E7" s="20" t="s">
        <v>318</v>
      </c>
      <c r="F7" s="20" t="s">
        <v>319</v>
      </c>
      <c r="G7" s="20" t="s">
        <v>320</v>
      </c>
      <c r="H7" s="20" t="s">
        <v>321</v>
      </c>
    </row>
    <row r="8" spans="2:8" x14ac:dyDescent="0.15">
      <c r="B8" s="21" t="str">
        <f>IF(ピッキング!$B$7="","",ピッキング!$B$7)</f>
        <v>本吉有美子</v>
      </c>
      <c r="C8" s="22">
        <f>IF(ピッキング!$L$7="","",ピッキング!$L$7)</f>
        <v>127.28974526492047</v>
      </c>
      <c r="D8" s="22">
        <f>IF(梱包!$L$7="","",梱包!$L$7)</f>
        <v>146.61994619353155</v>
      </c>
      <c r="E8" s="22">
        <f>IF(C8="","",C8-ピッキング!$T$3)</f>
        <v>23.784387336865379</v>
      </c>
      <c r="F8" s="22">
        <f>IF(D8="","",D8-梱包!$T$3)</f>
        <v>37.73448277293312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澤田凌</v>
      </c>
      <c r="C9" s="22">
        <f>IF(ピッキング!$L$8="","",ピッキング!$L$8)</f>
        <v>124.86052594253862</v>
      </c>
      <c r="D9" s="22">
        <f>IF(梱包!$L$8="","",梱包!$L$8)</f>
        <v>77.985418867763826</v>
      </c>
      <c r="E9" s="22">
        <f>IF(C9="","",C9-ピッキング!$T$3)</f>
        <v>21.355168014483525</v>
      </c>
      <c r="F9" s="22">
        <f>IF(D9="","",D9-梱包!$T$3)</f>
        <v>-30.900044552834601</v>
      </c>
      <c r="G9" s="50" t="str">
        <f t="shared" si="0"/>
        <v>ピッキング寄り</v>
      </c>
      <c r="H9" s="21" t="str">
        <f t="shared" si="1"/>
        <v>得意な方に寄せると全体が速くなる</v>
      </c>
    </row>
    <row r="10" spans="2:8" x14ac:dyDescent="0.15">
      <c r="B10" s="21" t="str">
        <f>IF(ピッキング!$B$9="","",ピッキング!$B$9)</f>
        <v>大江美記子</v>
      </c>
      <c r="C10" s="22">
        <f>IF(ピッキング!$L$9="","",ピッキング!$L$9)</f>
        <v>120.95420151086539</v>
      </c>
      <c r="D10" s="22">
        <f>IF(梱包!$L$9="","",梱包!$L$9)</f>
        <v>131.00104643796593</v>
      </c>
      <c r="E10" s="22">
        <f>IF(C10="","",C10-ピッキング!$T$3)</f>
        <v>17.448843582810298</v>
      </c>
      <c r="F10" s="22">
        <f>IF(D10="","",D10-梱包!$T$3)</f>
        <v>22.115583017367499</v>
      </c>
      <c r="G10" s="50" t="str">
        <f t="shared" si="0"/>
        <v>どちらでも可</v>
      </c>
      <c r="H10" s="21" t="str">
        <f t="shared" si="1"/>
        <v>両方とも平均以上。手本役に</v>
      </c>
    </row>
    <row r="11" spans="2:8" x14ac:dyDescent="0.15">
      <c r="B11" s="21" t="str">
        <f>IF(ピッキング!$B$10="","",ピッキング!$B$10)</f>
        <v>佐藤辰成</v>
      </c>
      <c r="C11" s="22">
        <f>IF(ピッキング!$L$10="","",ピッキング!$L$10)</f>
        <v>120.11755394548538</v>
      </c>
      <c r="D11" s="22">
        <f>IF(梱包!$L$10="","",梱包!$L$10)</f>
        <v>128.07757268601134</v>
      </c>
      <c r="E11" s="22">
        <f>IF(C11="","",C11-ピッキング!$T$3)</f>
        <v>16.612196017430293</v>
      </c>
      <c r="F11" s="22">
        <f>IF(D11="","",D11-梱包!$T$3)</f>
        <v>19.19210926541291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春谷智子</v>
      </c>
      <c r="C12" s="22">
        <f>IF(ピッキング!$L$11="","",ピッキング!$L$11)</f>
        <v>111.86290588643365</v>
      </c>
      <c r="D12" s="22" t="str">
        <f>IF(梱包!$L$11="","",梱包!$L$11)</f>
        <v/>
      </c>
      <c r="E12" s="22">
        <f>IF(C12="","",C12-ピッキング!$T$3)</f>
        <v>8.3575479583785608</v>
      </c>
      <c r="F12" s="22" t="str">
        <f>IF(D12="","",D12-梱包!$T$3)</f>
        <v/>
      </c>
      <c r="G12" s="50" t="str">
        <f t="shared" si="0"/>
        <v>ピッキング専任</v>
      </c>
      <c r="H12" s="21" t="str">
        <f t="shared" si="1"/>
        <v>もう一方の実績がありません</v>
      </c>
    </row>
    <row r="13" spans="2:8" x14ac:dyDescent="0.15">
      <c r="B13" s="21" t="str">
        <f>IF(ピッキング!$B$12="","",ピッキング!$B$12)</f>
        <v>後藤克行</v>
      </c>
      <c r="C13" s="22">
        <f>IF(ピッキング!$L$12="","",ピッキング!$L$12)</f>
        <v>109.49437773777254</v>
      </c>
      <c r="D13" s="22">
        <f>IF(梱包!$L$12="","",梱包!$L$12)</f>
        <v>82.466184184781014</v>
      </c>
      <c r="E13" s="22">
        <f>IF(C13="","",C13-ピッキング!$T$3)</f>
        <v>5.9890198097174476</v>
      </c>
      <c r="F13" s="22">
        <f>IF(D13="","",D13-梱包!$T$3)</f>
        <v>-26.419279235817413</v>
      </c>
      <c r="G13" s="50" t="str">
        <f t="shared" si="0"/>
        <v>ピッキング寄り</v>
      </c>
      <c r="H13" s="21" t="str">
        <f t="shared" si="1"/>
        <v>得意な方に寄せると全体が速くなる</v>
      </c>
    </row>
    <row r="14" spans="2:8" x14ac:dyDescent="0.15">
      <c r="B14" s="21" t="str">
        <f>IF(ピッキング!$B$13="","",ピッキング!$B$13)</f>
        <v>中村美佳</v>
      </c>
      <c r="C14" s="22">
        <f>IF(ピッキング!$L$13="","",ピッキング!$L$13)</f>
        <v>108.83316918183169</v>
      </c>
      <c r="D14" s="22">
        <f>IF(梱包!$L$13="","",梱包!$L$13)</f>
        <v>89.601445304729197</v>
      </c>
      <c r="E14" s="22">
        <f>IF(C14="","",C14-ピッキング!$T$3)</f>
        <v>5.327811253776602</v>
      </c>
      <c r="F14" s="22">
        <f>IF(D14="","",D14-梱包!$T$3)</f>
        <v>-19.28401811586923</v>
      </c>
      <c r="G14" s="50" t="str">
        <f t="shared" si="0"/>
        <v>ピッキング寄り</v>
      </c>
      <c r="H14" s="21" t="str">
        <f t="shared" si="1"/>
        <v>得意な方に寄せると全体が速くなる</v>
      </c>
    </row>
    <row r="15" spans="2:8" x14ac:dyDescent="0.15">
      <c r="B15" s="21" t="str">
        <f>IF(ピッキング!$B$14="","",ピッキング!$B$14)</f>
        <v>晩田恵美</v>
      </c>
      <c r="C15" s="22">
        <f>IF(ピッキング!$L$14="","",ピッキング!$L$14)</f>
        <v>106.78993993502498</v>
      </c>
      <c r="D15" s="22">
        <f>IF(梱包!$L$14="","",梱包!$L$14)</f>
        <v>120.16949514391577</v>
      </c>
      <c r="E15" s="22">
        <f>IF(C15="","",C15-ピッキング!$T$3)</f>
        <v>3.2845820069698846</v>
      </c>
      <c r="F15" s="22">
        <f>IF(D15="","",D15-梱包!$T$3)</f>
        <v>11.284031723317341</v>
      </c>
      <c r="G15" s="50" t="str">
        <f t="shared" si="0"/>
        <v>どちらでも可</v>
      </c>
      <c r="H15" s="21" t="str">
        <f t="shared" si="1"/>
        <v>両方とも平均以上。手本役に</v>
      </c>
    </row>
    <row r="16" spans="2:8" x14ac:dyDescent="0.15">
      <c r="B16" s="21" t="str">
        <f>IF(ピッキング!$B$15="","",ピッキング!$B$15)</f>
        <v>高橋佐織</v>
      </c>
      <c r="C16" s="22">
        <f>IF(ピッキング!$L$15="","",ピッキング!$L$15)</f>
        <v>105.79720390865057</v>
      </c>
      <c r="D16" s="22">
        <f>IF(梱包!$L$15="","",梱包!$L$15)</f>
        <v>94.989155931320283</v>
      </c>
      <c r="E16" s="22">
        <f>IF(C16="","",C16-ピッキング!$T$3)</f>
        <v>2.2918459805954825</v>
      </c>
      <c r="F16" s="22">
        <f>IF(D16="","",D16-梱包!$T$3)</f>
        <v>-13.896307489278144</v>
      </c>
      <c r="G16" s="50" t="str">
        <f t="shared" si="0"/>
        <v>ピッキング寄り</v>
      </c>
      <c r="H16" s="21" t="str">
        <f t="shared" si="1"/>
        <v>得意な方に寄せると全体が速くなる</v>
      </c>
    </row>
    <row r="17" spans="2:8" x14ac:dyDescent="0.15">
      <c r="B17" s="21" t="str">
        <f>IF(ピッキング!$B$16="","",ピッキング!$B$16)</f>
        <v>山本祥吉</v>
      </c>
      <c r="C17" s="22">
        <f>IF(ピッキング!$L$16="","",ピッキング!$L$16)</f>
        <v>105.51500291640784</v>
      </c>
      <c r="D17" s="22">
        <f>IF(梱包!$L$16="","",梱包!$L$16)</f>
        <v>86.545994007513698</v>
      </c>
      <c r="E17" s="22">
        <f>IF(C17="","",C17-ピッキング!$T$3)</f>
        <v>2.009644988352747</v>
      </c>
      <c r="F17" s="22">
        <f>IF(D17="","",D17-梱包!$T$3)</f>
        <v>-22.339469413084728</v>
      </c>
      <c r="G17" s="50" t="str">
        <f t="shared" si="0"/>
        <v>ピッキング寄り</v>
      </c>
      <c r="H17" s="21" t="str">
        <f t="shared" si="1"/>
        <v>得意な方に寄せると全体が速くなる</v>
      </c>
    </row>
    <row r="18" spans="2:8" x14ac:dyDescent="0.15">
      <c r="B18" s="21" t="str">
        <f>IF(ピッキング!$B$17="","",ピッキング!$B$17)</f>
        <v>佐々木千恵</v>
      </c>
      <c r="C18" s="22">
        <f>IF(ピッキング!$L$17="","",ピッキング!$L$17)</f>
        <v>105.20453333776844</v>
      </c>
      <c r="D18" s="22">
        <f>IF(梱包!$L$17="","",梱包!$L$17)</f>
        <v>160.10839574130645</v>
      </c>
      <c r="E18" s="22">
        <f>IF(C18="","",C18-ピッキング!$T$3)</f>
        <v>1.699175409713348</v>
      </c>
      <c r="F18" s="22">
        <f>IF(D18="","",D18-梱包!$T$3)</f>
        <v>51.222932320708026</v>
      </c>
      <c r="G18" s="50" t="str">
        <f t="shared" si="0"/>
        <v>どちらでも可</v>
      </c>
      <c r="H18" s="21" t="str">
        <f t="shared" si="1"/>
        <v>両方とも平均以上。手本役に</v>
      </c>
    </row>
    <row r="19" spans="2:8" x14ac:dyDescent="0.15">
      <c r="B19" s="21" t="str">
        <f>IF(ピッキング!$B$18="","",ピッキング!$B$18)</f>
        <v>北田倫子</v>
      </c>
      <c r="C19" s="22">
        <f>IF(ピッキング!$L$18="","",ピッキング!$L$18)</f>
        <v>102.50307274983271</v>
      </c>
      <c r="D19" s="22">
        <f>IF(梱包!$L$18="","",梱包!$L$18)</f>
        <v>133.19600527081576</v>
      </c>
      <c r="E19" s="22">
        <f>IF(C19="","",C19-ピッキング!$T$3)</f>
        <v>-1.0022851782223796</v>
      </c>
      <c r="F19" s="22">
        <f>IF(D19="","",D19-梱包!$T$3)</f>
        <v>24.310541850217334</v>
      </c>
      <c r="G19" s="50" t="str">
        <f t="shared" si="0"/>
        <v>梱包寄り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中納沙織</v>
      </c>
      <c r="C20" s="22">
        <f>IF(ピッキング!$L$19="","",ピッキング!$L$19)</f>
        <v>102.49958553696862</v>
      </c>
      <c r="D20" s="22">
        <f>IF(梱包!$L$19="","",梱包!$L$19)</f>
        <v>81.623854973799993</v>
      </c>
      <c r="E20" s="22">
        <f>IF(C20="","",C20-ピッキング!$T$3)</f>
        <v>-1.0057723910864667</v>
      </c>
      <c r="F20" s="22">
        <f>IF(D20="","",D20-梱包!$T$3)</f>
        <v>-27.261608446798434</v>
      </c>
      <c r="G20" s="50" t="str">
        <f t="shared" si="0"/>
        <v>ピッキング寄り</v>
      </c>
      <c r="H20" s="21" t="str">
        <f t="shared" si="1"/>
        <v>両方とも平均以下。手順の確認を</v>
      </c>
    </row>
    <row r="21" spans="2:8" x14ac:dyDescent="0.15">
      <c r="B21" s="21" t="str">
        <f>IF(ピッキング!$B$20="","",ピッキング!$B$20)</f>
        <v>石戸谷亜子</v>
      </c>
      <c r="C21" s="22">
        <f>IF(ピッキング!$L$20="","",ピッキング!$L$20)</f>
        <v>101.9554031333199</v>
      </c>
      <c r="D21" s="22" t="str">
        <f>IF(梱包!$L$20="","",梱包!$L$20)</f>
        <v/>
      </c>
      <c r="E21" s="22">
        <f>IF(C21="","",C21-ピッキング!$T$3)</f>
        <v>-1.5499547947351857</v>
      </c>
      <c r="F21" s="22" t="str">
        <f>IF(D21="","",D21-梱包!$T$3)</f>
        <v/>
      </c>
      <c r="G21" s="50" t="str">
        <f t="shared" si="0"/>
        <v>ピッキング専任</v>
      </c>
      <c r="H21" s="21" t="str">
        <f t="shared" si="1"/>
        <v>もう一方の実績がありません</v>
      </c>
    </row>
    <row r="22" spans="2:8" x14ac:dyDescent="0.15">
      <c r="B22" s="21" t="str">
        <f>IF(ピッキング!$B$21="","",ピッキング!$B$21)</f>
        <v>森田美加</v>
      </c>
      <c r="C22" s="22">
        <f>IF(ピッキング!$L$21="","",ピッキング!$L$21)</f>
        <v>101.30979777676158</v>
      </c>
      <c r="D22" s="22">
        <f>IF(梱包!$L$21="","",梱包!$L$21)</f>
        <v>60.168471740699999</v>
      </c>
      <c r="E22" s="22">
        <f>IF(C22="","",C22-ピッキング!$T$3)</f>
        <v>-2.1955601512935061</v>
      </c>
      <c r="F22" s="22">
        <f>IF(D22="","",D22-梱包!$T$3)</f>
        <v>-48.716991679898427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河野忠</v>
      </c>
      <c r="C23" s="22">
        <f>IF(ピッキング!$L$22="","",ピッキング!$L$22)</f>
        <v>101.02482891621315</v>
      </c>
      <c r="D23" s="22">
        <f>IF(梱包!$L$22="","",梱包!$L$22)</f>
        <v>114.9964054395198</v>
      </c>
      <c r="E23" s="22">
        <f>IF(C23="","",C23-ピッキング!$T$3)</f>
        <v>-2.4805290118419379</v>
      </c>
      <c r="F23" s="22">
        <f>IF(D23="","",D23-梱包!$T$3)</f>
        <v>6.1109420189213779</v>
      </c>
      <c r="G23" s="50" t="str">
        <f t="shared" si="0"/>
        <v>梱包寄り</v>
      </c>
      <c r="H23" s="21" t="str">
        <f t="shared" si="1"/>
        <v>得意な方に寄せると全体が速くなる</v>
      </c>
    </row>
    <row r="24" spans="2:8" x14ac:dyDescent="0.15">
      <c r="B24" s="21" t="str">
        <f>IF(ピッキング!$B$23="","",ピッキング!$B$23)</f>
        <v>木村千鶴</v>
      </c>
      <c r="C24" s="22">
        <f>IF(ピッキング!$L$23="","",ピッキング!$L$23)</f>
        <v>100.82289288993715</v>
      </c>
      <c r="D24" s="22">
        <f>IF(梱包!$L$23="","",梱包!$L$23)</f>
        <v>74.605827454922348</v>
      </c>
      <c r="E24" s="22">
        <f>IF(C24="","",C24-ピッキング!$T$3)</f>
        <v>-2.6824650381179396</v>
      </c>
      <c r="F24" s="22">
        <f>IF(D24="","",D24-梱包!$T$3)</f>
        <v>-34.279635965676079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奥野愛海</v>
      </c>
      <c r="C25" s="22">
        <f>IF(ピッキング!$L$24="","",ピッキング!$L$24)</f>
        <v>99.87068040500408</v>
      </c>
      <c r="D25" s="22" t="str">
        <f>IF(梱包!$L$24="","",梱包!$L$24)</f>
        <v/>
      </c>
      <c r="E25" s="22">
        <f>IF(C25="","",C25-ピッキング!$T$3)</f>
        <v>-3.6346775230510104</v>
      </c>
      <c r="F25" s="22" t="str">
        <f>IF(D25="","",D25-梱包!$T$3)</f>
        <v/>
      </c>
      <c r="G25" s="50" t="str">
        <f t="shared" si="0"/>
        <v>ピッキング専任</v>
      </c>
      <c r="H25" s="21" t="str">
        <f t="shared" si="1"/>
        <v>もう一方の実績がありません</v>
      </c>
    </row>
    <row r="26" spans="2:8" x14ac:dyDescent="0.15">
      <c r="B26" s="21" t="str">
        <f>IF(ピッキング!$B$25="","",ピッキング!$B$25)</f>
        <v>鈴木香織</v>
      </c>
      <c r="C26" s="22">
        <f>IF(ピッキング!$L$25="","",ピッキング!$L$25)</f>
        <v>99.417763038447092</v>
      </c>
      <c r="D26" s="22">
        <f>IF(梱包!$L$25="","",梱包!$L$25)</f>
        <v>98.746784747731013</v>
      </c>
      <c r="E26" s="22">
        <f>IF(C26="","",C26-ピッキング!$T$3)</f>
        <v>-4.087594889607999</v>
      </c>
      <c r="F26" s="22">
        <f>IF(D26="","",D26-梱包!$T$3)</f>
        <v>-10.138678672867414</v>
      </c>
      <c r="G26" s="50" t="str">
        <f t="shared" si="0"/>
        <v>ピッキング寄り</v>
      </c>
      <c r="H26" s="21" t="str">
        <f t="shared" si="1"/>
        <v>両方とも平均以下。手順の確認を</v>
      </c>
    </row>
    <row r="27" spans="2:8" x14ac:dyDescent="0.15">
      <c r="B27" s="21" t="str">
        <f>IF(ピッキング!$B$26="","",ピッキング!$B$26)</f>
        <v>向井ひかり</v>
      </c>
      <c r="C27" s="22">
        <f>IF(ピッキング!$L$26="","",ピッキング!$L$26)</f>
        <v>94.986665946425504</v>
      </c>
      <c r="D27" s="22" t="str">
        <f>IF(梱包!$L$26="","",梱包!$L$26)</f>
        <v/>
      </c>
      <c r="E27" s="22">
        <f>IF(C27="","",C27-ピッキング!$T$3)</f>
        <v>-8.518691981629587</v>
      </c>
      <c r="F27" s="22" t="str">
        <f>IF(D27="","",D27-梱包!$T$3)</f>
        <v/>
      </c>
      <c r="G27" s="50" t="str">
        <f t="shared" si="0"/>
        <v>ピッキング専任</v>
      </c>
      <c r="H27" s="21" t="str">
        <f t="shared" si="1"/>
        <v>もう一方の実績がありません</v>
      </c>
    </row>
    <row r="28" spans="2:8" x14ac:dyDescent="0.15">
      <c r="B28" s="21" t="str">
        <f>IF(ピッキング!$B$27="","",ピッキング!$B$27)</f>
        <v>片岡達也</v>
      </c>
      <c r="C28" s="22">
        <f>IF(ピッキング!$L$27="","",ピッキング!$L$27)</f>
        <v>93.854516940062098</v>
      </c>
      <c r="D28" s="22" t="str">
        <f>IF(梱包!$L$27="","",梱包!$L$27)</f>
        <v/>
      </c>
      <c r="E28" s="22">
        <f>IF(C28="","",C28-ピッキング!$T$3)</f>
        <v>-9.6508409879929928</v>
      </c>
      <c r="F28" s="22" t="str">
        <f>IF(D28="","",D28-梱包!$T$3)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廣瀬こずえ</v>
      </c>
      <c r="C29" s="22">
        <f>IF(ピッキング!$L$28="","",ピッキング!$L$28)</f>
        <v>93.74674542156832</v>
      </c>
      <c r="D29" s="22" t="str">
        <f>IF(梱包!$L$28="","",梱包!$L$28)</f>
        <v/>
      </c>
      <c r="E29" s="22">
        <f>IF(C29="","",C29-ピッキング!$T$3)</f>
        <v>-9.7586125064867701</v>
      </c>
      <c r="F29" s="22" t="str">
        <f>IF(D29="","",D29-梱包!$T$3)</f>
        <v/>
      </c>
      <c r="G29" s="50" t="str">
        <f t="shared" si="0"/>
        <v>ピッキング専任</v>
      </c>
      <c r="H29" s="21" t="str">
        <f t="shared" si="1"/>
        <v>もう一方の実績がありません</v>
      </c>
    </row>
    <row r="30" spans="2:8" x14ac:dyDescent="0.15">
      <c r="B30" s="21" t="str">
        <f>IF(ピッキング!$B$29="","",ピッキング!$B$29)</f>
        <v>森本久美</v>
      </c>
      <c r="C30" s="22">
        <f>IF(ピッキング!$L$29="","",ピッキング!$L$29)</f>
        <v>91.373442052986164</v>
      </c>
      <c r="D30" s="22">
        <f>IF(梱包!$L$29="","",梱包!$L$29)</f>
        <v>102.18958506791222</v>
      </c>
      <c r="E30" s="22">
        <f>IF(C30="","",C30-ピッキング!$T$3)</f>
        <v>-12.131915875068927</v>
      </c>
      <c r="F30" s="22">
        <f>IF(D30="","",D30-梱包!$T$3)</f>
        <v>-6.6958783526862078</v>
      </c>
      <c r="G30" s="50" t="str">
        <f t="shared" si="0"/>
        <v>梱包寄り</v>
      </c>
      <c r="H30" s="21" t="str">
        <f t="shared" si="1"/>
        <v>両方とも平均以下。手順の確認を</v>
      </c>
    </row>
    <row r="31" spans="2:8" x14ac:dyDescent="0.15">
      <c r="B31" s="21" t="str">
        <f>IF(ピッキング!$B$30="","",ピッキング!$B$30)</f>
        <v>菊池敬</v>
      </c>
      <c r="C31" s="22">
        <f>IF(ピッキング!$L$30="","",ピッキング!$L$30)</f>
        <v>91.02607335819954</v>
      </c>
      <c r="D31" s="22">
        <f>IF(梱包!$L$30="","",梱包!$L$30)</f>
        <v>69.459988943073199</v>
      </c>
      <c r="E31" s="22">
        <f>IF(C31="","",C31-ピッキング!$T$3)</f>
        <v>-12.479284569855551</v>
      </c>
      <c r="F31" s="22">
        <f>IF(D31="","",D31-梱包!$T$3)</f>
        <v>-39.425474477525228</v>
      </c>
      <c r="G31" s="50" t="str">
        <f t="shared" si="0"/>
        <v>ピッキング寄り</v>
      </c>
      <c r="H31" s="21" t="str">
        <f t="shared" si="1"/>
        <v>両方とも平均以下。手順の確認を</v>
      </c>
    </row>
    <row r="32" spans="2:8" x14ac:dyDescent="0.15">
      <c r="B32" s="21" t="str">
        <f>IF(ピッキング!$B$31="","",ピッキング!$B$31)</f>
        <v>高橋正美</v>
      </c>
      <c r="C32" s="22">
        <f>IF(ピッキング!$L$31="","",ピッキング!$L$31)</f>
        <v>89.248471214873774</v>
      </c>
      <c r="D32" s="22" t="str">
        <f>IF(梱包!$L$31="","",梱包!$L$31)</f>
        <v/>
      </c>
      <c r="E32" s="22">
        <f>IF(C32="","",C32-ピッキング!$T$3)</f>
        <v>-14.256886713181316</v>
      </c>
      <c r="F32" s="22" t="str">
        <f>IF(D32="","",D32-梱包!$T$3)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88.868940872437221</v>
      </c>
      <c r="D33" s="22" t="str">
        <f>IF(梱包!$L$32="","",梱包!$L$32)</f>
        <v/>
      </c>
      <c r="E33" s="22">
        <f>IF(C33="","",C33-ピッキング!$T$3)</f>
        <v>-14.636417055617869</v>
      </c>
      <c r="F33" s="22" t="str">
        <f>IF(D33="","",D33-梱包!$T$3)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上村和恵</v>
      </c>
      <c r="C34" s="22">
        <f>IF(ピッキング!$L$33="","",ピッキング!$L$33)</f>
        <v>87.836268797835658</v>
      </c>
      <c r="D34" s="22" t="str">
        <f>IF(梱包!$L$33="","",梱包!$L$33)</f>
        <v/>
      </c>
      <c r="E34" s="22">
        <f>IF(C34="","",C34-ピッキング!$T$3)</f>
        <v>-15.669089130219433</v>
      </c>
      <c r="F34" s="22" t="str">
        <f>IF(D34="","",D34-梱包!$T$3)</f>
        <v/>
      </c>
      <c r="G34" s="50" t="str">
        <f t="shared" si="0"/>
        <v>ピッキング専任</v>
      </c>
      <c r="H34" s="21" t="str">
        <f t="shared" si="1"/>
        <v>もう一方の実績がありません</v>
      </c>
    </row>
    <row r="35" spans="2:8" x14ac:dyDescent="0.15">
      <c r="B35" s="21" t="str">
        <f>IF(ピッキング!$B$34="","",ピッキング!$B$34)</f>
        <v>平田学</v>
      </c>
      <c r="C35" s="22">
        <f>IF(ピッキング!$L$34="","",ピッキング!$L$34)</f>
        <v>86.502213553209813</v>
      </c>
      <c r="D35" s="22" t="str">
        <f>IF(梱包!$L$34="","",梱包!$L$34)</f>
        <v/>
      </c>
      <c r="E35" s="22">
        <f>IF(C35="","",C35-ピッキング!$T$3)</f>
        <v>-17.003144374845277</v>
      </c>
      <c r="F35" s="22" t="str">
        <f>IF(D35="","",D35-梱包!$T$3)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飯田由加里</v>
      </c>
      <c r="C36" s="22">
        <f>IF(ピッキング!$L$35="","",ピッキング!$L$35)</f>
        <v>85.892657318260035</v>
      </c>
      <c r="D36" s="22">
        <f>IF(梱包!$L$35="","",梱包!$L$35)</f>
        <v>126.75845645824401</v>
      </c>
      <c r="E36" s="22">
        <f>IF(C36="","",C36-ピッキング!$T$3)</f>
        <v>-17.612700609795056</v>
      </c>
      <c r="F36" s="22">
        <f>IF(D36="","",D36-梱包!$T$3)</f>
        <v>17.872993037645585</v>
      </c>
      <c r="G36" s="50" t="str">
        <f t="shared" si="0"/>
        <v>梱包寄り</v>
      </c>
      <c r="H36" s="21" t="str">
        <f t="shared" si="1"/>
        <v>得意な方に寄せると全体が速くなる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IF(梱包!$L$36="","",梱包!$L$36)</f>
        <v/>
      </c>
      <c r="E37" s="22" t="str">
        <f>IF(C37="","",C37-ピッキング!$T$3)</f>
        <v/>
      </c>
      <c r="F37" s="22" t="str">
        <f>IF(D37="","",D37-梱包!$T$3)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IF(梱包!$L$37="","",梱包!$L$37)</f>
        <v/>
      </c>
      <c r="E38" s="22" t="str">
        <f>IF(C38="","",C38-ピッキング!$T$3)</f>
        <v/>
      </c>
      <c r="F38" s="22" t="str">
        <f>IF(D38="","",D38-梱包!$T$3)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IF(梱包!$L$38="","",梱包!$L$38)</f>
        <v/>
      </c>
      <c r="E39" s="22" t="str">
        <f>IF(C39="","",C39-ピッキング!$T$3)</f>
        <v/>
      </c>
      <c r="F39" s="22" t="str">
        <f>IF(D39="","",D39-梱包!$T$3)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IF(梱包!$L$39="","",梱包!$L$39)</f>
        <v/>
      </c>
      <c r="E40" s="22" t="str">
        <f>IF(C40="","",C40-ピッキング!$T$3)</f>
        <v/>
      </c>
      <c r="F40" s="22" t="str">
        <f>IF(D40="","",D40-梱包!$T$3)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IF(梱包!$L$40="","",梱包!$L$40)</f>
        <v/>
      </c>
      <c r="E41" s="22" t="str">
        <f>IF(C41="","",C41-ピッキング!$T$3)</f>
        <v/>
      </c>
      <c r="F41" s="22" t="str">
        <f>IF(D41="","",D41-梱包!$T$3)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IF(梱包!$L$41="","",梱包!$L$41)</f>
        <v/>
      </c>
      <c r="E42" s="22" t="str">
        <f>IF(C42="","",C42-ピッキング!$T$3)</f>
        <v/>
      </c>
      <c r="F42" s="22" t="str">
        <f>IF(D42="","",D42-梱包!$T$3)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IF(梱包!$L$42="","",梱包!$L$42)</f>
        <v/>
      </c>
      <c r="E43" s="22" t="str">
        <f>IF(C43="","",C43-ピッキング!$T$3)</f>
        <v/>
      </c>
      <c r="F43" s="22" t="str">
        <f>IF(D43="","",D43-梱包!$T$3)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IF(梱包!$L$43="","",梱包!$L$43)</f>
        <v/>
      </c>
      <c r="E44" s="22" t="str">
        <f>IF(C44="","",C44-ピッキング!$T$3)</f>
        <v/>
      </c>
      <c r="F44" s="22" t="str">
        <f>IF(D44="","",D44-梱包!$T$3)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IF(梱包!$L$44="","",梱包!$L$44)</f>
        <v/>
      </c>
      <c r="E45" s="22" t="str">
        <f>IF(C45="","",C45-ピッキング!$T$3)</f>
        <v/>
      </c>
      <c r="F45" s="22" t="str">
        <f>IF(D45="","",D45-梱包!$T$3)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IF(梱包!$L$45="","",梱包!$L$45)</f>
        <v/>
      </c>
      <c r="E46" s="22" t="str">
        <f>IF(C46="","",C46-ピッキング!$T$3)</f>
        <v/>
      </c>
      <c r="F46" s="22" t="str">
        <f>IF(D46="","",D46-梱包!$T$3)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IF(梱包!$L$46="","",梱包!$L$46)</f>
        <v/>
      </c>
      <c r="E47" s="22" t="str">
        <f>IF(C47="","",C47-ピッキング!$T$3)</f>
        <v/>
      </c>
      <c r="F47" s="22" t="str">
        <f>IF(D47="","",D47-梱包!$T$3)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IF(梱包!$L$47="","",梱包!$L$47)</f>
        <v/>
      </c>
      <c r="E48" s="22" t="str">
        <f>IF(C48="","",C48-ピッキング!$T$3)</f>
        <v/>
      </c>
      <c r="F48" s="22" t="str">
        <f>IF(D48="","",D48-梱包!$T$3)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IF(梱包!$L$48="","",梱包!$L$48)</f>
        <v/>
      </c>
      <c r="E49" s="22" t="str">
        <f>IF(C49="","",C49-ピッキング!$T$3)</f>
        <v/>
      </c>
      <c r="F49" s="22" t="str">
        <f>IF(D49="","",D49-梱包!$T$3)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IF(梱包!$L$49="","",梱包!$L$49)</f>
        <v/>
      </c>
      <c r="E50" s="22" t="str">
        <f>IF(C50="","",C50-ピッキング!$T$3)</f>
        <v/>
      </c>
      <c r="F50" s="22" t="str">
        <f>IF(D50="","",D50-梱包!$T$3)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IF(梱包!$L$50="","",梱包!$L$50)</f>
        <v/>
      </c>
      <c r="E51" s="22" t="str">
        <f>IF(C51="","",C51-ピッキング!$T$3)</f>
        <v/>
      </c>
      <c r="F51" s="22" t="str">
        <f>IF(D51="","",D51-梱包!$T$3)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IF(梱包!$L$51="","",梱包!$L$51)</f>
        <v/>
      </c>
      <c r="E52" s="22" t="str">
        <f>IF(C52="","",C52-ピッキング!$T$3)</f>
        <v/>
      </c>
      <c r="F52" s="22" t="str">
        <f>IF(D52="","",D52-梱包!$T$3)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IF(梱包!$L$52="","",梱包!$L$52)</f>
        <v/>
      </c>
      <c r="E53" s="22" t="str">
        <f>IF(C53="","",C53-ピッキング!$T$3)</f>
        <v/>
      </c>
      <c r="F53" s="22" t="str">
        <f>IF(D53="","",D53-梱包!$T$3)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IF(梱包!$L$53="","",梱包!$L$53)</f>
        <v/>
      </c>
      <c r="E54" s="22" t="str">
        <f>IF(C54="","",C54-ピッキング!$T$3)</f>
        <v/>
      </c>
      <c r="F54" s="22" t="str">
        <f>IF(D54="","",D54-梱包!$T$3)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IF(梱包!$L$54="","",梱包!$L$54)</f>
        <v/>
      </c>
      <c r="E55" s="22" t="str">
        <f>IF(C55="","",C55-ピッキング!$T$3)</f>
        <v/>
      </c>
      <c r="F55" s="22" t="str">
        <f>IF(D55="","",D55-梱包!$T$3)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IF(梱包!$L$55="","",梱包!$L$55)</f>
        <v/>
      </c>
      <c r="E56" s="22" t="str">
        <f>IF(C56="","",C56-ピッキング!$T$3)</f>
        <v/>
      </c>
      <c r="F56" s="22" t="str">
        <f>IF(D56="","",D56-梱包!$T$3)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IF(梱包!$L$56="","",梱包!$L$56)</f>
        <v/>
      </c>
      <c r="E57" s="22" t="str">
        <f>IF(C57="","",C57-ピッキング!$T$3)</f>
        <v/>
      </c>
      <c r="F57" s="22" t="str">
        <f>IF(D57="","",D57-梱包!$T$3)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IF(梱包!$L$57="","",梱包!$L$57)</f>
        <v/>
      </c>
      <c r="E58" s="22" t="str">
        <f>IF(C58="","",C58-ピッキング!$T$3)</f>
        <v/>
      </c>
      <c r="F58" s="22" t="str">
        <f>IF(D58="","",D58-梱包!$T$3)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IF(梱包!$L$58="","",梱包!$L$58)</f>
        <v/>
      </c>
      <c r="E59" s="22" t="str">
        <f>IF(C59="","",C59-ピッキング!$T$3)</f>
        <v/>
      </c>
      <c r="F59" s="22" t="str">
        <f>IF(D59="","",D59-梱包!$T$3)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IF(梱包!$L$59="","",梱包!$L$59)</f>
        <v/>
      </c>
      <c r="E60" s="22" t="str">
        <f>IF(C60="","",C60-ピッキング!$T$3)</f>
        <v/>
      </c>
      <c r="F60" s="22" t="str">
        <f>IF(D60="","",D60-梱包!$T$3)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IF(梱包!$L$60="","",梱包!$L$60)</f>
        <v/>
      </c>
      <c r="E61" s="22" t="str">
        <f>IF(C61="","",C61-ピッキング!$T$3)</f>
        <v/>
      </c>
      <c r="F61" s="22" t="str">
        <f>IF(D61="","",D61-梱包!$T$3)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IF(梱包!$L$61="","",梱包!$L$61)</f>
        <v/>
      </c>
      <c r="E62" s="22" t="str">
        <f>IF(C62="","",C62-ピッキング!$T$3)</f>
        <v/>
      </c>
      <c r="F62" s="22" t="str">
        <f>IF(D62="","",D62-梱包!$T$3)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IF(梱包!$L$62="","",梱包!$L$62)</f>
        <v/>
      </c>
      <c r="E63" s="22" t="str">
        <f>IF(C63="","",C63-ピッキング!$T$3)</f>
        <v/>
      </c>
      <c r="F63" s="22" t="str">
        <f>IF(D63="","",D63-梱包!$T$3)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IF(梱包!$L$63="","",梱包!$L$63)</f>
        <v/>
      </c>
      <c r="E64" s="22" t="str">
        <f>IF(C64="","",C64-ピッキング!$T$3)</f>
        <v/>
      </c>
      <c r="F64" s="22" t="str">
        <f>IF(D64="","",D64-梱包!$T$3)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IF(梱包!$L$64="","",梱包!$L$64)</f>
        <v/>
      </c>
      <c r="E65" s="22" t="str">
        <f>IF(C65="","",C65-ピッキング!$T$3)</f>
        <v/>
      </c>
      <c r="F65" s="22" t="str">
        <f>IF(D65="","",D65-梱包!$T$3)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IF(梱包!$L$65="","",梱包!$L$65)</f>
        <v/>
      </c>
      <c r="E66" s="22" t="str">
        <f>IF(C66="","",C66-ピッキング!$T$3)</f>
        <v/>
      </c>
      <c r="F66" s="22" t="str">
        <f>IF(D66="","",D66-梱包!$T$3)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IF(梱包!$L$66="","",梱包!$L$66)</f>
        <v/>
      </c>
      <c r="E67" s="22" t="str">
        <f>IF(C67="","",C67-ピッキング!$T$3)</f>
        <v/>
      </c>
      <c r="F67" s="22" t="str">
        <f>IF(D67="","",D67-梱包!$T$3)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1" priority="1" operator="greaterThanOrEqual">
      <formula>0</formula>
    </cfRule>
    <cfRule type="cellIs" dxfId="0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tabSelected="1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322</v>
      </c>
    </row>
    <row r="3" spans="2:5" x14ac:dyDescent="0.15">
      <c r="B3" s="3" t="s">
        <v>323</v>
      </c>
    </row>
    <row r="5" spans="2:5" x14ac:dyDescent="0.15">
      <c r="B5" s="7" t="s">
        <v>127</v>
      </c>
    </row>
    <row r="7" spans="2:5" ht="20.100000000000001" customHeight="1" x14ac:dyDescent="0.15">
      <c r="B7" s="20" t="s">
        <v>324</v>
      </c>
      <c r="C7" s="20" t="s">
        <v>84</v>
      </c>
      <c r="D7" s="20" t="s">
        <v>85</v>
      </c>
      <c r="E7" s="20" t="s">
        <v>325</v>
      </c>
    </row>
    <row r="8" spans="2:5" x14ac:dyDescent="0.15">
      <c r="B8" s="47" t="s">
        <v>326</v>
      </c>
      <c r="C8" s="43">
        <v>15942</v>
      </c>
      <c r="D8" s="43">
        <v>200</v>
      </c>
      <c r="E8" s="24" t="s">
        <v>327</v>
      </c>
    </row>
    <row r="9" spans="2:5" x14ac:dyDescent="0.15">
      <c r="B9" s="47" t="s">
        <v>328</v>
      </c>
      <c r="C9" s="55">
        <v>2.35</v>
      </c>
      <c r="D9" s="55">
        <v>3.5</v>
      </c>
      <c r="E9" s="24" t="s">
        <v>329</v>
      </c>
    </row>
    <row r="10" spans="2:5" x14ac:dyDescent="0.15">
      <c r="B10" s="47" t="s">
        <v>330</v>
      </c>
      <c r="C10" s="56">
        <v>103.4</v>
      </c>
      <c r="D10" s="56">
        <v>109.2</v>
      </c>
      <c r="E10" s="24" t="s">
        <v>331</v>
      </c>
    </row>
    <row r="11" spans="2:5" x14ac:dyDescent="0.15">
      <c r="B11" s="47" t="s">
        <v>332</v>
      </c>
      <c r="C11" s="43">
        <v>140</v>
      </c>
      <c r="D11" s="43">
        <v>120</v>
      </c>
      <c r="E11" s="24" t="s">
        <v>333</v>
      </c>
    </row>
    <row r="13" spans="2:5" x14ac:dyDescent="0.15">
      <c r="B13" s="9" t="s">
        <v>334</v>
      </c>
    </row>
    <row r="14" spans="2:5" ht="20.100000000000001" customHeight="1" x14ac:dyDescent="0.15">
      <c r="B14" s="20" t="s">
        <v>83</v>
      </c>
      <c r="C14" s="20" t="s">
        <v>84</v>
      </c>
      <c r="D14" s="20" t="s">
        <v>85</v>
      </c>
      <c r="E14" s="20" t="s">
        <v>70</v>
      </c>
    </row>
    <row r="15" spans="2:5" x14ac:dyDescent="0.15">
      <c r="B15" s="25" t="s">
        <v>335</v>
      </c>
      <c r="C15" s="26">
        <f>IFERROR(C8/C9,"")</f>
        <v>6783.8297872340427</v>
      </c>
      <c r="D15" s="26">
        <f>IFERROR(D8/D9,"")</f>
        <v>57.142857142857146</v>
      </c>
      <c r="E15" s="24" t="s">
        <v>336</v>
      </c>
    </row>
    <row r="16" spans="2:5" x14ac:dyDescent="0.15">
      <c r="B16" s="25" t="s">
        <v>337</v>
      </c>
      <c r="C16" s="28">
        <f>IFERROR(設定!$E$6*C15/3600,"")</f>
        <v>173.55297872340427</v>
      </c>
      <c r="D16" s="28">
        <f>IFERROR(設定!$E$8*D15/3600,"")</f>
        <v>1.461904761904762</v>
      </c>
      <c r="E16" s="24" t="s">
        <v>338</v>
      </c>
    </row>
    <row r="17" spans="2:8" x14ac:dyDescent="0.15">
      <c r="B17" s="25" t="s">
        <v>339</v>
      </c>
      <c r="C17" s="28">
        <f>IFERROR(設定!$E$7*C8/3600,"")</f>
        <v>334.78199999999998</v>
      </c>
      <c r="D17" s="28">
        <f>IFERROR(設定!$E$9*D8/3600,"")</f>
        <v>3.8611111111111112</v>
      </c>
      <c r="E17" s="24" t="s">
        <v>340</v>
      </c>
    </row>
    <row r="18" spans="2:8" x14ac:dyDescent="0.15">
      <c r="B18" s="25" t="s">
        <v>341</v>
      </c>
      <c r="C18" s="28">
        <f>IFERROR(C16+C17,"")</f>
        <v>508.33497872340422</v>
      </c>
      <c r="D18" s="28">
        <f>IFERROR(D16+D17,"")</f>
        <v>5.3230158730158728</v>
      </c>
      <c r="E18" s="24" t="s">
        <v>342</v>
      </c>
    </row>
    <row r="19" spans="2:8" ht="14.25" x14ac:dyDescent="0.15">
      <c r="B19" s="29" t="s">
        <v>343</v>
      </c>
      <c r="C19" s="57">
        <f>IFERROR(C18/(C10/100),"")</f>
        <v>491.61990205358239</v>
      </c>
      <c r="D19" s="57">
        <f>IFERROR(D18/(D10/100),"")</f>
        <v>4.8745566602709456</v>
      </c>
      <c r="E19" s="24" t="s">
        <v>344</v>
      </c>
    </row>
    <row r="20" spans="2:8" ht="14.25" x14ac:dyDescent="0.15">
      <c r="B20" s="29" t="s">
        <v>345</v>
      </c>
      <c r="C20" s="46">
        <f>IFERROR(C19/C11,"")</f>
        <v>3.51157072895416</v>
      </c>
      <c r="D20" s="46">
        <f>IFERROR(D19/D11,"")</f>
        <v>4.0621305502257878E-2</v>
      </c>
      <c r="E20" s="24" t="s">
        <v>346</v>
      </c>
    </row>
    <row r="21" spans="2:8" x14ac:dyDescent="0.15">
      <c r="B21" s="25" t="s">
        <v>50</v>
      </c>
      <c r="C21" s="23">
        <f>IFERROR(C16/C18,"")</f>
        <v>0.34141459074733099</v>
      </c>
      <c r="D21" s="23">
        <f>IFERROR(D16/D18,"")</f>
        <v>0.27463843745340694</v>
      </c>
      <c r="E21" s="24" t="s">
        <v>347</v>
      </c>
    </row>
    <row r="23" spans="2:8" x14ac:dyDescent="0.15">
      <c r="B23" s="9" t="s">
        <v>348</v>
      </c>
    </row>
    <row r="24" spans="2:8" x14ac:dyDescent="0.15">
      <c r="B24" s="3" t="s">
        <v>349</v>
      </c>
    </row>
    <row r="26" spans="2:8" ht="20.100000000000001" customHeight="1" x14ac:dyDescent="0.15">
      <c r="B26" s="20" t="s">
        <v>177</v>
      </c>
      <c r="C26" s="20" t="s">
        <v>132</v>
      </c>
      <c r="D26" s="20" t="s">
        <v>350</v>
      </c>
      <c r="E26" s="20" t="s">
        <v>351</v>
      </c>
      <c r="F26" s="20" t="s">
        <v>352</v>
      </c>
      <c r="G26" s="20" t="s">
        <v>353</v>
      </c>
      <c r="H26" s="20" t="s">
        <v>354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407.84949999999998</v>
      </c>
      <c r="E27" s="28">
        <f>IFERROR(設定!$E$7*$C$8/3600,"")</f>
        <v>334.78199999999998</v>
      </c>
      <c r="F27" s="28">
        <f t="shared" ref="F27:F34" si="1">IFERROR(D27+E27,"")</f>
        <v>742.63149999999996</v>
      </c>
      <c r="G27" s="22">
        <f t="shared" ref="G27:G34" si="2">IFERROR(F27*3600/$C$8,"")</f>
        <v>167.7</v>
      </c>
      <c r="H27" s="22">
        <f t="shared" ref="H27:H34" si="3">IFERROR(F27/($C$10/100)/$C$11,"")</f>
        <v>5.1300877314175182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271.89966666666663</v>
      </c>
      <c r="E28" s="28">
        <f>IFERROR(設定!$E$7*$C$8/3600,"")</f>
        <v>334.78199999999998</v>
      </c>
      <c r="F28" s="28">
        <f t="shared" si="1"/>
        <v>606.68166666666662</v>
      </c>
      <c r="G28" s="22">
        <f t="shared" si="2"/>
        <v>137</v>
      </c>
      <c r="H28" s="22">
        <f t="shared" si="3"/>
        <v>4.1909482361610015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203.92474999999999</v>
      </c>
      <c r="E29" s="28">
        <f>IFERROR(設定!$E$7*$C$8/3600,"")</f>
        <v>334.78199999999998</v>
      </c>
      <c r="F29" s="28">
        <f t="shared" si="1"/>
        <v>538.70674999999994</v>
      </c>
      <c r="G29" s="22">
        <f t="shared" si="2"/>
        <v>121.64999999999999</v>
      </c>
      <c r="H29" s="22">
        <f t="shared" si="3"/>
        <v>3.7213784885327428</v>
      </c>
    </row>
    <row r="30" spans="2:8" x14ac:dyDescent="0.15">
      <c r="B30" s="27">
        <v>2.35</v>
      </c>
      <c r="C30" s="26">
        <f t="shared" si="0"/>
        <v>6783.8297872340427</v>
      </c>
      <c r="D30" s="28">
        <f>IFERROR(設定!$E$6*C30/3600,"")</f>
        <v>173.55297872340427</v>
      </c>
      <c r="E30" s="28">
        <f>IFERROR(設定!$E$7*$C$8/3600,"")</f>
        <v>334.78199999999998</v>
      </c>
      <c r="F30" s="28">
        <f t="shared" si="1"/>
        <v>508.33497872340422</v>
      </c>
      <c r="G30" s="22">
        <f t="shared" si="2"/>
        <v>114.79148936170212</v>
      </c>
      <c r="H30" s="22">
        <f t="shared" si="3"/>
        <v>3.51157072895416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135.94983333333332</v>
      </c>
      <c r="E31" s="28">
        <f>IFERROR(設定!$E$7*$C$8/3600,"")</f>
        <v>334.78199999999998</v>
      </c>
      <c r="F31" s="28">
        <f t="shared" si="1"/>
        <v>470.73183333333327</v>
      </c>
      <c r="G31" s="22">
        <f t="shared" si="2"/>
        <v>106.3</v>
      </c>
      <c r="H31" s="22">
        <f t="shared" si="3"/>
        <v>3.2518087409044849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101.96237499999999</v>
      </c>
      <c r="E32" s="28">
        <f>IFERROR(設定!$E$7*$C$8/3600,"")</f>
        <v>334.78199999999998</v>
      </c>
      <c r="F32" s="28">
        <f t="shared" si="1"/>
        <v>436.74437499999999</v>
      </c>
      <c r="G32" s="22">
        <f t="shared" si="2"/>
        <v>98.625</v>
      </c>
      <c r="H32" s="22">
        <f t="shared" si="3"/>
        <v>3.0170238670903564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81.569900000000004</v>
      </c>
      <c r="E33" s="28">
        <f>IFERROR(設定!$E$7*$C$8/3600,"")</f>
        <v>334.78199999999998</v>
      </c>
      <c r="F33" s="28">
        <f t="shared" si="1"/>
        <v>416.3519</v>
      </c>
      <c r="G33" s="22">
        <f t="shared" si="2"/>
        <v>94.02000000000001</v>
      </c>
      <c r="H33" s="22">
        <f t="shared" si="3"/>
        <v>2.8761529428018786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40.784950000000002</v>
      </c>
      <c r="E34" s="28">
        <f>IFERROR(設定!$E$7*$C$8/3600,"")</f>
        <v>334.78199999999998</v>
      </c>
      <c r="F34" s="28">
        <f t="shared" si="1"/>
        <v>375.56694999999996</v>
      </c>
      <c r="G34" s="22">
        <f t="shared" si="2"/>
        <v>84.809999999999988</v>
      </c>
      <c r="H34" s="22">
        <f t="shared" si="3"/>
        <v>2.5944110942249234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27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355</v>
      </c>
    </row>
    <row r="3" spans="2:7" x14ac:dyDescent="0.15">
      <c r="B3" s="3" t="s">
        <v>356</v>
      </c>
    </row>
    <row r="5" spans="2:7" x14ac:dyDescent="0.15">
      <c r="B5" s="20" t="s">
        <v>118</v>
      </c>
      <c r="C5" s="20" t="s">
        <v>357</v>
      </c>
      <c r="D5" s="20" t="s">
        <v>358</v>
      </c>
      <c r="E5" s="20" t="s">
        <v>359</v>
      </c>
      <c r="F5" s="20" t="s">
        <v>360</v>
      </c>
      <c r="G5" s="20" t="s">
        <v>72</v>
      </c>
    </row>
    <row r="6" spans="2:7" x14ac:dyDescent="0.15">
      <c r="B6" s="21" t="s">
        <v>84</v>
      </c>
      <c r="C6" s="50" t="s">
        <v>361</v>
      </c>
      <c r="D6" s="21" t="s">
        <v>362</v>
      </c>
      <c r="E6" s="56">
        <v>56.05</v>
      </c>
      <c r="F6" s="21" t="s">
        <v>363</v>
      </c>
      <c r="G6" s="24" t="inlineStr">
        <is>
          <t>① リストを見る 10.0 ＋ ④ 伝票を挟む 46.05</t>
        </is>
      </c>
    </row>
    <row r="7" spans="2:7" x14ac:dyDescent="0.15">
      <c r="B7" s="21" t="s">
        <v>84</v>
      </c>
      <c r="C7" s="50" t="s">
        <v>365</v>
      </c>
      <c r="D7" s="21" t="s">
        <v>366</v>
      </c>
      <c r="E7" s="56">
        <v>75.599999999999994</v>
      </c>
      <c r="F7" s="21" t="s">
        <v>367</v>
      </c>
      <c r="G7" s="24" t="s">
        <v>368</v>
      </c>
    </row>
    <row r="8" spans="2:7" x14ac:dyDescent="0.15">
      <c r="B8" s="21" t="s">
        <v>85</v>
      </c>
      <c r="C8" s="50" t="s">
        <v>361</v>
      </c>
      <c r="D8" s="21" t="s">
        <v>362</v>
      </c>
      <c r="E8" s="56">
        <v>92.1</v>
      </c>
      <c r="F8" s="21" t="s">
        <v>363</v>
      </c>
      <c r="G8" s="24" t="s">
        <v>369</v>
      </c>
    </row>
    <row r="9" spans="2:7" x14ac:dyDescent="0.15">
      <c r="B9" s="21" t="s">
        <v>85</v>
      </c>
      <c r="C9" s="50" t="s">
        <v>365</v>
      </c>
      <c r="D9" s="21" t="s">
        <v>366</v>
      </c>
      <c r="E9" s="56">
        <v>69.5</v>
      </c>
      <c r="F9" s="21" t="s">
        <v>367</v>
      </c>
      <c r="G9" s="24" t="s">
        <v>370</v>
      </c>
    </row>
    <row r="11" spans="2:7" x14ac:dyDescent="0.15">
      <c r="B11" s="9" t="s">
        <v>371</v>
      </c>
    </row>
    <row r="12" spans="2:7" x14ac:dyDescent="0.15">
      <c r="B12" s="3" t="s">
        <v>372</v>
      </c>
    </row>
    <row r="13" spans="2:7" x14ac:dyDescent="0.15">
      <c r="B13" s="20" t="s">
        <v>118</v>
      </c>
      <c r="C13" s="20" t="s">
        <v>83</v>
      </c>
      <c r="D13" s="20" t="s">
        <v>359</v>
      </c>
      <c r="E13" s="20" t="s">
        <v>325</v>
      </c>
    </row>
    <row r="14" spans="2:7" x14ac:dyDescent="0.15">
      <c r="B14" s="21" t="s">
        <v>84</v>
      </c>
      <c r="C14" s="21" t="s">
        <v>373</v>
      </c>
      <c r="D14" s="58">
        <v>215.1</v>
      </c>
      <c r="E14" s="24" t="s">
        <v>374</v>
      </c>
    </row>
    <row r="15" spans="2:7" x14ac:dyDescent="0.15">
      <c r="B15" s="21" t="s">
        <v>84</v>
      </c>
      <c r="C15" s="21" t="s">
        <v>375</v>
      </c>
      <c r="D15" s="58">
        <v>1513</v>
      </c>
      <c r="E15" s="24" t="s">
        <v>376</v>
      </c>
    </row>
    <row r="16" spans="2:7" x14ac:dyDescent="0.15">
      <c r="B16" s="21" t="s">
        <v>84</v>
      </c>
      <c r="C16" s="21" t="s">
        <v>377</v>
      </c>
      <c r="D16" s="58">
        <v>0.61</v>
      </c>
      <c r="E16" s="24" t="s">
        <v>378</v>
      </c>
    </row>
    <row r="17" spans="2:5" x14ac:dyDescent="0.15">
      <c r="B17" s="21" t="s">
        <v>85</v>
      </c>
      <c r="C17" s="21" t="s">
        <v>373</v>
      </c>
      <c r="D17" s="58">
        <v>809.8</v>
      </c>
      <c r="E17" s="24"/>
    </row>
    <row r="18" spans="2:5" x14ac:dyDescent="0.15">
      <c r="B18" s="21" t="s">
        <v>85</v>
      </c>
      <c r="C18" s="21" t="s">
        <v>375</v>
      </c>
      <c r="D18" s="58">
        <v>1311.7</v>
      </c>
      <c r="E18" s="24"/>
    </row>
    <row r="19" spans="2:5" x14ac:dyDescent="0.15">
      <c r="B19" s="21" t="s">
        <v>85</v>
      </c>
      <c r="C19" s="21" t="s">
        <v>377</v>
      </c>
      <c r="D19" s="58">
        <v>0.89</v>
      </c>
      <c r="E19" s="24"/>
    </row>
    <row r="21" spans="2:5" x14ac:dyDescent="0.15">
      <c r="B21" s="21" t="s">
        <v>379</v>
      </c>
      <c r="C21" s="55">
        <v>1.96</v>
      </c>
      <c r="D21" s="24" t="s">
        <v>380</v>
      </c>
    </row>
    <row r="23" spans="2:7" x14ac:dyDescent="0.15">
      <c r="B23" s="20" t="inlineStr">
        <is>
          <t>会社目標</t>
        </is>
      </c>
    </row>
    <row r="24" spans="2:7" x14ac:dyDescent="0.15">
      <c r="B24" s="24" t="inlineStr">
        <is>
          <t>会社が定めた1件あたりの目標時間です。工程ごとにそれぞれ 1.6 分。ここは変更しない前提の数字です。</t>
        </is>
      </c>
    </row>
    <row r="25" spans="2:7" x14ac:dyDescent="0.15">
      <c r="B25" s="20" t="inlineStr">
        <is>
          <t>工程</t>
        </is>
      </c>
      <c r="C25" s="20" t="inlineStr">
        <is>
          <t>目標</t>
        </is>
      </c>
      <c r="D25" s="20" t="inlineStr">
        <is>
          <t>単位</t>
        </is>
      </c>
      <c r="E25" s="20" t="inlineStr">
        <is>
          <t>秒に直すと</t>
        </is>
      </c>
    </row>
    <row r="26" spans="2:7" x14ac:dyDescent="0.15">
      <c r="B26" s="21" t="inlineStr">
        <is>
          <t>ピッキング</t>
        </is>
      </c>
      <c r="C26" s="56">
        <v>1.6</v>
      </c>
      <c r="D26" s="21" t="inlineStr">
        <is>
          <t>分/件</t>
        </is>
      </c>
      <c r="E26" s="56">
        <f>C26*60</f>
        <v>96.0</v>
      </c>
    </row>
    <row r="27" spans="2:7" x14ac:dyDescent="0.15">
      <c r="B27" s="21" t="inlineStr">
        <is>
          <t>梱包</t>
        </is>
      </c>
      <c r="C27" s="56">
        <v>1.6</v>
      </c>
      <c r="D27" s="21" t="inlineStr">
        <is>
          <t>分/件</t>
        </is>
      </c>
      <c r="E27" s="56">
        <f>C27*60</f>
        <v>96.0</v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4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381</v>
      </c>
    </row>
    <row r="4" spans="2:7" x14ac:dyDescent="0.15">
      <c r="B4" s="7" t="s">
        <v>127</v>
      </c>
    </row>
    <row r="6" spans="2:7" ht="14.25" x14ac:dyDescent="0.15">
      <c r="B6" s="59" t="s">
        <v>382</v>
      </c>
      <c r="C6" s="8" t="s">
        <v>383</v>
      </c>
    </row>
    <row r="7" spans="2:7" x14ac:dyDescent="0.15">
      <c r="C7" s="94" t="s">
        <v>384</v>
      </c>
      <c r="D7" s="77"/>
      <c r="E7" s="77"/>
      <c r="F7" s="77"/>
      <c r="G7" s="77"/>
    </row>
    <row r="8" spans="2:7" x14ac:dyDescent="0.15">
      <c r="C8" s="77"/>
      <c r="D8" s="77"/>
      <c r="E8" s="77"/>
      <c r="F8" s="77"/>
      <c r="G8" s="77"/>
    </row>
    <row r="10" spans="2:7" ht="14.25" x14ac:dyDescent="0.15">
      <c r="B10" s="59" t="s">
        <v>385</v>
      </c>
      <c r="C10" s="8" t="s">
        <v>386</v>
      </c>
    </row>
    <row r="11" spans="2:7" x14ac:dyDescent="0.15">
      <c r="C11" s="94" t="s">
        <v>387</v>
      </c>
      <c r="D11" s="77"/>
      <c r="E11" s="77"/>
      <c r="F11" s="77"/>
      <c r="G11" s="77"/>
    </row>
    <row r="12" spans="2:7" x14ac:dyDescent="0.15">
      <c r="C12" s="77"/>
      <c r="D12" s="77"/>
      <c r="E12" s="77"/>
      <c r="F12" s="77"/>
      <c r="G12" s="77"/>
    </row>
    <row r="14" spans="2:7" ht="14.25" x14ac:dyDescent="0.15">
      <c r="B14" s="59" t="s">
        <v>388</v>
      </c>
      <c r="C14" s="8" t="s">
        <v>389</v>
      </c>
    </row>
    <row r="15" spans="2:7" x14ac:dyDescent="0.15">
      <c r="C15" s="94" t="s">
        <v>390</v>
      </c>
      <c r="D15" s="77"/>
      <c r="E15" s="77"/>
      <c r="F15" s="77"/>
      <c r="G15" s="77"/>
    </row>
    <row r="16" spans="2:7" x14ac:dyDescent="0.15">
      <c r="C16" s="77"/>
      <c r="D16" s="77"/>
      <c r="E16" s="77"/>
      <c r="F16" s="77"/>
      <c r="G16" s="77"/>
    </row>
    <row r="19" spans="2:7" x14ac:dyDescent="0.15">
      <c r="B19" s="9" t="s">
        <v>391</v>
      </c>
    </row>
    <row r="20" spans="2:7" x14ac:dyDescent="0.15">
      <c r="B20" s="20" t="s">
        <v>392</v>
      </c>
      <c r="C20" s="20" t="s">
        <v>393</v>
      </c>
    </row>
    <row r="21" spans="2:7" x14ac:dyDescent="0.15">
      <c r="B21" s="29" t="s">
        <v>394</v>
      </c>
      <c r="C21" s="93" t="s">
        <v>395</v>
      </c>
      <c r="D21" s="68"/>
      <c r="E21" s="68"/>
      <c r="F21" s="68"/>
      <c r="G21" s="69"/>
    </row>
    <row r="22" spans="2:7" x14ac:dyDescent="0.15">
      <c r="B22" s="29" t="s">
        <v>396</v>
      </c>
      <c r="C22" s="93" t="s">
        <v>397</v>
      </c>
      <c r="D22" s="68"/>
      <c r="E22" s="68"/>
      <c r="F22" s="68"/>
      <c r="G22" s="69"/>
    </row>
    <row r="23" spans="2:7" x14ac:dyDescent="0.15">
      <c r="B23" s="29" t="s">
        <v>398</v>
      </c>
      <c r="C23" s="93" t="s">
        <v>399</v>
      </c>
      <c r="D23" s="68"/>
      <c r="E23" s="68"/>
      <c r="F23" s="68"/>
      <c r="G23" s="69"/>
    </row>
    <row r="24" spans="2:7" x14ac:dyDescent="0.15">
      <c r="B24" s="29" t="s">
        <v>267</v>
      </c>
      <c r="C24" s="93" t="s">
        <v>400</v>
      </c>
      <c r="D24" s="68"/>
      <c r="E24" s="68"/>
      <c r="F24" s="68"/>
      <c r="G24" s="69"/>
    </row>
    <row r="25" spans="2:7" x14ac:dyDescent="0.15">
      <c r="B25" s="29" t="s">
        <v>50</v>
      </c>
      <c r="C25" s="93" t="s">
        <v>401</v>
      </c>
      <c r="D25" s="68"/>
      <c r="E25" s="68"/>
      <c r="F25" s="68"/>
      <c r="G25" s="69"/>
    </row>
    <row r="26" spans="2:7" x14ac:dyDescent="0.15">
      <c r="B26" s="29" t="s">
        <v>402</v>
      </c>
      <c r="C26" s="93" t="s">
        <v>403</v>
      </c>
      <c r="D26" s="68"/>
      <c r="E26" s="68"/>
      <c r="F26" s="68"/>
      <c r="G26" s="69"/>
    </row>
    <row r="27" spans="2:7" x14ac:dyDescent="0.15">
      <c r="B27" s="29" t="s">
        <v>404</v>
      </c>
      <c r="C27" s="93" t="s">
        <v>405</v>
      </c>
      <c r="D27" s="68"/>
      <c r="E27" s="68"/>
      <c r="F27" s="68"/>
      <c r="G27" s="69"/>
    </row>
    <row r="28" spans="2:7" x14ac:dyDescent="0.15">
      <c r="B28" s="29" t="s">
        <v>268</v>
      </c>
      <c r="C28" s="93" t="s">
        <v>406</v>
      </c>
      <c r="D28" s="68"/>
      <c r="E28" s="68"/>
      <c r="F28" s="68"/>
      <c r="G28" s="69"/>
    </row>
    <row r="29" spans="2:7" x14ac:dyDescent="0.15">
      <c r="B29" s="29" t="s">
        <v>407</v>
      </c>
      <c r="C29" s="93" t="s">
        <v>408</v>
      </c>
      <c r="D29" s="68"/>
      <c r="E29" s="68"/>
      <c r="F29" s="68"/>
      <c r="G29" s="69"/>
    </row>
    <row r="30" spans="2:7" x14ac:dyDescent="0.15">
      <c r="B30" s="29" t="s">
        <v>186</v>
      </c>
      <c r="C30" s="93" t="s">
        <v>409</v>
      </c>
      <c r="D30" s="68"/>
      <c r="E30" s="68"/>
      <c r="F30" s="68"/>
      <c r="G30" s="69"/>
    </row>
    <row r="31" spans="2:7" x14ac:dyDescent="0.15">
      <c r="B31" s="29" t="s">
        <v>410</v>
      </c>
      <c r="C31" s="93" t="s">
        <v>411</v>
      </c>
      <c r="D31" s="68"/>
      <c r="E31" s="68"/>
      <c r="F31" s="68"/>
      <c r="G31" s="69"/>
    </row>
    <row r="32" spans="2:7" x14ac:dyDescent="0.15">
      <c r="B32" s="29" t="s">
        <v>412</v>
      </c>
      <c r="C32" s="93" t="s">
        <v>413</v>
      </c>
      <c r="D32" s="68"/>
      <c r="E32" s="68"/>
      <c r="F32" s="68"/>
      <c r="G32" s="69"/>
    </row>
    <row r="35" spans="2:7" x14ac:dyDescent="0.15">
      <c r="B35" s="9" t="s">
        <v>414</v>
      </c>
    </row>
    <row r="36" spans="2:7" x14ac:dyDescent="0.15">
      <c r="B36" s="96" t="s">
        <v>415</v>
      </c>
      <c r="C36" s="77"/>
      <c r="D36" s="77"/>
      <c r="E36" s="77"/>
      <c r="F36" s="77"/>
      <c r="G36" s="77"/>
    </row>
    <row r="37" spans="2:7" x14ac:dyDescent="0.15">
      <c r="B37" s="96" t="s">
        <v>416</v>
      </c>
      <c r="C37" s="77"/>
      <c r="D37" s="77"/>
      <c r="E37" s="77"/>
      <c r="F37" s="77"/>
      <c r="G37" s="77"/>
    </row>
    <row r="38" spans="2:7" x14ac:dyDescent="0.15">
      <c r="B38" s="96" t="s">
        <v>417</v>
      </c>
      <c r="C38" s="77"/>
      <c r="D38" s="77"/>
      <c r="E38" s="77"/>
      <c r="F38" s="77"/>
      <c r="G38" s="77"/>
    </row>
    <row r="39" spans="2:7" x14ac:dyDescent="0.15">
      <c r="B39" s="96" t="s">
        <v>418</v>
      </c>
      <c r="C39" s="77"/>
      <c r="D39" s="77"/>
      <c r="E39" s="77"/>
      <c r="F39" s="77"/>
      <c r="G39" s="77"/>
    </row>
    <row r="40" spans="2:7" x14ac:dyDescent="0.15">
      <c r="B40" s="96" t="s">
        <v>419</v>
      </c>
      <c r="C40" s="77"/>
      <c r="D40" s="77"/>
      <c r="E40" s="77"/>
      <c r="F40" s="77"/>
      <c r="G40" s="77"/>
    </row>
    <row r="41" spans="2:7" x14ac:dyDescent="0.15">
      <c r="B41" s="96" t="s">
        <v>420</v>
      </c>
      <c r="C41" s="77"/>
      <c r="D41" s="77"/>
      <c r="E41" s="77"/>
      <c r="F41" s="77"/>
      <c r="G41" s="77"/>
    </row>
    <row r="42" spans="2:7" x14ac:dyDescent="0.15">
      <c r="B42" s="92" t="s">
        <v>421</v>
      </c>
      <c r="C42" s="77"/>
      <c r="D42" s="77"/>
      <c r="E42" s="77"/>
      <c r="F42" s="77"/>
      <c r="G42" s="77"/>
    </row>
    <row r="43" spans="2:7" x14ac:dyDescent="0.15">
      <c r="B43" s="95" t="s">
        <v>422</v>
      </c>
      <c r="C43" s="77"/>
      <c r="D43" s="77"/>
      <c r="E43" s="77"/>
      <c r="F43" s="77"/>
      <c r="G43" s="77"/>
    </row>
    <row r="44" spans="2:7" x14ac:dyDescent="0.15">
      <c r="B44" s="95" t="s">
        <v>423</v>
      </c>
      <c r="C44" s="77"/>
      <c r="D44" s="77"/>
      <c r="E44" s="77"/>
      <c r="F44" s="77"/>
      <c r="G44" s="77"/>
    </row>
  </sheetData>
  <mergeCells count="24"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  <mergeCell ref="C30:G30"/>
    <mergeCell ref="B42:G42"/>
    <mergeCell ref="C24:G24"/>
    <mergeCell ref="C11:G12"/>
    <mergeCell ref="B44:G44"/>
    <mergeCell ref="C26:G26"/>
    <mergeCell ref="B38:G38"/>
    <mergeCell ref="C29:G29"/>
    <mergeCell ref="B41:G41"/>
    <mergeCell ref="B43:G43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L62"/>
  <sheetViews>
    <sheetView workbookViewId="0"/>
  </sheetViews>
  <sheetFormatPr defaultRowHeight="13.5" x14ac:dyDescent="0.15"/>
  <cols>
    <col min="1" max="64" width="11" customWidth="1"/>
  </cols>
  <sheetData>
    <row r="1" spans="1:64" ht="16.5" x14ac:dyDescent="0.35">
      <c r="A1" s="60" t="s">
        <v>0</v>
      </c>
      <c r="W1" s="39" t="s">
        <v>424</v>
      </c>
      <c r="X1" s="39" t="s">
        <v>425</v>
      </c>
      <c r="Y1" s="39" t="s">
        <v>426</v>
      </c>
      <c r="Z1" s="39" t="s">
        <v>427</v>
      </c>
      <c r="AZ1" s="39" t="inlineStr">
        <is>
          <t>帯線横X</t>
        </is>
      </c>
      <c r="BA1" s="39" t="inlineStr">
        <is>
          <t>帯線横Y</t>
        </is>
      </c>
      <c r="BB1" s="39" t="inlineStr">
        <is>
          <t>帯線縦X</t>
        </is>
      </c>
      <c r="BC1" s="39" t="inlineStr">
        <is>
          <t>帯線縦Y</t>
        </is>
      </c>
    </row>
    <row r="2" spans="1:64" ht="16.5" x14ac:dyDescent="0.35">
      <c r="A2" s="39" t="s">
        <v>428</v>
      </c>
      <c r="B2" s="39" t="s">
        <v>316</v>
      </c>
      <c r="C2" s="39" t="s">
        <v>317</v>
      </c>
      <c r="D2" s="39" t="s">
        <v>429</v>
      </c>
      <c r="E2" s="39" t="s">
        <v>430</v>
      </c>
      <c r="F2" s="39" t="s">
        <v>431</v>
      </c>
      <c r="G2" s="39" t="s">
        <v>432</v>
      </c>
      <c r="H2" s="39" t="s">
        <v>11</v>
      </c>
      <c r="I2" s="39" t="s">
        <v>12</v>
      </c>
      <c r="J2" s="39" t="s">
        <v>433</v>
      </c>
      <c r="K2" s="39" t="s">
        <v>434</v>
      </c>
      <c r="L2" s="39" t="s">
        <v>435</v>
      </c>
      <c r="M2" s="39" t="s">
        <v>436</v>
      </c>
      <c r="N2" s="39" t="s">
        <v>437</v>
      </c>
      <c r="O2" s="39" t="s">
        <v>121</v>
      </c>
      <c r="P2" s="39" t="s">
        <v>438</v>
      </c>
      <c r="Q2" s="39" t="s">
        <v>439</v>
      </c>
      <c r="R2" s="39" t="s">
        <v>440</v>
      </c>
      <c r="S2" s="39" t="s">
        <v>441</v>
      </c>
      <c r="T2" s="39" t="s">
        <v>442</v>
      </c>
      <c r="U2" s="39" t="s">
        <v>443</v>
      </c>
      <c r="W2" s="61">
        <v>100</v>
      </c>
      <c r="X2" s="61">
        <v>40</v>
      </c>
      <c r="Y2" s="61">
        <v>40</v>
      </c>
      <c r="Z2" s="61">
        <v>100</v>
      </c>
      <c r="AB2" s="39" t="s">
        <v>444</v>
      </c>
      <c r="AC2" s="39" t="s">
        <v>445</v>
      </c>
      <c r="AD2" s="39" t="s">
        <v>446</v>
      </c>
      <c r="AE2" s="39" t="s">
        <v>118</v>
      </c>
      <c r="AF2" s="39" t="s">
        <v>121</v>
      </c>
      <c r="AG2" s="39" t="s">
        <v>434</v>
      </c>
      <c r="AH2" s="39" t="s">
        <v>435</v>
      </c>
      <c r="AI2" s="39" t="s">
        <v>436</v>
      </c>
      <c r="AJ2" s="39" t="s">
        <v>437</v>
      </c>
      <c r="AK2" s="39" t="s">
        <v>447</v>
      </c>
      <c r="AL2" s="39" t="s">
        <v>448</v>
      </c>
      <c r="AM2" s="39" t="s">
        <v>449</v>
      </c>
      <c r="AN2" s="39" t="s">
        <v>438</v>
      </c>
      <c r="AO2" s="39" t="s">
        <v>450</v>
      </c>
      <c r="AP2" s="39" t="s">
        <v>440</v>
      </c>
      <c r="AQ2" s="39" t="s">
        <v>441</v>
      </c>
      <c r="AR2" s="39" t="s">
        <v>442</v>
      </c>
      <c r="AS2" s="39" t="s">
        <v>439</v>
      </c>
      <c r="AT2" s="39" t="s">
        <v>451</v>
      </c>
      <c r="AU2" s="39" t="s">
        <v>452</v>
      </c>
      <c r="AV2" s="39" t="s">
        <v>443</v>
      </c>
      <c r="AW2" s="39" t="inlineStr">
        <is>
          <t>片方x</t>
        </is>
      </c>
      <c r="AX2" s="39" t="inlineStr">
        <is>
          <t>片方y</t>
        </is>
      </c>
      <c r="AY2" s="39" t="inlineStr">
        <is>
          <t>片方通番</t>
        </is>
      </c>
      <c r="BD2" s="39" t="inlineStr">
        <is>
          <t>軸外</t>
        </is>
      </c>
      <c r="BF2" s="39" t="inlineStr">
        <is>
          <t>優先順 氏名</t>
        </is>
      </c>
      <c r="BG2" s="39" t="inlineStr">
        <is>
          <t>優先順 PK</t>
        </is>
      </c>
      <c r="BH2" s="39" t="inlineStr">
        <is>
          <t>優先順 梱包</t>
        </is>
      </c>
      <c r="BI2" s="39" t="inlineStr">
        <is>
          <t>目標</t>
        </is>
      </c>
      <c r="AZ2" s="39">
        <v>10</v>
      </c>
      <c r="BA2" s="39">
        <v>40</v>
      </c>
      <c r="BB2" s="39">
        <v>40</v>
      </c>
      <c r="BC2" s="39">
        <v>10</v>
      </c>
      <c r="BK2" s="39" t="inlineStr">
        <is>
          <t>会社目標(分/件)</t>
        </is>
      </c>
      <c r="BL2" s="62">
        <f>設定!$C$26</f>
        <v>1.6</v>
      </c>
    </row>
    <row r="3" spans="1:64" ht="16.5" x14ac:dyDescent="0.35">
      <c r="A3" s="61" t="str">
        <f>IF(ピッキング!$B$7="","",ピッキング!$B$7)</f>
        <v>本吉有美子</v>
      </c>
      <c r="B3" s="62">
        <f>IF(ピッキング!$K$7="","",ピッキング!$K$7)</f>
        <v>136.58407297830374</v>
      </c>
      <c r="C3" s="62">
        <f>IF(梱包!$K$7="","",梱包!$K$7)</f>
        <v>149.67602924201614</v>
      </c>
      <c r="D3" s="61">
        <f>IF(ピッキング!$I$7="","",ピッキング!$I$7)</f>
        <v>2769.9250000000002</v>
      </c>
      <c r="E3" s="61">
        <f>IF(ピッキング!$D$7="","",ピッキング!$D$7)</f>
        <v>2028</v>
      </c>
      <c r="F3" s="61">
        <f>IF(梱包!$I$7="","",梱包!$I$7)</f>
        <v>3890.08</v>
      </c>
      <c r="G3" s="61">
        <f>IF(梱包!$D$7="","",梱包!$D$7)</f>
        <v>2599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143.93786470715366</v>
      </c>
      <c r="K3" s="61" t="str">
        <f t="shared" ref="K3:K34" si="2">IFERROR(INDEX($A$3:$A$62,MATCH(ROW()-2,$I$3:$I$62,0)),"")</f>
        <v>本吉有美子</v>
      </c>
      <c r="L3" s="62">
        <f t="shared" ref="L3:L34" si="3">IFERROR(INDEX($B$3:$B$62,MATCH(ROW()-2,$I$3:$I$62,0)),"")</f>
        <v>136.58407297830374</v>
      </c>
      <c r="M3" s="62">
        <f t="shared" ref="M3:M34" si="4">IFERROR(INDEX($C$3:$C$62,MATCH(ROW()-2,$I$3:$I$62,0)),"")</f>
        <v>149.67602924201614</v>
      </c>
      <c r="N3" s="62">
        <f t="shared" ref="N3:N34" si="5">IFERROR(INDEX($J$3:$J$62,MATCH(ROW()-2,$I$3:$I$62,0)),"")</f>
        <v>143.93786470715366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143.93786470715366</v>
      </c>
      <c r="R3" s="61" t="str">
        <f t="shared" ref="R3:R34" si="8">IFERROR(INDEX($K$3:$K$62,MATCH(Q3,$N$3:$N$62,0)),"")</f>
        <v>本吉有美子</v>
      </c>
      <c r="S3" s="62">
        <f t="shared" ref="S3:S34" si="9">IFERROR(INDEX($L$3:$L$62,MATCH(Q3,$N$3:$N$62,0)),"")</f>
        <v>136.58407297830374</v>
      </c>
      <c r="T3" s="62">
        <f t="shared" ref="T3:T34" si="10">IFERROR(INDEX($M$3:$M$62,MATCH(Q3,$N$3:$N$62,0)),"")</f>
        <v>149.67602924201614</v>
      </c>
      <c r="U3" s="61">
        <f t="shared" ref="U3:U34" si="11">IF(R3="","",100)</f>
        <v>100</v>
      </c>
      <c r="W3" s="61">
        <v>100</v>
      </c>
      <c r="X3" s="61">
        <v>190</v>
      </c>
      <c r="Y3" s="61">
        <v>190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143.93786470715366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本吉有美子</v>
      </c>
      <c r="AH3" s="62">
        <f t="shared" ref="AH3:AH34" si="17">IFERROR(INDEX($B$3:$B$62,MATCH(ROW()-2,$AC$3:$AC$62,0)),"")</f>
        <v>136.58407297830374</v>
      </c>
      <c r="AI3" s="62">
        <f t="shared" ref="AI3:AI34" si="18">IFERROR(INDEX($C$3:$C$62,MATCH(ROW()-2,$AC$3:$AC$62,0)),"")</f>
        <v>149.67602924201614</v>
      </c>
      <c r="AJ3" s="62">
        <f t="shared" ref="AJ3:AJ34" si="19">IFERROR(INDEX($AD$3:$AD$62,MATCH(ROW()-2,$AC$3:$AC$62,0)),"")</f>
        <v>143.93786470715366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143.93786770715366</v>
      </c>
      <c r="AN3" s="61">
        <v>1</v>
      </c>
      <c r="AO3" s="61">
        <f t="shared" ref="AO3:AO34" si="23">IFERROR(LARGE($AM$3:$AM$62,AN3),"")</f>
        <v>143.93786770715366</v>
      </c>
      <c r="AP3" s="61" t="str">
        <f t="shared" ref="AP3:AP34" si="24">IFERROR(INDEX($AG$3:$AG$62,MATCH(AO3,$AM$3:$AM$62,0)),"")</f>
        <v>本吉有美子</v>
      </c>
      <c r="AQ3" s="62">
        <f t="shared" ref="AQ3:AQ34" si="25">IFERROR(INDEX($AH$3:$AH$62,MATCH(AO3,$AM$3:$AM$62,0)),"")</f>
        <v>136.58407297830374</v>
      </c>
      <c r="AR3" s="62">
        <f t="shared" ref="AR3:AR34" si="26">IFERROR(INDEX($AI$3:$AI$62,MATCH(AO3,$AM$3:$AM$62,0)),"")</f>
        <v>149.67602924201614</v>
      </c>
      <c r="AS3" s="62">
        <f t="shared" ref="AS3:AS34" si="27">IFERROR(INDEX($AJ$3:$AJ$62,MATCH(AO3,$AM$3:$AM$62,0)),"")</f>
        <v>143.93786470715366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IF(AP3="","",100)</f>
        <v>100</v>
      </c>
      <c r="AW3" s="62" t="str">
        <f>IF($AY3="","",IF($AK3="PKのみ",$AH3,CHOOSE(MOD($AY3-1,6)+1,12,17,22,27,32,37)))</f>
        <v/>
      </c>
      <c r="AX3" s="62" t="str">
        <f>IF($AY3="","",IF($AK3="PKのみ",CHOOSE(MOD($AY3-1,6)+1,12,17,22,27,32,37),$AI3))</f>
        <v/>
      </c>
      <c r="AY3" s="62" t="str">
        <f>IF($AK3="PKのみ",COUNTIFS($AK$3:$AK$62,"PKのみ",$AH$3:$AH$62,"&lt;"&amp;$AH3)+1,IF($AK3="梱包のみ",COUNTIFS($AK$3:$AK$62,"梱包のみ",$AI$3:$AI$62,"&lt;"&amp;$AI3)+1,""))</f>
        <v/>
      </c>
      <c r="AZ3" s="39">
        <v>190</v>
      </c>
      <c r="BA3" s="39">
        <v>40</v>
      </c>
      <c r="BB3" s="39">
        <v>40</v>
      </c>
      <c r="BC3" s="39">
        <v>190</v>
      </c>
      <c r="BD3" s="62">
        <f>IF($AG3="","",IF(OR(AND(ISNUMBER($AH3),OR($AH3&lt;10,$AH3&gt;190)),AND(ISNUMBER($AI3),OR($AI3&lt;10,$AI3&gt;190))),1,0))</f>
        <v>0</v>
      </c>
      <c r="BF3" s="61" t="str">
        <f>IFERROR(INDEX($AG$3:$AG$62,MATCH(SMALL($AM$3:$AM$62,ROW()-2),$AM$3:$AM$62,0)),"")</f>
        <v>平田学</v>
      </c>
      <c r="BG3" s="62">
        <f>IFERROR(INDEX($AH$3:$AH$62,MATCH(SMALL($AM$3:$AM$62,ROW()-2),$AM$3:$AM$62,0)),"")</f>
        <v>56.60244897959183</v>
      </c>
      <c r="BH3" s="61" t="str">
        <f>IFERROR(INDEX($AI$3:$AI$62,MATCH(SMALL($AM$3:$AM$62,ROW()-2),$AM$3:$AM$62,0)),"")</f>
        <v/>
      </c>
      <c r="BI3" s="62">
        <f>IF($BF3="","",100)</f>
        <v>100</v>
      </c>
      <c r="BK3" s="39" t="inlineStr">
        <is>
          <t>PK 総件数</t>
        </is>
      </c>
      <c r="BL3" s="62">
        <f>SUM(ピッキング!$C$7:$C$66)</f>
        <v>21249</v>
      </c>
    </row>
    <row r="4" spans="1:64" ht="16.5" x14ac:dyDescent="0.35">
      <c r="A4" s="61" t="str">
        <f>IF(ピッキング!$B$8="","",ピッキング!$B$8)</f>
        <v>澤田凌</v>
      </c>
      <c r="B4" s="62">
        <f>IF(ピッキング!$K$8="","",ピッキング!$K$8)</f>
        <v>138.51606425702809</v>
      </c>
      <c r="C4" s="62">
        <f>IF(梱包!$K$8="","",梱包!$K$8)</f>
        <v>72.980283224400878</v>
      </c>
      <c r="D4" s="61">
        <f>IF(ピッキング!$I$8="","",ピッキング!$I$8)</f>
        <v>1724.5249999999999</v>
      </c>
      <c r="E4" s="61">
        <f>IF(ピッキング!$D$8="","",ピッキング!$D$8)</f>
        <v>1245</v>
      </c>
      <c r="F4" s="61">
        <f>IF(梱包!$I$8="","",梱包!$I$8)</f>
        <v>1116.5983333333334</v>
      </c>
      <c r="G4" s="61">
        <f>IF(梱包!$D$8="","",梱包!$D$8)</f>
        <v>1530</v>
      </c>
      <c r="H4" s="61">
        <f t="shared" si="0"/>
        <v>1</v>
      </c>
      <c r="I4" s="61">
        <f>IF(H4=1,SUM(H$3:H4),"")</f>
        <v>2</v>
      </c>
      <c r="J4" s="62">
        <f t="shared" si="1"/>
        <v>102.3828228228228</v>
      </c>
      <c r="K4" s="61" t="str">
        <f t="shared" si="2"/>
        <v>澤田凌</v>
      </c>
      <c r="L4" s="62">
        <f t="shared" si="3"/>
        <v>138.51606425702809</v>
      </c>
      <c r="M4" s="62">
        <f t="shared" si="4"/>
        <v>72.980283224400878</v>
      </c>
      <c r="N4" s="62">
        <f t="shared" si="5"/>
        <v>102.3828228228228</v>
      </c>
      <c r="O4" s="61" t="str">
        <f t="shared" si="6"/>
        <v>梱包手順を改善</v>
      </c>
      <c r="P4" s="61">
        <v>2</v>
      </c>
      <c r="Q4" s="62">
        <f t="shared" si="7"/>
        <v>133.65802735781136</v>
      </c>
      <c r="R4" s="61" t="str">
        <f t="shared" si="8"/>
        <v>佐々木千恵</v>
      </c>
      <c r="S4" s="62">
        <f t="shared" si="9"/>
        <v>106.39972273567466</v>
      </c>
      <c r="T4" s="62">
        <f t="shared" si="10"/>
        <v>171.96125541125542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102.3828228228228</v>
      </c>
      <c r="AE4" s="61" t="str">
        <f t="shared" si="14"/>
        <v>両方</v>
      </c>
      <c r="AF4" s="61" t="str">
        <f t="shared" si="15"/>
        <v>梱包手順を改善</v>
      </c>
      <c r="AG4" s="61" t="str">
        <f t="shared" si="16"/>
        <v>澤田凌</v>
      </c>
      <c r="AH4" s="62">
        <f t="shared" si="17"/>
        <v>138.51606425702809</v>
      </c>
      <c r="AI4" s="62">
        <f t="shared" si="18"/>
        <v>72.980283224400878</v>
      </c>
      <c r="AJ4" s="62">
        <f t="shared" si="19"/>
        <v>102.3828228228228</v>
      </c>
      <c r="AK4" s="61" t="str">
        <f t="shared" si="20"/>
        <v>両方</v>
      </c>
      <c r="AL4" s="61" t="str">
        <f t="shared" si="21"/>
        <v>梱包手順を改善</v>
      </c>
      <c r="AM4" s="61">
        <f t="shared" si="22"/>
        <v>102.38282682282281</v>
      </c>
      <c r="AN4" s="61">
        <v>2</v>
      </c>
      <c r="AO4" s="61">
        <f t="shared" si="23"/>
        <v>133.65804035781136</v>
      </c>
      <c r="AP4" s="61" t="str">
        <f t="shared" si="24"/>
        <v>佐々木千恵</v>
      </c>
      <c r="AQ4" s="62">
        <f t="shared" si="25"/>
        <v>106.39972273567466</v>
      </c>
      <c r="AR4" s="62">
        <f t="shared" si="26"/>
        <v>171.96125541125542</v>
      </c>
      <c r="AS4" s="62">
        <f t="shared" si="27"/>
        <v>133.65802735781136</v>
      </c>
      <c r="AT4" s="61" t="str">
        <f t="shared" si="28"/>
        <v>両方</v>
      </c>
      <c r="AU4" s="61" t="str">
        <f t="shared" si="29"/>
        <v>目標達成</v>
      </c>
      <c r="AV4" s="61">
        <f t="shared" si="30"/>
        <v>100</v>
      </c>
      <c r="AW4" s="62" t="str">
        <f>IF($AY4="","",IF($AK4="PKのみ",$AH4,CHOOSE(MOD($AY4-1,6)+1,12,17,22,27,32,37)))</f>
        <v/>
      </c>
      <c r="AX4" s="62" t="str">
        <f>IF($AY4="","",IF($AK4="PKのみ",CHOOSE(MOD($AY4-1,6)+1,12,17,22,27,32,37),$AI4))</f>
        <v/>
      </c>
      <c r="AY4" s="62" t="str">
        <f>IF($AK4="PKのみ",COUNTIFS($AK$3:$AK$62,"PKのみ",$AH$3:$AH$62,"&lt;"&amp;$AH4)+1,IF($AK4="梱包のみ",COUNTIFS($AK$3:$AK$62,"梱包のみ",$AI$3:$AI$62,"&lt;"&amp;$AI4)+1,""))</f>
        <v/>
      </c>
      <c r="BD4" s="62">
        <f>IF($AG4="","",IF(OR(AND(ISNUMBER($AH4),OR($AH4&lt;10,$AH4&gt;190)),AND(ISNUMBER($AI4),OR($AI4&lt;10,$AI4&gt;190))),1,0))</f>
        <v>0</v>
      </c>
      <c r="BF4" s="61" t="str">
        <f>IFERROR(INDEX($AG$3:$AG$62,MATCH(SMALL($AM$3:$AM$62,ROW()-2),$AM$3:$AM$62,0)),"")</f>
        <v>森田美加</v>
      </c>
      <c r="BG4" s="62">
        <f>IFERROR(INDEX($AH$3:$AH$62,MATCH(SMALL($AM$3:$AM$62,ROW()-2),$AM$3:$AM$62,0)),"")</f>
        <v>98.22111111111111</v>
      </c>
      <c r="BH4" s="62">
        <f>IFERROR(INDEX($AI$3:$AI$62,MATCH(SMALL($AM$3:$AM$62,ROW()-2),$AM$3:$AM$62,0)),"")</f>
        <v>52.27737789203085</v>
      </c>
      <c r="BI4" s="62">
        <f>IF($BF4="","",100)</f>
        <v>100</v>
      </c>
      <c r="BK4" s="39" t="inlineStr">
        <is>
          <t>PK 総企業数</t>
        </is>
      </c>
      <c r="BL4" s="62">
        <f>SUM(ピッキング!$E$7:$E$66)</f>
        <v>9114</v>
      </c>
    </row>
    <row r="5" spans="1:64" ht="16.5" x14ac:dyDescent="0.35">
      <c r="A5" s="61" t="str">
        <f>IF(ピッキング!$B$9="","",ピッキング!$B$9)</f>
        <v>大江美記子</v>
      </c>
      <c r="B5" s="62">
        <f>IF(ピッキング!$K$9="","",ピッキング!$K$9)</f>
        <v>128.62508143322475</v>
      </c>
      <c r="C5" s="62">
        <f>IF(梱包!$K$9="","",梱包!$K$9)</f>
        <v>132.88643790849673</v>
      </c>
      <c r="D5" s="61">
        <f>IF(ピッキング!$I$9="","",ピッキング!$I$9)</f>
        <v>1974.395</v>
      </c>
      <c r="E5" s="61">
        <f>IF(ピッキング!$D$9="","",ピッキング!$D$9)</f>
        <v>1535</v>
      </c>
      <c r="F5" s="61">
        <f>IF(梱包!$I$9="","",梱包!$I$9)</f>
        <v>4066.3249999999998</v>
      </c>
      <c r="G5" s="61">
        <f>IF(梱包!$D$9="","",梱包!$D$9)</f>
        <v>3060</v>
      </c>
      <c r="H5" s="61">
        <f t="shared" si="0"/>
        <v>1</v>
      </c>
      <c r="I5" s="61">
        <f>IF(H5=1,SUM(H$3:H5),"")</f>
        <v>3</v>
      </c>
      <c r="J5" s="62">
        <f t="shared" si="1"/>
        <v>131.46289445048964</v>
      </c>
      <c r="K5" s="61" t="str">
        <f t="shared" si="2"/>
        <v>大江美記子</v>
      </c>
      <c r="L5" s="62">
        <f t="shared" si="3"/>
        <v>128.62508143322475</v>
      </c>
      <c r="M5" s="62">
        <f t="shared" si="4"/>
        <v>132.88643790849673</v>
      </c>
      <c r="N5" s="62">
        <f t="shared" si="5"/>
        <v>131.46289445048964</v>
      </c>
      <c r="O5" s="61" t="str">
        <f t="shared" si="6"/>
        <v>目標達成</v>
      </c>
      <c r="P5" s="61">
        <v>3</v>
      </c>
      <c r="Q5" s="62">
        <f t="shared" si="7"/>
        <v>131.99835575485798</v>
      </c>
      <c r="R5" s="61" t="str">
        <f t="shared" si="8"/>
        <v>佐藤辰成</v>
      </c>
      <c r="S5" s="62">
        <f t="shared" si="9"/>
        <v>131.80246913580245</v>
      </c>
      <c r="T5" s="62">
        <f t="shared" si="10"/>
        <v>132.51857923497266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131.46289445048964</v>
      </c>
      <c r="AE5" s="61" t="str">
        <f t="shared" si="14"/>
        <v>両方</v>
      </c>
      <c r="AF5" s="61" t="str">
        <f t="shared" si="15"/>
        <v>目標達成</v>
      </c>
      <c r="AG5" s="61" t="str">
        <f t="shared" si="16"/>
        <v>大江美記子</v>
      </c>
      <c r="AH5" s="62">
        <f t="shared" si="17"/>
        <v>128.62508143322475</v>
      </c>
      <c r="AI5" s="62">
        <f t="shared" si="18"/>
        <v>132.88643790849673</v>
      </c>
      <c r="AJ5" s="62">
        <f t="shared" si="19"/>
        <v>131.46289445048964</v>
      </c>
      <c r="AK5" s="61" t="str">
        <f t="shared" si="20"/>
        <v>両方</v>
      </c>
      <c r="AL5" s="61" t="str">
        <f t="shared" si="21"/>
        <v>目標達成</v>
      </c>
      <c r="AM5" s="61">
        <f t="shared" si="22"/>
        <v>131.46289945048963</v>
      </c>
      <c r="AN5" s="61">
        <v>3</v>
      </c>
      <c r="AO5" s="61">
        <f t="shared" si="23"/>
        <v>131.998361754858</v>
      </c>
      <c r="AP5" s="61" t="str">
        <f t="shared" si="24"/>
        <v>佐藤辰成</v>
      </c>
      <c r="AQ5" s="62">
        <f t="shared" si="25"/>
        <v>131.80246913580245</v>
      </c>
      <c r="AR5" s="62">
        <f t="shared" si="26"/>
        <v>132.51857923497266</v>
      </c>
      <c r="AS5" s="62">
        <f t="shared" si="27"/>
        <v>131.99835575485798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  <c r="AW5" s="62" t="str">
        <f>IF($AY5="","",IF($AK5="PKのみ",$AH5,CHOOSE(MOD($AY5-1,6)+1,12,17,22,27,32,37)))</f>
        <v/>
      </c>
      <c r="AX5" s="62" t="str">
        <f>IF($AY5="","",IF($AK5="PKのみ",CHOOSE(MOD($AY5-1,6)+1,12,17,22,27,32,37),$AI5))</f>
        <v/>
      </c>
      <c r="AY5" s="62" t="str">
        <f>IF($AK5="PKのみ",COUNTIFS($AK$3:$AK$62,"PKのみ",$AH$3:$AH$62,"&lt;"&amp;$AH5)+1,IF($AK5="梱包のみ",COUNTIFS($AK$3:$AK$62,"梱包のみ",$AI$3:$AI$62,"&lt;"&amp;$AI5)+1,""))</f>
        <v/>
      </c>
      <c r="BD5" s="62">
        <f>IF($AG5="","",IF(OR(AND(ISNUMBER($AH5),OR($AH5&lt;10,$AH5&gt;190)),AND(ISNUMBER($AI5),OR($AI5&lt;10,$AI5&gt;190))),1,0))</f>
        <v>0</v>
      </c>
      <c r="BF5" s="61" t="str">
        <f>IFERROR(INDEX($AG$3:$AG$62,MATCH(SMALL($AM$3:$AM$62,ROW()-2),$AM$3:$AM$62,0)),"")</f>
        <v>菊池敬</v>
      </c>
      <c r="BG5" s="62">
        <f>IFERROR(INDEX($AH$3:$AH$62,MATCH(SMALL($AM$3:$AM$62,ROW()-2),$AM$3:$AM$62,0)),"")</f>
        <v>85.86263157894736</v>
      </c>
      <c r="BH5" s="62">
        <f>IFERROR(INDEX($AI$3:$AI$62,MATCH(SMALL($AM$3:$AM$62,ROW()-2),$AM$3:$AM$62,0)),"")</f>
        <v>65.7034771774833</v>
      </c>
      <c r="BI5" s="62">
        <f>IF($BF5="","",100)</f>
        <v>100</v>
      </c>
      <c r="BK5" s="39" t="inlineStr">
        <is>
          <t>PK 総実測(分)</t>
        </is>
      </c>
      <c r="BL5" s="62">
        <f>SUM(ピッキング!$D$7:$D$66)</f>
        <v>40783</v>
      </c>
    </row>
    <row r="6" spans="1:64" ht="16.5" x14ac:dyDescent="0.35">
      <c r="A6" s="61" t="str">
        <f>IF(ピッキング!$B$10="","",ピッキング!$B$10)</f>
        <v>佐藤辰成</v>
      </c>
      <c r="B6" s="62">
        <f>IF(ピッキング!$K$10="","",ピッキング!$K$10)</f>
        <v>131.80246913580245</v>
      </c>
      <c r="C6" s="62">
        <f>IF(梱包!$K$10="","",梱包!$K$10)</f>
        <v>132.51857923497266</v>
      </c>
      <c r="D6" s="61">
        <f>IF(ピッキング!$I$10="","",ピッキング!$I$10)</f>
        <v>1067.5999999999999</v>
      </c>
      <c r="E6" s="61">
        <f>IF(ピッキング!$D$10="","",ピッキング!$D$10)</f>
        <v>810</v>
      </c>
      <c r="F6" s="61">
        <f>IF(梱包!$I$10="","",梱包!$I$10)</f>
        <v>404.18166666666662</v>
      </c>
      <c r="G6" s="61">
        <f>IF(梱包!$D$10="","",梱包!$D$10)</f>
        <v>305</v>
      </c>
      <c r="H6" s="61">
        <f t="shared" si="0"/>
        <v>1</v>
      </c>
      <c r="I6" s="61">
        <f>IF(H6=1,SUM(H$3:H6),"")</f>
        <v>4</v>
      </c>
      <c r="J6" s="62">
        <f t="shared" si="1"/>
        <v>131.99835575485798</v>
      </c>
      <c r="K6" s="61" t="str">
        <f t="shared" si="2"/>
        <v>佐藤辰成</v>
      </c>
      <c r="L6" s="62">
        <f t="shared" si="3"/>
        <v>131.80246913580245</v>
      </c>
      <c r="M6" s="62">
        <f t="shared" si="4"/>
        <v>132.51857923497266</v>
      </c>
      <c r="N6" s="62">
        <f t="shared" si="5"/>
        <v>131.99835575485798</v>
      </c>
      <c r="O6" s="61" t="str">
        <f t="shared" si="6"/>
        <v>目標達成</v>
      </c>
      <c r="P6" s="61">
        <v>4</v>
      </c>
      <c r="Q6" s="62">
        <f t="shared" si="7"/>
        <v>131.46289445048964</v>
      </c>
      <c r="R6" s="61" t="str">
        <f t="shared" si="8"/>
        <v>大江美記子</v>
      </c>
      <c r="S6" s="62">
        <f t="shared" si="9"/>
        <v>128.62508143322475</v>
      </c>
      <c r="T6" s="62">
        <f t="shared" si="10"/>
        <v>132.88643790849673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131.99835575485798</v>
      </c>
      <c r="AE6" s="61" t="str">
        <f t="shared" si="14"/>
        <v>両方</v>
      </c>
      <c r="AF6" s="61" t="str">
        <f t="shared" si="15"/>
        <v>目標達成</v>
      </c>
      <c r="AG6" s="61" t="str">
        <f t="shared" si="16"/>
        <v>佐藤辰成</v>
      </c>
      <c r="AH6" s="62">
        <f t="shared" si="17"/>
        <v>131.80246913580245</v>
      </c>
      <c r="AI6" s="62">
        <f t="shared" si="18"/>
        <v>132.51857923497266</v>
      </c>
      <c r="AJ6" s="62">
        <f t="shared" si="19"/>
        <v>131.99835575485798</v>
      </c>
      <c r="AK6" s="61" t="str">
        <f t="shared" si="20"/>
        <v>両方</v>
      </c>
      <c r="AL6" s="61" t="str">
        <f t="shared" si="21"/>
        <v>目標達成</v>
      </c>
      <c r="AM6" s="61">
        <f t="shared" si="22"/>
        <v>131.998361754858</v>
      </c>
      <c r="AN6" s="61">
        <v>4</v>
      </c>
      <c r="AO6" s="61">
        <f t="shared" si="23"/>
        <v>131.46289945048963</v>
      </c>
      <c r="AP6" s="61" t="str">
        <f t="shared" si="24"/>
        <v>大江美記子</v>
      </c>
      <c r="AQ6" s="62">
        <f t="shared" si="25"/>
        <v>128.62508143322475</v>
      </c>
      <c r="AR6" s="62">
        <f t="shared" si="26"/>
        <v>132.88643790849673</v>
      </c>
      <c r="AS6" s="62">
        <f t="shared" si="27"/>
        <v>131.46289445048964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  <c r="AW6" s="62" t="str">
        <f>IF($AY6="","",IF($AK6="PKのみ",$AH6,CHOOSE(MOD($AY6-1,6)+1,12,17,22,27,32,37)))</f>
        <v/>
      </c>
      <c r="AX6" s="62" t="str">
        <f>IF($AY6="","",IF($AK6="PKのみ",CHOOSE(MOD($AY6-1,6)+1,12,17,22,27,32,37),$AI6))</f>
        <v/>
      </c>
      <c r="AY6" s="62" t="str">
        <f>IF($AK6="PKのみ",COUNTIFS($AK$3:$AK$62,"PKのみ",$AH$3:$AH$62,"&lt;"&amp;$AH6)+1,IF($AK6="梱包のみ",COUNTIFS($AK$3:$AK$62,"梱包のみ",$AI$3:$AI$62,"&lt;"&amp;$AI6)+1,""))</f>
        <v/>
      </c>
      <c r="BD6" s="62">
        <f>IF($AG6="","",IF(OR(AND(ISNUMBER($AH6),OR($AH6&lt;10,$AH6&gt;190)),AND(ISNUMBER($AI6),OR($AI6&lt;10,$AI6&gt;190))),1,0))</f>
        <v>0</v>
      </c>
      <c r="BF6" s="61" t="str">
        <f>IFERROR(INDEX($AG$3:$AG$62,MATCH(SMALL($AM$3:$AM$62,ROW()-2),$AM$3:$AM$62,0)),"")</f>
        <v>片岡達也</v>
      </c>
      <c r="BG6" s="62">
        <f>IFERROR(INDEX($AH$3:$AH$62,MATCH(SMALL($AM$3:$AM$62,ROW()-2),$AM$3:$AM$62,0)),"")</f>
        <v>76.88366336633663</v>
      </c>
      <c r="BH6" s="61" t="str">
        <f>IFERROR(INDEX($AI$3:$AI$62,MATCH(SMALL($AM$3:$AM$62,ROW()-2),$AM$3:$AM$62,0)),"")</f>
        <v/>
      </c>
      <c r="BI6" s="62">
        <f>IF($BF6="","",100)</f>
        <v>100</v>
      </c>
      <c r="BK6" s="39" t="inlineStr">
        <is>
          <t>PK 会社目標達成率(%)</t>
        </is>
      </c>
      <c r="BL6" s="62">
        <f>IF($BL$5=0,"",$BL$2*$BL$3/$BL$5*100)</f>
        <v>83.36414682588334</v>
      </c>
    </row>
    <row r="7" spans="1:64" ht="16.5" x14ac:dyDescent="0.35">
      <c r="A7" s="61" t="str">
        <f>IF(ピッキング!$B$11="","",ピッキング!$B$11)</f>
        <v>春谷智子</v>
      </c>
      <c r="B7" s="62">
        <f>IF(ピッキング!$K$11="","",ピッキング!$K$11)</f>
        <v>126.5595238095238</v>
      </c>
      <c r="C7" s="62" t="str">
        <f>IF(梱包!$K$11="","",梱包!$K$11)</f>
        <v/>
      </c>
      <c r="D7" s="61">
        <f>IF(ピッキング!$I$11="","",ピッキング!$I$11)</f>
        <v>265.77499999999998</v>
      </c>
      <c r="E7" s="61">
        <f>IF(ピッキング!$D$11="","",ピッキング!$D$11)</f>
        <v>210</v>
      </c>
      <c r="F7" s="61" t="str">
        <f>IF(梱包!$I$11="","",梱包!$I$11)</f>
        <v/>
      </c>
      <c r="G7" s="61" t="str">
        <f>IF(梱包!$D$11="","",梱包!$D$11)</f>
        <v/>
      </c>
      <c r="H7" s="61">
        <f t="shared" si="0"/>
        <v>0</v>
      </c>
      <c r="I7" s="61" t="str">
        <f>IF(H7=1,SUM(H$3:H7),"")</f>
        <v/>
      </c>
      <c r="J7" s="62" t="str">
        <f t="shared" si="1"/>
        <v/>
      </c>
      <c r="K7" s="61" t="str">
        <f t="shared" si="2"/>
        <v>後藤克行</v>
      </c>
      <c r="L7" s="62">
        <f t="shared" si="3"/>
        <v>111.60069735006972</v>
      </c>
      <c r="M7" s="62">
        <f t="shared" si="4"/>
        <v>80.326509661835729</v>
      </c>
      <c r="N7" s="62">
        <f t="shared" si="5"/>
        <v>97.9967953769372</v>
      </c>
      <c r="O7" s="61" t="str">
        <f t="shared" si="6"/>
        <v>梱包手順を改善</v>
      </c>
      <c r="P7" s="61">
        <v>5</v>
      </c>
      <c r="Q7" s="62">
        <f t="shared" si="7"/>
        <v>123.80759937175306</v>
      </c>
      <c r="R7" s="61" t="str">
        <f t="shared" si="8"/>
        <v>北田倫子</v>
      </c>
      <c r="S7" s="62">
        <f t="shared" si="9"/>
        <v>101.99950049950048</v>
      </c>
      <c r="T7" s="62">
        <f t="shared" si="10"/>
        <v>136.2250663632916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126.5595238095238</v>
      </c>
      <c r="AE7" s="61" t="str">
        <f t="shared" si="14"/>
        <v>PKのみ</v>
      </c>
      <c r="AF7" s="61" t="str">
        <f t="shared" si="15"/>
        <v>目標達成</v>
      </c>
      <c r="AG7" s="61" t="str">
        <f t="shared" si="16"/>
        <v>春谷智子</v>
      </c>
      <c r="AH7" s="62">
        <f t="shared" si="17"/>
        <v>126.5595238095238</v>
      </c>
      <c r="AI7" s="62" t="str">
        <f t="shared" si="18"/>
        <v/>
      </c>
      <c r="AJ7" s="62">
        <f t="shared" si="19"/>
        <v>126.5595238095238</v>
      </c>
      <c r="AK7" s="61" t="str">
        <f t="shared" si="20"/>
        <v>PKのみ</v>
      </c>
      <c r="AL7" s="61" t="str">
        <f t="shared" si="21"/>
        <v>目標達成</v>
      </c>
      <c r="AM7" s="61">
        <f t="shared" si="22"/>
        <v>126.55953080952379</v>
      </c>
      <c r="AN7" s="61">
        <v>5</v>
      </c>
      <c r="AO7" s="61">
        <f t="shared" si="23"/>
        <v>126.55953080952379</v>
      </c>
      <c r="AP7" s="61" t="str">
        <f t="shared" si="24"/>
        <v>春谷智子</v>
      </c>
      <c r="AQ7" s="62">
        <f t="shared" si="25"/>
        <v>126.5595238095238</v>
      </c>
      <c r="AR7" s="62" t="str">
        <f t="shared" si="26"/>
        <v/>
      </c>
      <c r="AS7" s="62">
        <f t="shared" si="27"/>
        <v>126.5595238095238</v>
      </c>
      <c r="AT7" s="61" t="str">
        <f t="shared" si="28"/>
        <v>PKのみ</v>
      </c>
      <c r="AU7" s="61" t="str">
        <f t="shared" si="29"/>
        <v>目標達成</v>
      </c>
      <c r="AV7" s="61">
        <f t="shared" si="30"/>
        <v>100</v>
      </c>
      <c r="AW7" s="62">
        <f>IF($AY7="","",IF($AK7="PKのみ",$AH7,CHOOSE(MOD($AY7-1,6)+1,12,17,22,27,32,37)))</f>
        <v>126.5595238095238</v>
      </c>
      <c r="AX7" s="62">
        <f>IF($AY7="","",IF($AK7="PKのみ",CHOOSE(MOD($AY7-1,6)+1,12,17,22,27,32,37),$AI7))</f>
        <v>27.0</v>
      </c>
      <c r="AY7" s="62">
        <f>IF($AK7="PKのみ",COUNTIFS($AK$3:$AK$62,"PKのみ",$AH$3:$AH$62,"&lt;"&amp;$AH7)+1,IF($AK7="梱包のみ",COUNTIFS($AK$3:$AK$62,"梱包のみ",$AI$3:$AI$62,"&lt;"&amp;$AI7)+1,""))</f>
        <v>10</v>
      </c>
      <c r="BD7" s="62">
        <f>IF($AG7="","",IF(OR(AND(ISNUMBER($AH7),OR($AH7&lt;10,$AH7&gt;190)),AND(ISNUMBER($AI7),OR($AI7&lt;10,$AI7&gt;190))),1,0))</f>
        <v>0</v>
      </c>
      <c r="BF7" s="61" t="str">
        <f>IFERROR(INDEX($AG$3:$AG$62,MATCH(SMALL($AM$3:$AM$62,ROW()-2),$AM$3:$AM$62,0)),"")</f>
        <v>木村千鶴</v>
      </c>
      <c r="BG7" s="62">
        <f>IFERROR(INDEX($AH$3:$AH$62,MATCH(SMALL($AM$3:$AM$62,ROW()-2),$AM$3:$AM$62,0)),"")</f>
        <v>99.64362464183381</v>
      </c>
      <c r="BH7" s="62">
        <f>IFERROR(INDEX($AI$3:$AI$62,MATCH(SMALL($AM$3:$AM$62,ROW()-2),$AM$3:$AM$62,0)),"")</f>
        <v>71.82954945441745</v>
      </c>
      <c r="BI7" s="62">
        <f>IF($BF7="","",100)</f>
        <v>100</v>
      </c>
      <c r="BK7" s="39" t="inlineStr">
        <is>
          <t>PK 1社あたり件数</t>
        </is>
      </c>
      <c r="BL7" s="62">
        <f>IF($BL$4=0,"",$BL$3/$BL$4)</f>
        <v>2.3314680710994073</v>
      </c>
    </row>
    <row r="8" spans="1:64" ht="16.5" x14ac:dyDescent="0.35">
      <c r="A8" s="61" t="str">
        <f>IF(ピッキング!$B$12="","",ピッキング!$B$12)</f>
        <v>後藤克行</v>
      </c>
      <c r="B8" s="62">
        <f>IF(ピッキング!$K$12="","",ピッキング!$K$12)</f>
        <v>111.60069735006972</v>
      </c>
      <c r="C8" s="62">
        <f>IF(梱包!$K$12="","",梱包!$K$12)</f>
        <v>80.326509661835729</v>
      </c>
      <c r="D8" s="61">
        <f>IF(ピッキング!$I$12="","",ピッキング!$I$12)</f>
        <v>4000.8849999999993</v>
      </c>
      <c r="E8" s="61">
        <f>IF(ピッキング!$D$12="","",ピッキング!$D$12)</f>
        <v>3585</v>
      </c>
      <c r="F8" s="61">
        <f>IF(梱包!$I$12="","",梱包!$I$12)</f>
        <v>2217.0116666666663</v>
      </c>
      <c r="G8" s="61">
        <f>IF(梱包!$D$12="","",梱包!$D$12)</f>
        <v>2760</v>
      </c>
      <c r="H8" s="61">
        <f t="shared" si="0"/>
        <v>1</v>
      </c>
      <c r="I8" s="61">
        <f>IF(H8=1,SUM(H$3:H8),"")</f>
        <v>5</v>
      </c>
      <c r="J8" s="62">
        <f t="shared" si="1"/>
        <v>97.9967953769372</v>
      </c>
      <c r="K8" s="61" t="str">
        <f t="shared" si="2"/>
        <v>中村美佳</v>
      </c>
      <c r="L8" s="62">
        <f t="shared" si="3"/>
        <v>121.32499999999997</v>
      </c>
      <c r="M8" s="62">
        <f t="shared" si="4"/>
        <v>81.792465753424665</v>
      </c>
      <c r="N8" s="62">
        <f t="shared" si="5"/>
        <v>87.373529411764707</v>
      </c>
      <c r="O8" s="61" t="str">
        <f t="shared" si="6"/>
        <v>梱包手順を改善</v>
      </c>
      <c r="P8" s="61">
        <v>6</v>
      </c>
      <c r="Q8" s="62">
        <f t="shared" si="7"/>
        <v>117.94028270751602</v>
      </c>
      <c r="R8" s="61" t="str">
        <f t="shared" si="8"/>
        <v>晩田恵美</v>
      </c>
      <c r="S8" s="62">
        <f t="shared" si="9"/>
        <v>108.44019316493313</v>
      </c>
      <c r="T8" s="62">
        <f t="shared" si="10"/>
        <v>121.13147824640211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97.9967953769372</v>
      </c>
      <c r="AE8" s="61" t="str">
        <f t="shared" si="14"/>
        <v>両方</v>
      </c>
      <c r="AF8" s="61" t="str">
        <f t="shared" si="15"/>
        <v>梱包手順を改善</v>
      </c>
      <c r="AG8" s="61" t="str">
        <f t="shared" si="16"/>
        <v>後藤克行</v>
      </c>
      <c r="AH8" s="62">
        <f t="shared" si="17"/>
        <v>111.60069735006972</v>
      </c>
      <c r="AI8" s="62">
        <f t="shared" si="18"/>
        <v>80.326509661835729</v>
      </c>
      <c r="AJ8" s="62">
        <f t="shared" si="19"/>
        <v>97.9967953769372</v>
      </c>
      <c r="AK8" s="61" t="str">
        <f t="shared" si="20"/>
        <v>両方</v>
      </c>
      <c r="AL8" s="61" t="str">
        <f t="shared" si="21"/>
        <v>梱包手順を改善</v>
      </c>
      <c r="AM8" s="61">
        <f t="shared" si="22"/>
        <v>97.996803376937194</v>
      </c>
      <c r="AN8" s="61">
        <v>6</v>
      </c>
      <c r="AO8" s="61">
        <f t="shared" si="23"/>
        <v>123.80761337175305</v>
      </c>
      <c r="AP8" s="61" t="str">
        <f t="shared" si="24"/>
        <v>北田倫子</v>
      </c>
      <c r="AQ8" s="62">
        <f t="shared" si="25"/>
        <v>101.99950049950048</v>
      </c>
      <c r="AR8" s="62">
        <f t="shared" si="26"/>
        <v>136.2250663632916</v>
      </c>
      <c r="AS8" s="62">
        <f t="shared" si="27"/>
        <v>123.80759937175306</v>
      </c>
      <c r="AT8" s="61" t="str">
        <f t="shared" si="28"/>
        <v>両方</v>
      </c>
      <c r="AU8" s="61" t="str">
        <f t="shared" si="29"/>
        <v>目標達成</v>
      </c>
      <c r="AV8" s="61">
        <f t="shared" si="30"/>
        <v>100</v>
      </c>
      <c r="AW8" s="62" t="str">
        <f>IF($AY8="","",IF($AK8="PKのみ",$AH8,CHOOSE(MOD($AY8-1,6)+1,12,17,22,27,32,37)))</f>
        <v/>
      </c>
      <c r="AX8" s="62" t="str">
        <f>IF($AY8="","",IF($AK8="PKのみ",CHOOSE(MOD($AY8-1,6)+1,12,17,22,27,32,37),$AI8))</f>
        <v/>
      </c>
      <c r="AY8" s="62" t="str">
        <f>IF($AK8="PKのみ",COUNTIFS($AK$3:$AK$62,"PKのみ",$AH$3:$AH$62,"&lt;"&amp;$AH8)+1,IF($AK8="梱包のみ",COUNTIFS($AK$3:$AK$62,"梱包のみ",$AI$3:$AI$62,"&lt;"&amp;$AI8)+1,""))</f>
        <v/>
      </c>
      <c r="BD8" s="62">
        <f>IF($AG8="","",IF(OR(AND(ISNUMBER($AH8),OR($AH8&lt;10,$AH8&gt;190)),AND(ISNUMBER($AI8),OR($AI8&lt;10,$AI8&gt;190))),1,0))</f>
        <v>0</v>
      </c>
      <c r="BF8" s="61" t="str">
        <f>IFERROR(INDEX($AG$3:$AG$62,MATCH(SMALL($AM$3:$AM$62,ROW()-2),$AM$3:$AM$62,0)),"")</f>
        <v>上村和恵</v>
      </c>
      <c r="BG8" s="62">
        <f>IFERROR(INDEX($AH$3:$AH$62,MATCH(SMALL($AM$3:$AM$62,ROW()-2),$AM$3:$AM$62,0)),"")</f>
        <v>79.35816135084428</v>
      </c>
      <c r="BH8" s="61" t="str">
        <f>IFERROR(INDEX($AI$3:$AI$62,MATCH(SMALL($AM$3:$AM$62,ROW()-2),$AM$3:$AM$62,0)),"")</f>
        <v/>
      </c>
      <c r="BI8" s="62">
        <f>IF($BF8="","",100)</f>
        <v>100</v>
      </c>
      <c r="BK8" s="39" t="inlineStr">
        <is>
          <t>PK 段取り(秒/件)</t>
        </is>
      </c>
      <c r="BL8" s="62">
        <f>IF($BL$3=0,"",設定!$E$6*$BL$4/$BL$3)</f>
        <v>24.040646618664404</v>
      </c>
    </row>
    <row r="9" spans="1:64" ht="16.5" x14ac:dyDescent="0.35">
      <c r="A9" s="61" t="str">
        <f>IF(ピッキング!$B$13="","",ピッキング!$B$13)</f>
        <v>中村美佳</v>
      </c>
      <c r="B9" s="62">
        <f>IF(ピッキング!$K$13="","",ピッキング!$K$13)</f>
        <v>121.32499999999997</v>
      </c>
      <c r="C9" s="62">
        <f>IF(梱包!$K$13="","",梱包!$K$13)</f>
        <v>81.792465753424665</v>
      </c>
      <c r="D9" s="61">
        <f>IF(ピッキング!$I$13="","",ピッキング!$I$13)</f>
        <v>145.58999999999997</v>
      </c>
      <c r="E9" s="61">
        <f>IF(ピッキング!$D$13="","",ピッキング!$D$13)</f>
        <v>120</v>
      </c>
      <c r="F9" s="61">
        <f>IF(梱包!$I$13="","",梱包!$I$13)</f>
        <v>597.08500000000004</v>
      </c>
      <c r="G9" s="61">
        <f>IF(梱包!$D$13="","",梱包!$D$13)</f>
        <v>730</v>
      </c>
      <c r="H9" s="61">
        <f t="shared" si="0"/>
        <v>1</v>
      </c>
      <c r="I9" s="61">
        <f>IF(H9=1,SUM(H$3:H9),"")</f>
        <v>6</v>
      </c>
      <c r="J9" s="62">
        <f t="shared" si="1"/>
        <v>87.373529411764707</v>
      </c>
      <c r="K9" s="61" t="str">
        <f t="shared" si="2"/>
        <v>晩田恵美</v>
      </c>
      <c r="L9" s="62">
        <f t="shared" si="3"/>
        <v>108.44019316493313</v>
      </c>
      <c r="M9" s="62">
        <f t="shared" si="4"/>
        <v>121.13147824640211</v>
      </c>
      <c r="N9" s="62">
        <f t="shared" si="5"/>
        <v>117.94028270751602</v>
      </c>
      <c r="O9" s="61" t="str">
        <f t="shared" si="6"/>
        <v>目標達成</v>
      </c>
      <c r="P9" s="61">
        <v>7</v>
      </c>
      <c r="Q9" s="62">
        <f t="shared" si="7"/>
        <v>110.4852765321375</v>
      </c>
      <c r="R9" s="61" t="str">
        <f t="shared" si="8"/>
        <v>飯田由加里</v>
      </c>
      <c r="S9" s="62">
        <f t="shared" si="9"/>
        <v>74.630235602094231</v>
      </c>
      <c r="T9" s="62">
        <f t="shared" si="10"/>
        <v>129.17098681218735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87.373529411764707</v>
      </c>
      <c r="AE9" s="61" t="str">
        <f t="shared" si="14"/>
        <v>両方</v>
      </c>
      <c r="AF9" s="61" t="str">
        <f t="shared" si="15"/>
        <v>梱包手順を改善</v>
      </c>
      <c r="AG9" s="61" t="str">
        <f t="shared" si="16"/>
        <v>中村美佳</v>
      </c>
      <c r="AH9" s="62">
        <f t="shared" si="17"/>
        <v>121.32499999999997</v>
      </c>
      <c r="AI9" s="62">
        <f t="shared" si="18"/>
        <v>81.792465753424665</v>
      </c>
      <c r="AJ9" s="62">
        <f t="shared" si="19"/>
        <v>87.373529411764707</v>
      </c>
      <c r="AK9" s="61" t="str">
        <f t="shared" si="20"/>
        <v>両方</v>
      </c>
      <c r="AL9" s="61" t="str">
        <f t="shared" si="21"/>
        <v>梱包手順を改善</v>
      </c>
      <c r="AM9" s="61">
        <f t="shared" si="22"/>
        <v>87.373538411764713</v>
      </c>
      <c r="AN9" s="61">
        <v>7</v>
      </c>
      <c r="AO9" s="61">
        <f t="shared" si="23"/>
        <v>117.94029270751602</v>
      </c>
      <c r="AP9" s="61" t="str">
        <f t="shared" si="24"/>
        <v>晩田恵美</v>
      </c>
      <c r="AQ9" s="62">
        <f t="shared" si="25"/>
        <v>108.44019316493313</v>
      </c>
      <c r="AR9" s="62">
        <f t="shared" si="26"/>
        <v>121.13147824640211</v>
      </c>
      <c r="AS9" s="62">
        <f t="shared" si="27"/>
        <v>117.94028270751602</v>
      </c>
      <c r="AT9" s="61" t="str">
        <f t="shared" si="28"/>
        <v>両方</v>
      </c>
      <c r="AU9" s="61" t="str">
        <f t="shared" si="29"/>
        <v>目標達成</v>
      </c>
      <c r="AV9" s="61">
        <f t="shared" si="30"/>
        <v>100</v>
      </c>
      <c r="AW9" s="62" t="str">
        <f>IF($AY9="","",IF($AK9="PKのみ",$AH9,CHOOSE(MOD($AY9-1,6)+1,12,17,22,27,32,37)))</f>
        <v/>
      </c>
      <c r="AX9" s="62" t="str">
        <f>IF($AY9="","",IF($AK9="PKのみ",CHOOSE(MOD($AY9-1,6)+1,12,17,22,27,32,37),$AI9))</f>
        <v/>
      </c>
      <c r="AY9" s="62" t="str">
        <f>IF($AK9="PKのみ",COUNTIFS($AK$3:$AK$62,"PKのみ",$AH$3:$AH$62,"&lt;"&amp;$AH9)+1,IF($AK9="梱包のみ",COUNTIFS($AK$3:$AK$62,"梱包のみ",$AI$3:$AI$62,"&lt;"&amp;$AI9)+1,""))</f>
        <v/>
      </c>
      <c r="BD9" s="62">
        <f>IF($AG9="","",IF(OR(AND(ISNUMBER($AH9),OR($AH9&lt;10,$AH9&gt;190)),AND(ISNUMBER($AI9),OR($AI9&lt;10,$AI9&gt;190))),1,0))</f>
        <v>0</v>
      </c>
      <c r="BF9" s="61" t="str">
        <f>IFERROR(INDEX($AG$3:$AG$62,MATCH(SMALL($AM$3:$AM$62,ROW()-2),$AM$3:$AM$62,0)),"")</f>
        <v>秋草文恵</v>
      </c>
      <c r="BG9" s="62">
        <f>IFERROR(INDEX($AH$3:$AH$62,MATCH(SMALL($AM$3:$AM$62,ROW()-2),$AM$3:$AM$62,0)),"")</f>
        <v>80.2896370582617</v>
      </c>
      <c r="BH9" s="61" t="str">
        <f>IFERROR(INDEX($AI$3:$AI$62,MATCH(SMALL($AM$3:$AM$62,ROW()-2),$AM$3:$AM$62,0)),"")</f>
        <v/>
      </c>
      <c r="BI9" s="62">
        <f>IF($BF9="","",100)</f>
        <v>100</v>
      </c>
      <c r="BK9" s="39" t="inlineStr">
        <is>
          <t>PK 1.6分に必要な1社件数</t>
        </is>
      </c>
      <c r="BL9" s="62">
        <f>IF(設定!$E$26-設定!$E$7&lt;=0,"",設定!$E$6/(設定!$E$26-設定!$E$7))</f>
        <v>2.7475490196078423</v>
      </c>
    </row>
    <row r="10" spans="1:64" ht="16.5" x14ac:dyDescent="0.35">
      <c r="A10" s="61" t="str">
        <f>IF(ピッキング!$B$14="","",ピッキング!$B$14)</f>
        <v>晩田恵美</v>
      </c>
      <c r="B10" s="62">
        <f>IF(ピッキング!$K$14="","",ピッキング!$K$14)</f>
        <v>108.44019316493313</v>
      </c>
      <c r="C10" s="62">
        <f>IF(梱包!$K$14="","",梱包!$K$14)</f>
        <v>121.13147824640211</v>
      </c>
      <c r="D10" s="61">
        <f>IF(ピッキング!$I$14="","",ピッキング!$I$14)</f>
        <v>1459.605</v>
      </c>
      <c r="E10" s="61">
        <f>IF(ピッキング!$D$14="","",ピッキング!$D$14)</f>
        <v>1346</v>
      </c>
      <c r="F10" s="61">
        <f>IF(梱包!$I$14="","",梱包!$I$14)</f>
        <v>4853.7383333333328</v>
      </c>
      <c r="G10" s="61">
        <f>IF(梱包!$D$14="","",梱包!$D$14)</f>
        <v>4007</v>
      </c>
      <c r="H10" s="61">
        <f t="shared" si="0"/>
        <v>1</v>
      </c>
      <c r="I10" s="61">
        <f>IF(H10=1,SUM(H$3:H10),"")</f>
        <v>7</v>
      </c>
      <c r="J10" s="62">
        <f t="shared" si="1"/>
        <v>117.94028270751602</v>
      </c>
      <c r="K10" s="61" t="str">
        <f t="shared" si="2"/>
        <v>高橋佐織</v>
      </c>
      <c r="L10" s="62">
        <f t="shared" si="3"/>
        <v>106.8047477744807</v>
      </c>
      <c r="M10" s="62">
        <f t="shared" si="4"/>
        <v>93.863706034204569</v>
      </c>
      <c r="N10" s="62">
        <f t="shared" si="5"/>
        <v>97.612314480545521</v>
      </c>
      <c r="O10" s="61" t="str">
        <f t="shared" si="6"/>
        <v>梱包手順を改善</v>
      </c>
      <c r="P10" s="61">
        <v>8</v>
      </c>
      <c r="Q10" s="62">
        <f t="shared" si="7"/>
        <v>108.24710320668282</v>
      </c>
      <c r="R10" s="61" t="str">
        <f t="shared" si="8"/>
        <v>河野忠</v>
      </c>
      <c r="S10" s="62">
        <f t="shared" si="9"/>
        <v>98.116847826086968</v>
      </c>
      <c r="T10" s="62">
        <f t="shared" si="10"/>
        <v>116.41046228710461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117.94028270751602</v>
      </c>
      <c r="AE10" s="61" t="str">
        <f t="shared" si="14"/>
        <v>両方</v>
      </c>
      <c r="AF10" s="61" t="str">
        <f t="shared" si="15"/>
        <v>目標達成</v>
      </c>
      <c r="AG10" s="61" t="str">
        <f t="shared" si="16"/>
        <v>晩田恵美</v>
      </c>
      <c r="AH10" s="62">
        <f t="shared" si="17"/>
        <v>108.44019316493313</v>
      </c>
      <c r="AI10" s="62">
        <f t="shared" si="18"/>
        <v>121.13147824640211</v>
      </c>
      <c r="AJ10" s="62">
        <f t="shared" si="19"/>
        <v>117.94028270751602</v>
      </c>
      <c r="AK10" s="61" t="str">
        <f t="shared" si="20"/>
        <v>両方</v>
      </c>
      <c r="AL10" s="61" t="str">
        <f t="shared" si="21"/>
        <v>目標達成</v>
      </c>
      <c r="AM10" s="61">
        <f t="shared" si="22"/>
        <v>117.94029270751602</v>
      </c>
      <c r="AN10" s="61">
        <v>8</v>
      </c>
      <c r="AO10" s="61">
        <f t="shared" si="23"/>
        <v>110.48530753213751</v>
      </c>
      <c r="AP10" s="61" t="str">
        <f t="shared" si="24"/>
        <v>飯田由加里</v>
      </c>
      <c r="AQ10" s="62">
        <f t="shared" si="25"/>
        <v>74.630235602094231</v>
      </c>
      <c r="AR10" s="62">
        <f t="shared" si="26"/>
        <v>129.17098681218735</v>
      </c>
      <c r="AS10" s="62">
        <f t="shared" si="27"/>
        <v>110.4852765321375</v>
      </c>
      <c r="AT10" s="61" t="str">
        <f t="shared" si="28"/>
        <v>両方</v>
      </c>
      <c r="AU10" s="61" t="str">
        <f t="shared" si="29"/>
        <v>ピッキング改善</v>
      </c>
      <c r="AV10" s="61">
        <f t="shared" si="30"/>
        <v>100</v>
      </c>
      <c r="AW10" s="62" t="str">
        <f>IF($AY10="","",IF($AK10="PKのみ",$AH10,CHOOSE(MOD($AY10-1,6)+1,12,17,22,27,32,37)))</f>
        <v/>
      </c>
      <c r="AX10" s="62" t="str">
        <f>IF($AY10="","",IF($AK10="PKのみ",CHOOSE(MOD($AY10-1,6)+1,12,17,22,27,32,37),$AI10))</f>
        <v/>
      </c>
      <c r="AY10" s="62" t="str">
        <f>IF($AK10="PKのみ",COUNTIFS($AK$3:$AK$62,"PKのみ",$AH$3:$AH$62,"&lt;"&amp;$AH10)+1,IF($AK10="梱包のみ",COUNTIFS($AK$3:$AK$62,"梱包のみ",$AI$3:$AI$62,"&lt;"&amp;$AI10)+1,""))</f>
        <v/>
      </c>
      <c r="BD10" s="62">
        <f>IF($AG10="","",IF(OR(AND(ISNUMBER($AH10),OR($AH10&lt;10,$AH10&gt;190)),AND(ISNUMBER($AI10),OR($AI10&lt;10,$AI10&gt;190))),1,0))</f>
        <v>0</v>
      </c>
      <c r="BF10" s="61" t="str">
        <f>IFERROR(INDEX($AG$3:$AG$62,MATCH(SMALL($AM$3:$AM$62,ROW()-2),$AM$3:$AM$62,0)),"")</f>
        <v>高橋正美</v>
      </c>
      <c r="BG10" s="62">
        <f>IFERROR(INDEX($AH$3:$AH$62,MATCH(SMALL($AM$3:$AM$62,ROW()-2),$AM$3:$AM$62,0)),"")</f>
        <v>80.89163346613546</v>
      </c>
      <c r="BH10" s="61" t="str">
        <f>IFERROR(INDEX($AI$3:$AI$62,MATCH(SMALL($AM$3:$AM$62,ROW()-2),$AM$3:$AM$62,0)),"")</f>
        <v/>
      </c>
      <c r="BI10" s="62">
        <f>IF($BF10="","",100)</f>
        <v>100</v>
      </c>
    </row>
    <row r="11" spans="1:64" ht="16.5" x14ac:dyDescent="0.35">
      <c r="A11" s="61" t="str">
        <f>IF(ピッキング!$B$15="","",ピッキング!$B$15)</f>
        <v>高橋佐織</v>
      </c>
      <c r="B11" s="62">
        <f>IF(ピッキング!$K$15="","",ピッキング!$K$15)</f>
        <v>106.8047477744807</v>
      </c>
      <c r="C11" s="62">
        <f>IF(梱包!$K$15="","",梱包!$K$15)</f>
        <v>93.863706034204569</v>
      </c>
      <c r="D11" s="61">
        <f>IF(ピッキング!$I$15="","",ピッキング!$I$15)</f>
        <v>1799.6599999999999</v>
      </c>
      <c r="E11" s="61">
        <f>IF(ピッキング!$D$15="","",ピッキング!$D$15)</f>
        <v>1685</v>
      </c>
      <c r="F11" s="61">
        <f>IF(梱包!$I$15="","",梱包!$I$15)</f>
        <v>3878.4483333333328</v>
      </c>
      <c r="G11" s="61">
        <f>IF(梱包!$D$15="","",梱包!$D$15)</f>
        <v>4132</v>
      </c>
      <c r="H11" s="61">
        <f t="shared" si="0"/>
        <v>1</v>
      </c>
      <c r="I11" s="61">
        <f>IF(H11=1,SUM(H$3:H11),"")</f>
        <v>8</v>
      </c>
      <c r="J11" s="62">
        <f t="shared" si="1"/>
        <v>97.612314480545521</v>
      </c>
      <c r="K11" s="61" t="str">
        <f t="shared" si="2"/>
        <v>山本祥吉</v>
      </c>
      <c r="L11" s="62">
        <f t="shared" si="3"/>
        <v>106.22178879910837</v>
      </c>
      <c r="M11" s="62">
        <f t="shared" si="4"/>
        <v>84.736739745403099</v>
      </c>
      <c r="N11" s="62">
        <f t="shared" si="5"/>
        <v>96.753233598254624</v>
      </c>
      <c r="O11" s="61" t="str">
        <f t="shared" si="6"/>
        <v>梱包手順を改善</v>
      </c>
      <c r="P11" s="61">
        <v>9</v>
      </c>
      <c r="Q11" s="62">
        <f t="shared" si="7"/>
        <v>102.3828228228228</v>
      </c>
      <c r="R11" s="61" t="str">
        <f t="shared" si="8"/>
        <v>澤田凌</v>
      </c>
      <c r="S11" s="62">
        <f t="shared" si="9"/>
        <v>138.51606425702809</v>
      </c>
      <c r="T11" s="62">
        <f t="shared" si="10"/>
        <v>72.980283224400878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97.612314480545521</v>
      </c>
      <c r="AE11" s="61" t="str">
        <f t="shared" si="14"/>
        <v>両方</v>
      </c>
      <c r="AF11" s="61" t="str">
        <f t="shared" si="15"/>
        <v>梱包手順を改善</v>
      </c>
      <c r="AG11" s="61" t="str">
        <f t="shared" si="16"/>
        <v>高橋佐織</v>
      </c>
      <c r="AH11" s="62">
        <f t="shared" si="17"/>
        <v>106.8047477744807</v>
      </c>
      <c r="AI11" s="62">
        <f t="shared" si="18"/>
        <v>93.863706034204569</v>
      </c>
      <c r="AJ11" s="62">
        <f t="shared" si="19"/>
        <v>97.612314480545521</v>
      </c>
      <c r="AK11" s="61" t="str">
        <f t="shared" si="20"/>
        <v>両方</v>
      </c>
      <c r="AL11" s="61" t="str">
        <f t="shared" si="21"/>
        <v>梱包手順を改善</v>
      </c>
      <c r="AM11" s="61">
        <f t="shared" si="22"/>
        <v>97.612325480545522</v>
      </c>
      <c r="AN11" s="61">
        <v>9</v>
      </c>
      <c r="AO11" s="61">
        <f t="shared" si="23"/>
        <v>108.24712120668282</v>
      </c>
      <c r="AP11" s="61" t="str">
        <f t="shared" si="24"/>
        <v>河野忠</v>
      </c>
      <c r="AQ11" s="62">
        <f t="shared" si="25"/>
        <v>98.116847826086968</v>
      </c>
      <c r="AR11" s="62">
        <f t="shared" si="26"/>
        <v>116.41046228710461</v>
      </c>
      <c r="AS11" s="62">
        <f t="shared" si="27"/>
        <v>108.24710320668282</v>
      </c>
      <c r="AT11" s="61" t="str">
        <f t="shared" si="28"/>
        <v>両方</v>
      </c>
      <c r="AU11" s="61" t="str">
        <f t="shared" si="29"/>
        <v>ピッキング改善</v>
      </c>
      <c r="AV11" s="61">
        <f t="shared" si="30"/>
        <v>100</v>
      </c>
      <c r="AW11" s="62" t="str">
        <f>IF($AY11="","",IF($AK11="PKのみ",$AH11,CHOOSE(MOD($AY11-1,6)+1,12,17,22,27,32,37)))</f>
        <v/>
      </c>
      <c r="AX11" s="62" t="str">
        <f>IF($AY11="","",IF($AK11="PKのみ",CHOOSE(MOD($AY11-1,6)+1,12,17,22,27,32,37),$AI11))</f>
        <v/>
      </c>
      <c r="AY11" s="62" t="str">
        <f>IF($AK11="PKのみ",COUNTIFS($AK$3:$AK$62,"PKのみ",$AH$3:$AH$62,"&lt;"&amp;$AH11)+1,IF($AK11="梱包のみ",COUNTIFS($AK$3:$AK$62,"梱包のみ",$AI$3:$AI$62,"&lt;"&amp;$AI11)+1,""))</f>
        <v/>
      </c>
      <c r="BD11" s="62">
        <f>IF($AG11="","",IF(OR(AND(ISNUMBER($AH11),OR($AH11&lt;10,$AH11&gt;190)),AND(ISNUMBER($AI11),OR($AI11&lt;10,$AI11&gt;190))),1,0))</f>
        <v>0</v>
      </c>
      <c r="BF11" s="61" t="str">
        <f>IFERROR(INDEX($AG$3:$AG$62,MATCH(SMALL($AM$3:$AM$62,ROW()-2),$AM$3:$AM$62,0)),"")</f>
        <v>中村美佳</v>
      </c>
      <c r="BG11" s="62">
        <f>IFERROR(INDEX($AH$3:$AH$62,MATCH(SMALL($AM$3:$AM$62,ROW()-2),$AM$3:$AM$62,0)),"")</f>
        <v>121.32499999999997</v>
      </c>
      <c r="BH11" s="62">
        <f>IFERROR(INDEX($AI$3:$AI$62,MATCH(SMALL($AM$3:$AM$62,ROW()-2),$AM$3:$AM$62,0)),"")</f>
        <v>81.79246575342466</v>
      </c>
      <c r="BI11" s="62">
        <f>IF($BF11="","",100)</f>
        <v>100</v>
      </c>
      <c r="BK11" s="39" t="inlineStr">
        <is>
          <t>梱包 総件数</t>
        </is>
      </c>
      <c r="BL11" s="62">
        <f>SUM(梱包!$C$7:$C$66)</f>
        <v>24467</v>
      </c>
    </row>
    <row r="12" spans="1:64" ht="16.5" x14ac:dyDescent="0.35">
      <c r="A12" s="61" t="str">
        <f>IF(ピッキング!$B$16="","",ピッキング!$B$16)</f>
        <v>山本祥吉</v>
      </c>
      <c r="B12" s="62">
        <f>IF(ピッキング!$K$16="","",ピッキング!$K$16)</f>
        <v>106.22178879910837</v>
      </c>
      <c r="C12" s="62">
        <f>IF(梱包!$K$16="","",梱包!$K$16)</f>
        <v>84.736739745403099</v>
      </c>
      <c r="D12" s="61">
        <f>IF(ピッキング!$I$16="","",ピッキング!$I$16)</f>
        <v>3812.2999999999997</v>
      </c>
      <c r="E12" s="61">
        <f>IF(ピッキング!$D$16="","",ピッキング!$D$16)</f>
        <v>3589</v>
      </c>
      <c r="F12" s="61">
        <f>IF(梱包!$I$16="","",梱包!$I$16)</f>
        <v>2396.3549999999996</v>
      </c>
      <c r="G12" s="61">
        <f>IF(梱包!$D$16="","",梱包!$D$16)</f>
        <v>2828</v>
      </c>
      <c r="H12" s="61">
        <f t="shared" si="0"/>
        <v>1</v>
      </c>
      <c r="I12" s="61">
        <f>IF(H12=1,SUM(H$3:H12),"")</f>
        <v>9</v>
      </c>
      <c r="J12" s="62">
        <f t="shared" si="1"/>
        <v>96.753233598254624</v>
      </c>
      <c r="K12" s="61" t="str">
        <f t="shared" si="2"/>
        <v>佐々木千恵</v>
      </c>
      <c r="L12" s="62">
        <f t="shared" si="3"/>
        <v>106.39972273567466</v>
      </c>
      <c r="M12" s="62">
        <f t="shared" si="4"/>
        <v>171.96125541125542</v>
      </c>
      <c r="N12" s="62">
        <f t="shared" si="5"/>
        <v>133.65802735781136</v>
      </c>
      <c r="O12" s="61" t="str">
        <f t="shared" si="6"/>
        <v>目標達成</v>
      </c>
      <c r="P12" s="61">
        <v>10</v>
      </c>
      <c r="Q12" s="62">
        <f t="shared" si="7"/>
        <v>97.9967953769372</v>
      </c>
      <c r="R12" s="61" t="str">
        <f t="shared" si="8"/>
        <v>後藤克行</v>
      </c>
      <c r="S12" s="62">
        <f t="shared" si="9"/>
        <v>111.60069735006972</v>
      </c>
      <c r="T12" s="62">
        <f t="shared" si="10"/>
        <v>80.326509661835729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96.753233598254624</v>
      </c>
      <c r="AE12" s="61" t="str">
        <f t="shared" si="14"/>
        <v>両方</v>
      </c>
      <c r="AF12" s="61" t="str">
        <f t="shared" si="15"/>
        <v>梱包手順を改善</v>
      </c>
      <c r="AG12" s="61" t="str">
        <f t="shared" si="16"/>
        <v>山本祥吉</v>
      </c>
      <c r="AH12" s="62">
        <f t="shared" si="17"/>
        <v>106.22178879910837</v>
      </c>
      <c r="AI12" s="62">
        <f t="shared" si="18"/>
        <v>84.736739745403099</v>
      </c>
      <c r="AJ12" s="62">
        <f t="shared" si="19"/>
        <v>96.753233598254624</v>
      </c>
      <c r="AK12" s="61" t="str">
        <f t="shared" si="20"/>
        <v>両方</v>
      </c>
      <c r="AL12" s="61" t="str">
        <f t="shared" si="21"/>
        <v>梱包手順を改善</v>
      </c>
      <c r="AM12" s="61">
        <f t="shared" si="22"/>
        <v>96.753245598254622</v>
      </c>
      <c r="AN12" s="61">
        <v>10</v>
      </c>
      <c r="AO12" s="61">
        <f t="shared" si="23"/>
        <v>102.38282682282281</v>
      </c>
      <c r="AP12" s="61" t="str">
        <f t="shared" si="24"/>
        <v>澤田凌</v>
      </c>
      <c r="AQ12" s="62">
        <f t="shared" si="25"/>
        <v>138.51606425702809</v>
      </c>
      <c r="AR12" s="62">
        <f t="shared" si="26"/>
        <v>72.980283224400878</v>
      </c>
      <c r="AS12" s="62">
        <f t="shared" si="27"/>
        <v>102.3828228228228</v>
      </c>
      <c r="AT12" s="61" t="str">
        <f t="shared" si="28"/>
        <v>両方</v>
      </c>
      <c r="AU12" s="61" t="str">
        <f t="shared" si="29"/>
        <v>梱包手順を改善</v>
      </c>
      <c r="AV12" s="61">
        <f t="shared" si="30"/>
        <v>100</v>
      </c>
      <c r="AW12" s="62" t="str">
        <f>IF($AY12="","",IF($AK12="PKのみ",$AH12,CHOOSE(MOD($AY12-1,6)+1,12,17,22,27,32,37)))</f>
        <v/>
      </c>
      <c r="AX12" s="62" t="str">
        <f>IF($AY12="","",IF($AK12="PKのみ",CHOOSE(MOD($AY12-1,6)+1,12,17,22,27,32,37),$AI12))</f>
        <v/>
      </c>
      <c r="AY12" s="62" t="str">
        <f>IF($AK12="PKのみ",COUNTIFS($AK$3:$AK$62,"PKのみ",$AH$3:$AH$62,"&lt;"&amp;$AH12)+1,IF($AK12="梱包のみ",COUNTIFS($AK$3:$AK$62,"梱包のみ",$AI$3:$AI$62,"&lt;"&amp;$AI12)+1,""))</f>
        <v/>
      </c>
      <c r="BD12" s="62">
        <f>IF($AG12="","",IF(OR(AND(ISNUMBER($AH12),OR($AH12&lt;10,$AH12&gt;190)),AND(ISNUMBER($AI12),OR($AI12&lt;10,$AI12&gt;190))),1,0))</f>
        <v>0</v>
      </c>
      <c r="BF12" s="61" t="str">
        <f>IFERROR(INDEX($AG$3:$AG$62,MATCH(SMALL($AM$3:$AM$62,ROW()-2),$AM$3:$AM$62,0)),"")</f>
        <v>廣瀬こずえ</v>
      </c>
      <c r="BG12" s="62">
        <f>IFERROR(INDEX($AH$3:$AH$62,MATCH(SMALL($AM$3:$AM$62,ROW()-2),$AM$3:$AM$62,0)),"")</f>
        <v>88.02662271805272</v>
      </c>
      <c r="BH12" s="61" t="str">
        <f>IFERROR(INDEX($AI$3:$AI$62,MATCH(SMALL($AM$3:$AM$62,ROW()-2),$AM$3:$AM$62,0)),"")</f>
        <v/>
      </c>
      <c r="BI12" s="62">
        <f>IF($BF12="","",100)</f>
        <v>100</v>
      </c>
      <c r="BK12" s="39" t="inlineStr">
        <is>
          <t>梱包 総実測(分)</t>
        </is>
      </c>
      <c r="BL12" s="62">
        <f>SUM(梱包!$D$7:$D$66)</f>
        <v>39187</v>
      </c>
    </row>
    <row r="13" spans="1:64" ht="16.5" x14ac:dyDescent="0.35">
      <c r="A13" s="61" t="str">
        <f>IF(ピッキング!$B$17="","",ピッキング!$B$17)</f>
        <v>佐々木千恵</v>
      </c>
      <c r="B13" s="62">
        <f>IF(ピッキング!$K$17="","",ピッキング!$K$17)</f>
        <v>106.39972273567466</v>
      </c>
      <c r="C13" s="62">
        <f>IF(梱包!$K$17="","",梱包!$K$17)</f>
        <v>171.96125541125542</v>
      </c>
      <c r="D13" s="61">
        <f>IF(ピッキング!$I$17="","",ピッキング!$I$17)</f>
        <v>1151.2449999999999</v>
      </c>
      <c r="E13" s="61">
        <f>IF(ピッキング!$D$17="","",ピッキング!$D$17)</f>
        <v>1082</v>
      </c>
      <c r="F13" s="61">
        <f>IF(梱包!$I$17="","",梱包!$I$17)</f>
        <v>1324.1016666666667</v>
      </c>
      <c r="G13" s="61">
        <f>IF(梱包!$D$17="","",梱包!$D$17)</f>
        <v>770</v>
      </c>
      <c r="H13" s="61">
        <f t="shared" si="0"/>
        <v>1</v>
      </c>
      <c r="I13" s="61">
        <f>IF(H13=1,SUM(H$3:H13),"")</f>
        <v>10</v>
      </c>
      <c r="J13" s="62">
        <f t="shared" si="1"/>
        <v>133.65802735781136</v>
      </c>
      <c r="K13" s="61" t="str">
        <f t="shared" si="2"/>
        <v>北田倫子</v>
      </c>
      <c r="L13" s="62">
        <f t="shared" si="3"/>
        <v>101.99950049950048</v>
      </c>
      <c r="M13" s="62">
        <f t="shared" si="4"/>
        <v>136.2250663632916</v>
      </c>
      <c r="N13" s="62">
        <f t="shared" si="5"/>
        <v>123.80759937175306</v>
      </c>
      <c r="O13" s="61" t="str">
        <f t="shared" si="6"/>
        <v>目標達成</v>
      </c>
      <c r="P13" s="61">
        <v>11</v>
      </c>
      <c r="Q13" s="62">
        <f t="shared" si="7"/>
        <v>97.612314480545521</v>
      </c>
      <c r="R13" s="61" t="str">
        <f t="shared" si="8"/>
        <v>高橋佐織</v>
      </c>
      <c r="S13" s="62">
        <f t="shared" si="9"/>
        <v>106.8047477744807</v>
      </c>
      <c r="T13" s="62">
        <f t="shared" si="10"/>
        <v>93.863706034204569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133.65802735781136</v>
      </c>
      <c r="AE13" s="61" t="str">
        <f t="shared" si="14"/>
        <v>両方</v>
      </c>
      <c r="AF13" s="61" t="str">
        <f t="shared" si="15"/>
        <v>目標達成</v>
      </c>
      <c r="AG13" s="61" t="str">
        <f t="shared" si="16"/>
        <v>佐々木千恵</v>
      </c>
      <c r="AH13" s="62">
        <f t="shared" si="17"/>
        <v>106.39972273567466</v>
      </c>
      <c r="AI13" s="62">
        <f t="shared" si="18"/>
        <v>171.96125541125542</v>
      </c>
      <c r="AJ13" s="62">
        <f t="shared" si="19"/>
        <v>133.65802735781136</v>
      </c>
      <c r="AK13" s="61" t="str">
        <f t="shared" si="20"/>
        <v>両方</v>
      </c>
      <c r="AL13" s="61" t="str">
        <f t="shared" si="21"/>
        <v>目標達成</v>
      </c>
      <c r="AM13" s="61">
        <f t="shared" si="22"/>
        <v>133.65804035781136</v>
      </c>
      <c r="AN13" s="61">
        <v>11</v>
      </c>
      <c r="AO13" s="61">
        <f t="shared" si="23"/>
        <v>100.59263344966443</v>
      </c>
      <c r="AP13" s="61" t="str">
        <f t="shared" si="24"/>
        <v>石戸谷亜子</v>
      </c>
      <c r="AQ13" s="62">
        <f t="shared" si="25"/>
        <v>100.59261744966443</v>
      </c>
      <c r="AR13" s="62" t="str">
        <f t="shared" si="26"/>
        <v/>
      </c>
      <c r="AS13" s="62">
        <f t="shared" si="27"/>
        <v>100.59261744966443</v>
      </c>
      <c r="AT13" s="61" t="str">
        <f t="shared" si="28"/>
        <v>PKのみ</v>
      </c>
      <c r="AU13" s="61" t="str">
        <f t="shared" si="29"/>
        <v>目標達成</v>
      </c>
      <c r="AV13" s="61">
        <f t="shared" si="30"/>
        <v>100</v>
      </c>
      <c r="AW13" s="62" t="str">
        <f>IF($AY13="","",IF($AK13="PKのみ",$AH13,CHOOSE(MOD($AY13-1,6)+1,12,17,22,27,32,37)))</f>
        <v/>
      </c>
      <c r="AX13" s="62" t="str">
        <f>IF($AY13="","",IF($AK13="PKのみ",CHOOSE(MOD($AY13-1,6)+1,12,17,22,27,32,37),$AI13))</f>
        <v/>
      </c>
      <c r="AY13" s="62" t="str">
        <f>IF($AK13="PKのみ",COUNTIFS($AK$3:$AK$62,"PKのみ",$AH$3:$AH$62,"&lt;"&amp;$AH13)+1,IF($AK13="梱包のみ",COUNTIFS($AK$3:$AK$62,"梱包のみ",$AI$3:$AI$62,"&lt;"&amp;$AI13)+1,""))</f>
        <v/>
      </c>
      <c r="BD13" s="62">
        <f>IF($AG13="","",IF(OR(AND(ISNUMBER($AH13),OR($AH13&lt;10,$AH13&gt;190)),AND(ISNUMBER($AI13),OR($AI13&lt;10,$AI13&gt;190))),1,0))</f>
        <v>0</v>
      </c>
      <c r="BF13" s="61" t="str">
        <f>IFERROR(INDEX($AG$3:$AG$62,MATCH(SMALL($AM$3:$AM$62,ROW()-2),$AM$3:$AM$62,0)),"")</f>
        <v>向井ひかり</v>
      </c>
      <c r="BG13" s="62">
        <f>IFERROR(INDEX($AH$3:$AH$62,MATCH(SMALL($AM$3:$AM$62,ROW()-2),$AM$3:$AM$62,0)),"")</f>
        <v>89.99333688699362</v>
      </c>
      <c r="BH13" s="61" t="str">
        <f>IFERROR(INDEX($AI$3:$AI$62,MATCH(SMALL($AM$3:$AM$62,ROW()-2),$AM$3:$AM$62,0)),"")</f>
        <v/>
      </c>
      <c r="BI13" s="62">
        <f>IF($BF13="","",100)</f>
        <v>100</v>
      </c>
      <c r="BK13" s="39" t="inlineStr">
        <is>
          <t>梱包 会社目標達成率(%)</t>
        </is>
      </c>
      <c r="BL13" s="62">
        <f>IF($BL$12=0,"",設定!$C$27*$BL$11/$BL$12*100)</f>
        <v>99.89843570571875</v>
      </c>
    </row>
    <row r="14" spans="1:64" ht="16.5" x14ac:dyDescent="0.35">
      <c r="A14" s="61" t="str">
        <f>IF(ピッキング!$B$18="","",ピッキング!$B$18)</f>
        <v>北田倫子</v>
      </c>
      <c r="B14" s="62">
        <f>IF(ピッキング!$K$18="","",ピッキング!$K$18)</f>
        <v>101.99950049950048</v>
      </c>
      <c r="C14" s="62">
        <f>IF(梱包!$K$18="","",梱包!$K$18)</f>
        <v>136.2250663632916</v>
      </c>
      <c r="D14" s="61">
        <f>IF(ピッキング!$I$18="","",ピッキング!$I$18)</f>
        <v>1021.0149999999999</v>
      </c>
      <c r="E14" s="61">
        <f>IF(ピッキング!$D$18="","",ピッキング!$D$18)</f>
        <v>1001</v>
      </c>
      <c r="F14" s="61">
        <f>IF(梱包!$I$18="","",梱包!$I$18)</f>
        <v>2394.8366666666666</v>
      </c>
      <c r="G14" s="61">
        <f>IF(梱包!$D$18="","",梱包!$D$18)</f>
        <v>1758</v>
      </c>
      <c r="H14" s="61">
        <f t="shared" si="0"/>
        <v>1</v>
      </c>
      <c r="I14" s="61">
        <f>IF(H14=1,SUM(H$3:H14),"")</f>
        <v>11</v>
      </c>
      <c r="J14" s="62">
        <f t="shared" si="1"/>
        <v>123.80759937175306</v>
      </c>
      <c r="K14" s="61" t="str">
        <f t="shared" si="2"/>
        <v>中納沙織</v>
      </c>
      <c r="L14" s="62">
        <f t="shared" si="3"/>
        <v>101.71352549889134</v>
      </c>
      <c r="M14" s="62">
        <f t="shared" si="4"/>
        <v>66.904561403508765</v>
      </c>
      <c r="N14" s="62">
        <f t="shared" si="5"/>
        <v>95.657020757020746</v>
      </c>
      <c r="O14" s="61" t="str">
        <f t="shared" si="6"/>
        <v>梱包手順を改善</v>
      </c>
      <c r="P14" s="61">
        <v>12</v>
      </c>
      <c r="Q14" s="62">
        <f t="shared" si="7"/>
        <v>97.198895027624303</v>
      </c>
      <c r="R14" s="61" t="str">
        <f t="shared" si="8"/>
        <v>鈴木香織</v>
      </c>
      <c r="S14" s="62">
        <f t="shared" si="9"/>
        <v>96.542574257425741</v>
      </c>
      <c r="T14" s="62">
        <f t="shared" si="10"/>
        <v>97.378246753246756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123.80759937175306</v>
      </c>
      <c r="AE14" s="61" t="str">
        <f t="shared" si="14"/>
        <v>両方</v>
      </c>
      <c r="AF14" s="61" t="str">
        <f t="shared" si="15"/>
        <v>目標達成</v>
      </c>
      <c r="AG14" s="61" t="str">
        <f t="shared" si="16"/>
        <v>北田倫子</v>
      </c>
      <c r="AH14" s="62">
        <f t="shared" si="17"/>
        <v>101.99950049950048</v>
      </c>
      <c r="AI14" s="62">
        <f t="shared" si="18"/>
        <v>136.2250663632916</v>
      </c>
      <c r="AJ14" s="62">
        <f t="shared" si="19"/>
        <v>123.80759937175306</v>
      </c>
      <c r="AK14" s="61" t="str">
        <f t="shared" si="20"/>
        <v>両方</v>
      </c>
      <c r="AL14" s="61" t="str">
        <f t="shared" si="21"/>
        <v>目標達成</v>
      </c>
      <c r="AM14" s="61">
        <f t="shared" si="22"/>
        <v>123.80761337175305</v>
      </c>
      <c r="AN14" s="61">
        <v>12</v>
      </c>
      <c r="AO14" s="61">
        <f t="shared" si="23"/>
        <v>97.996803376937194</v>
      </c>
      <c r="AP14" s="61" t="str">
        <f t="shared" si="24"/>
        <v>後藤克行</v>
      </c>
      <c r="AQ14" s="62">
        <f t="shared" si="25"/>
        <v>111.60069735006972</v>
      </c>
      <c r="AR14" s="62">
        <f t="shared" si="26"/>
        <v>80.326509661835729</v>
      </c>
      <c r="AS14" s="62">
        <f t="shared" si="27"/>
        <v>97.9967953769372</v>
      </c>
      <c r="AT14" s="61" t="str">
        <f t="shared" si="28"/>
        <v>両方</v>
      </c>
      <c r="AU14" s="61" t="str">
        <f t="shared" si="29"/>
        <v>梱包手順を改善</v>
      </c>
      <c r="AV14" s="61">
        <f t="shared" si="30"/>
        <v>100</v>
      </c>
      <c r="AW14" s="62" t="str">
        <f>IF($AY14="","",IF($AK14="PKのみ",$AH14,CHOOSE(MOD($AY14-1,6)+1,12,17,22,27,32,37)))</f>
        <v/>
      </c>
      <c r="AX14" s="62" t="str">
        <f>IF($AY14="","",IF($AK14="PKのみ",CHOOSE(MOD($AY14-1,6)+1,12,17,22,27,32,37),$AI14))</f>
        <v/>
      </c>
      <c r="AY14" s="62" t="str">
        <f>IF($AK14="PKのみ",COUNTIFS($AK$3:$AK$62,"PKのみ",$AH$3:$AH$62,"&lt;"&amp;$AH14)+1,IF($AK14="梱包のみ",COUNTIFS($AK$3:$AK$62,"梱包のみ",$AI$3:$AI$62,"&lt;"&amp;$AI14)+1,""))</f>
        <v/>
      </c>
      <c r="BD14" s="62">
        <f>IF($AG14="","",IF(OR(AND(ISNUMBER($AH14),OR($AH14&lt;10,$AH14&gt;190)),AND(ISNUMBER($AI14),OR($AI14&lt;10,$AI14&gt;190))),1,0))</f>
        <v>0</v>
      </c>
      <c r="BF14" s="61" t="str">
        <f>IFERROR(INDEX($AG$3:$AG$62,MATCH(SMALL($AM$3:$AM$62,ROW()-2),$AM$3:$AM$62,0)),"")</f>
        <v>奥野愛海</v>
      </c>
      <c r="BG14" s="62">
        <f>IFERROR(INDEX($AH$3:$AH$62,MATCH(SMALL($AM$3:$AM$62,ROW()-2),$AM$3:$AM$62,0)),"")</f>
        <v>91.34864864864863</v>
      </c>
      <c r="BH14" s="61" t="str">
        <f>IFERROR(INDEX($AI$3:$AI$62,MATCH(SMALL($AM$3:$AM$62,ROW()-2),$AM$3:$AM$62,0)),"")</f>
        <v/>
      </c>
      <c r="BI14" s="62">
        <f>IF($BF14="","",100)</f>
        <v>100</v>
      </c>
    </row>
    <row r="15" spans="1:64" ht="16.5" x14ac:dyDescent="0.35">
      <c r="A15" s="61" t="str">
        <f>IF(ピッキング!$B$19="","",ピッキング!$B$19)</f>
        <v>中納沙織</v>
      </c>
      <c r="B15" s="62">
        <f>IF(ピッキング!$K$19="","",ピッキング!$K$19)</f>
        <v>101.71352549889134</v>
      </c>
      <c r="C15" s="62">
        <f>IF(梱包!$K$19="","",梱包!$K$19)</f>
        <v>66.904561403508765</v>
      </c>
      <c r="D15" s="61">
        <f>IF(ピッキング!$I$19="","",ピッキング!$I$19)</f>
        <v>2293.64</v>
      </c>
      <c r="E15" s="61">
        <f>IF(ピッキング!$D$19="","",ピッキング!$D$19)</f>
        <v>2255</v>
      </c>
      <c r="F15" s="61">
        <f>IF(梱包!$I$19="","",梱包!$I$19)</f>
        <v>317.79666666666662</v>
      </c>
      <c r="G15" s="61">
        <f>IF(梱包!$D$19="","",梱包!$D$19)</f>
        <v>475</v>
      </c>
      <c r="H15" s="61">
        <f t="shared" si="0"/>
        <v>1</v>
      </c>
      <c r="I15" s="61">
        <f>IF(H15=1,SUM(H$3:H15),"")</f>
        <v>12</v>
      </c>
      <c r="J15" s="62">
        <f t="shared" si="1"/>
        <v>95.657020757020746</v>
      </c>
      <c r="K15" s="61" t="str">
        <f t="shared" si="2"/>
        <v>森田美加</v>
      </c>
      <c r="L15" s="62">
        <f t="shared" si="3"/>
        <v>98.221111111111114</v>
      </c>
      <c r="M15" s="62">
        <f t="shared" si="4"/>
        <v>52.277377892030849</v>
      </c>
      <c r="N15" s="62">
        <f t="shared" si="5"/>
        <v>60.9098121085595</v>
      </c>
      <c r="O15" s="61" t="str">
        <f t="shared" si="6"/>
        <v>両工程を見直し</v>
      </c>
      <c r="P15" s="61">
        <v>13</v>
      </c>
      <c r="Q15" s="62">
        <f t="shared" si="7"/>
        <v>96.753233598254624</v>
      </c>
      <c r="R15" s="61" t="str">
        <f t="shared" si="8"/>
        <v>山本祥吉</v>
      </c>
      <c r="S15" s="62">
        <f t="shared" si="9"/>
        <v>106.22178879910837</v>
      </c>
      <c r="T15" s="62">
        <f t="shared" si="10"/>
        <v>84.736739745403099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95.657020757020746</v>
      </c>
      <c r="AE15" s="61" t="str">
        <f t="shared" si="14"/>
        <v>両方</v>
      </c>
      <c r="AF15" s="61" t="str">
        <f t="shared" si="15"/>
        <v>梱包手順を改善</v>
      </c>
      <c r="AG15" s="61" t="str">
        <f t="shared" si="16"/>
        <v>中納沙織</v>
      </c>
      <c r="AH15" s="62">
        <f t="shared" si="17"/>
        <v>101.71352549889134</v>
      </c>
      <c r="AI15" s="62">
        <f t="shared" si="18"/>
        <v>66.904561403508765</v>
      </c>
      <c r="AJ15" s="62">
        <f t="shared" si="19"/>
        <v>95.657020757020746</v>
      </c>
      <c r="AK15" s="61" t="str">
        <f t="shared" si="20"/>
        <v>両方</v>
      </c>
      <c r="AL15" s="61" t="str">
        <f t="shared" si="21"/>
        <v>梱包手順を改善</v>
      </c>
      <c r="AM15" s="61">
        <f t="shared" si="22"/>
        <v>95.657035757020751</v>
      </c>
      <c r="AN15" s="61">
        <v>13</v>
      </c>
      <c r="AO15" s="61">
        <f t="shared" si="23"/>
        <v>97.612325480545522</v>
      </c>
      <c r="AP15" s="61" t="str">
        <f t="shared" si="24"/>
        <v>高橋佐織</v>
      </c>
      <c r="AQ15" s="62">
        <f t="shared" si="25"/>
        <v>106.8047477744807</v>
      </c>
      <c r="AR15" s="62">
        <f t="shared" si="26"/>
        <v>93.863706034204569</v>
      </c>
      <c r="AS15" s="62">
        <f t="shared" si="27"/>
        <v>97.612314480545521</v>
      </c>
      <c r="AT15" s="61" t="str">
        <f t="shared" si="28"/>
        <v>両方</v>
      </c>
      <c r="AU15" s="61" t="str">
        <f t="shared" si="29"/>
        <v>梱包手順を改善</v>
      </c>
      <c r="AV15" s="61">
        <f t="shared" si="30"/>
        <v>100</v>
      </c>
      <c r="AW15" s="62" t="str">
        <f>IF($AY15="","",IF($AK15="PKのみ",$AH15,CHOOSE(MOD($AY15-1,6)+1,12,17,22,27,32,37)))</f>
        <v/>
      </c>
      <c r="AX15" s="62" t="str">
        <f>IF($AY15="","",IF($AK15="PKのみ",CHOOSE(MOD($AY15-1,6)+1,12,17,22,27,32,37),$AI15))</f>
        <v/>
      </c>
      <c r="AY15" s="62" t="str">
        <f>IF($AK15="PKのみ",COUNTIFS($AK$3:$AK$62,"PKのみ",$AH$3:$AH$62,"&lt;"&amp;$AH15)+1,IF($AK15="梱包のみ",COUNTIFS($AK$3:$AK$62,"梱包のみ",$AI$3:$AI$62,"&lt;"&amp;$AI15)+1,""))</f>
        <v/>
      </c>
      <c r="BD15" s="62">
        <f>IF($AG15="","",IF(OR(AND(ISNUMBER($AH15),OR($AH15&lt;10,$AH15&gt;190)),AND(ISNUMBER($AI15),OR($AI15&lt;10,$AI15&gt;190))),1,0))</f>
        <v>0</v>
      </c>
      <c r="BF15" s="61" t="str">
        <f>IFERROR(INDEX($AG$3:$AG$62,MATCH(SMALL($AM$3:$AM$62,ROW()-2),$AM$3:$AM$62,0)),"")</f>
        <v>森本久美</v>
      </c>
      <c r="BG15" s="62">
        <f>IFERROR(INDEX($AH$3:$AH$62,MATCH(SMALL($AM$3:$AM$62,ROW()-2),$AM$3:$AM$62,0)),"")</f>
        <v>81.8917597765363</v>
      </c>
      <c r="BH15" s="62">
        <f>IFERROR(INDEX($AI$3:$AI$62,MATCH(SMALL($AM$3:$AM$62,ROW()-2),$AM$3:$AM$62,0)),"")</f>
        <v>100.98448866067606</v>
      </c>
      <c r="BI15" s="62">
        <f>IF($BF15="","",100)</f>
        <v>100</v>
      </c>
    </row>
    <row r="16" spans="1:64" ht="16.5" x14ac:dyDescent="0.35">
      <c r="A16" s="61" t="str">
        <f>IF(ピッキング!$B$20="","",ピッキング!$B$20)</f>
        <v>石戸谷亜子</v>
      </c>
      <c r="B16" s="62">
        <f>IF(ピッキング!$K$20="","",ピッキング!$K$20)</f>
        <v>100.59261744966443</v>
      </c>
      <c r="C16" s="62" t="str">
        <f>IF(梱包!$K$20="","",梱包!$K$20)</f>
        <v/>
      </c>
      <c r="D16" s="61">
        <f>IF(ピッキング!$I$20="","",ピッキング!$I$20)</f>
        <v>1498.83</v>
      </c>
      <c r="E16" s="61">
        <f>IF(ピッキング!$D$20="","",ピッキング!$D$20)</f>
        <v>1490</v>
      </c>
      <c r="F16" s="61" t="str">
        <f>IF(梱包!$I$20="","",梱包!$I$20)</f>
        <v/>
      </c>
      <c r="G16" s="61" t="str">
        <f>IF(梱包!$D$20="","",梱包!$D$20)</f>
        <v/>
      </c>
      <c r="H16" s="61">
        <f t="shared" si="0"/>
        <v>0</v>
      </c>
      <c r="I16" s="61" t="str">
        <f>IF(H16=1,SUM(H$3:H16),"")</f>
        <v/>
      </c>
      <c r="J16" s="62" t="str">
        <f t="shared" si="1"/>
        <v/>
      </c>
      <c r="K16" s="61" t="str">
        <f t="shared" si="2"/>
        <v>河野忠</v>
      </c>
      <c r="L16" s="62">
        <f t="shared" si="3"/>
        <v>98.116847826086968</v>
      </c>
      <c r="M16" s="62">
        <f t="shared" si="4"/>
        <v>116.41046228710461</v>
      </c>
      <c r="N16" s="62">
        <f t="shared" si="5"/>
        <v>108.24710320668282</v>
      </c>
      <c r="O16" s="61" t="str">
        <f t="shared" si="6"/>
        <v>ピッキング改善</v>
      </c>
      <c r="P16" s="61">
        <v>14</v>
      </c>
      <c r="Q16" s="62">
        <f t="shared" si="7"/>
        <v>95.657020757020746</v>
      </c>
      <c r="R16" s="61" t="str">
        <f t="shared" si="8"/>
        <v>中納沙織</v>
      </c>
      <c r="S16" s="62">
        <f t="shared" si="9"/>
        <v>101.71352549889134</v>
      </c>
      <c r="T16" s="62">
        <f t="shared" si="10"/>
        <v>66.904561403508765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100.59261744966443</v>
      </c>
      <c r="AE16" s="61" t="str">
        <f t="shared" si="14"/>
        <v>PKのみ</v>
      </c>
      <c r="AF16" s="61" t="str">
        <f t="shared" si="15"/>
        <v>目標達成</v>
      </c>
      <c r="AG16" s="61" t="str">
        <f t="shared" si="16"/>
        <v>石戸谷亜子</v>
      </c>
      <c r="AH16" s="62">
        <f t="shared" si="17"/>
        <v>100.59261744966443</v>
      </c>
      <c r="AI16" s="62" t="str">
        <f t="shared" si="18"/>
        <v/>
      </c>
      <c r="AJ16" s="62">
        <f t="shared" si="19"/>
        <v>100.59261744966443</v>
      </c>
      <c r="AK16" s="61" t="str">
        <f t="shared" si="20"/>
        <v>PKのみ</v>
      </c>
      <c r="AL16" s="61" t="str">
        <f t="shared" si="21"/>
        <v>目標達成</v>
      </c>
      <c r="AM16" s="61">
        <f t="shared" si="22"/>
        <v>100.59263344966443</v>
      </c>
      <c r="AN16" s="61">
        <v>14</v>
      </c>
      <c r="AO16" s="61">
        <f t="shared" si="23"/>
        <v>97.198916027624307</v>
      </c>
      <c r="AP16" s="61" t="str">
        <f t="shared" si="24"/>
        <v>鈴木香織</v>
      </c>
      <c r="AQ16" s="62">
        <f t="shared" si="25"/>
        <v>96.542574257425741</v>
      </c>
      <c r="AR16" s="62">
        <f t="shared" si="26"/>
        <v>97.378246753246756</v>
      </c>
      <c r="AS16" s="62">
        <f t="shared" si="27"/>
        <v>97.198895027624303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  <c r="AW16" s="62">
        <f>IF($AY16="","",IF($AK16="PKのみ",$AH16,CHOOSE(MOD($AY16-1,6)+1,12,17,22,27,32,37)))</f>
        <v>100.59261744966443</v>
      </c>
      <c r="AX16" s="62">
        <f>IF($AY16="","",IF($AK16="PKのみ",CHOOSE(MOD($AY16-1,6)+1,12,17,22,27,32,37),$AI16))</f>
        <v>22.0</v>
      </c>
      <c r="AY16" s="62">
        <f>IF($AK16="PKのみ",COUNTIFS($AK$3:$AK$62,"PKのみ",$AH$3:$AH$62,"&lt;"&amp;$AH16)+1,IF($AK16="梱包のみ",COUNTIFS($AK$3:$AK$62,"梱包のみ",$AI$3:$AI$62,"&lt;"&amp;$AI16)+1,""))</f>
        <v>9</v>
      </c>
      <c r="BD16" s="62">
        <f>IF($AG16="","",IF(OR(AND(ISNUMBER($AH16),OR($AH16&lt;10,$AH16&gt;190)),AND(ISNUMBER($AI16),OR($AI16&lt;10,$AI16&gt;190))),1,0))</f>
        <v>0</v>
      </c>
      <c r="BF16" s="61" t="str">
        <f>IFERROR(INDEX($AG$3:$AG$62,MATCH(SMALL($AM$3:$AM$62,ROW()-2),$AM$3:$AM$62,0)),"")</f>
        <v>中納沙織</v>
      </c>
      <c r="BG16" s="62">
        <f>IFERROR(INDEX($AH$3:$AH$62,MATCH(SMALL($AM$3:$AM$62,ROW()-2),$AM$3:$AM$62,0)),"")</f>
        <v>101.71352549889134</v>
      </c>
      <c r="BH16" s="62">
        <f>IFERROR(INDEX($AI$3:$AI$62,MATCH(SMALL($AM$3:$AM$62,ROW()-2),$AM$3:$AM$62,0)),"")</f>
        <v>66.90456140350877</v>
      </c>
      <c r="BI16" s="62">
        <f>IF($BF16="","",100)</f>
        <v>100</v>
      </c>
    </row>
    <row r="17" spans="1:64" ht="16.5" x14ac:dyDescent="0.35">
      <c r="A17" s="61" t="str">
        <f>IF(ピッキング!$B$21="","",ピッキング!$B$21)</f>
        <v>森田美加</v>
      </c>
      <c r="B17" s="62">
        <f>IF(ピッキング!$K$21="","",ピッキング!$K$21)</f>
        <v>98.221111111111114</v>
      </c>
      <c r="C17" s="62">
        <f>IF(梱包!$K$21="","",梱包!$K$21)</f>
        <v>52.277377892030849</v>
      </c>
      <c r="D17" s="61">
        <f>IF(ピッキング!$I$21="","",ピッキング!$I$21)</f>
        <v>441.995</v>
      </c>
      <c r="E17" s="61">
        <f>IF(ピッキング!$D$21="","",ピッキング!$D$21)</f>
        <v>450</v>
      </c>
      <c r="F17" s="61">
        <f>IF(梱包!$I$21="","",梱包!$I$21)</f>
        <v>1016.7950000000001</v>
      </c>
      <c r="G17" s="61">
        <f>IF(梱包!$D$21="","",梱包!$D$21)</f>
        <v>1945</v>
      </c>
      <c r="H17" s="61">
        <f t="shared" si="0"/>
        <v>1</v>
      </c>
      <c r="I17" s="61">
        <f>IF(H17=1,SUM(H$3:H17),"")</f>
        <v>13</v>
      </c>
      <c r="J17" s="62">
        <f t="shared" si="1"/>
        <v>60.9098121085595</v>
      </c>
      <c r="K17" s="61" t="str">
        <f t="shared" si="2"/>
        <v>木村千鶴</v>
      </c>
      <c r="L17" s="62">
        <f t="shared" si="3"/>
        <v>99.64362464183381</v>
      </c>
      <c r="M17" s="62">
        <f t="shared" si="4"/>
        <v>71.829549454417446</v>
      </c>
      <c r="N17" s="62">
        <f t="shared" si="5"/>
        <v>79.319605195473258</v>
      </c>
      <c r="O17" s="61" t="str">
        <f t="shared" si="6"/>
        <v>両工程を見直し</v>
      </c>
      <c r="P17" s="61">
        <v>15</v>
      </c>
      <c r="Q17" s="62">
        <f t="shared" si="7"/>
        <v>94.972881852829062</v>
      </c>
      <c r="R17" s="61" t="str">
        <f t="shared" si="8"/>
        <v>森本久美</v>
      </c>
      <c r="S17" s="62">
        <f t="shared" si="9"/>
        <v>81.891759776536304</v>
      </c>
      <c r="T17" s="62">
        <f t="shared" si="10"/>
        <v>100.98448866067606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60.9098121085595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森田美加</v>
      </c>
      <c r="AH17" s="62">
        <f t="shared" si="17"/>
        <v>98.221111111111114</v>
      </c>
      <c r="AI17" s="62">
        <f t="shared" si="18"/>
        <v>52.277377892030849</v>
      </c>
      <c r="AJ17" s="62">
        <f t="shared" si="19"/>
        <v>60.9098121085595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60.909829108559499</v>
      </c>
      <c r="AN17" s="61">
        <v>15</v>
      </c>
      <c r="AO17" s="61">
        <f t="shared" si="23"/>
        <v>96.753245598254622</v>
      </c>
      <c r="AP17" s="61" t="str">
        <f t="shared" si="24"/>
        <v>山本祥吉</v>
      </c>
      <c r="AQ17" s="62">
        <f t="shared" si="25"/>
        <v>106.22178879910837</v>
      </c>
      <c r="AR17" s="62">
        <f t="shared" si="26"/>
        <v>84.736739745403099</v>
      </c>
      <c r="AS17" s="62">
        <f t="shared" si="27"/>
        <v>96.753233598254624</v>
      </c>
      <c r="AT17" s="61" t="str">
        <f t="shared" si="28"/>
        <v>両方</v>
      </c>
      <c r="AU17" s="61" t="str">
        <f t="shared" si="29"/>
        <v>梱包手順を改善</v>
      </c>
      <c r="AV17" s="61">
        <f t="shared" si="30"/>
        <v>100</v>
      </c>
      <c r="AW17" s="62" t="str">
        <f>IF($AY17="","",IF($AK17="PKのみ",$AH17,CHOOSE(MOD($AY17-1,6)+1,12,17,22,27,32,37)))</f>
        <v/>
      </c>
      <c r="AX17" s="62" t="str">
        <f>IF($AY17="","",IF($AK17="PKのみ",CHOOSE(MOD($AY17-1,6)+1,12,17,22,27,32,37),$AI17))</f>
        <v/>
      </c>
      <c r="AY17" s="62" t="str">
        <f>IF($AK17="PKのみ",COUNTIFS($AK$3:$AK$62,"PKのみ",$AH$3:$AH$62,"&lt;"&amp;$AH17)+1,IF($AK17="梱包のみ",COUNTIFS($AK$3:$AK$62,"梱包のみ",$AI$3:$AI$62,"&lt;"&amp;$AI17)+1,""))</f>
        <v/>
      </c>
      <c r="BD17" s="62">
        <f>IF($AG17="","",IF(OR(AND(ISNUMBER($AH17),OR($AH17&lt;10,$AH17&gt;190)),AND(ISNUMBER($AI17),OR($AI17&lt;10,$AI17&gt;190))),1,0))</f>
        <v>0</v>
      </c>
      <c r="BF17" s="61" t="str">
        <f>IFERROR(INDEX($AG$3:$AG$62,MATCH(SMALL($AM$3:$AM$62,ROW()-2),$AM$3:$AM$62,0)),"")</f>
        <v>山本祥吉</v>
      </c>
      <c r="BG17" s="62">
        <f>IFERROR(INDEX($AH$3:$AH$62,MATCH(SMALL($AM$3:$AM$62,ROW()-2),$AM$3:$AM$62,0)),"")</f>
        <v>106.22178879910837</v>
      </c>
      <c r="BH17" s="62">
        <f>IFERROR(INDEX($AI$3:$AI$62,MATCH(SMALL($AM$3:$AM$62,ROW()-2),$AM$3:$AM$62,0)),"")</f>
        <v>84.7367397454031</v>
      </c>
      <c r="BI17" s="62">
        <f>IF($BF17="","",100)</f>
        <v>100</v>
      </c>
    </row>
    <row r="18" spans="1:64" ht="16.5" x14ac:dyDescent="0.35">
      <c r="A18" s="61" t="str">
        <f>IF(ピッキング!$B$22="","",ピッキング!$B$22)</f>
        <v>河野忠</v>
      </c>
      <c r="B18" s="62">
        <f>IF(ピッキング!$K$22="","",ピッキング!$K$22)</f>
        <v>98.116847826086968</v>
      </c>
      <c r="C18" s="62">
        <f>IF(梱包!$K$22="","",梱包!$K$22)</f>
        <v>116.41046228710461</v>
      </c>
      <c r="D18" s="61">
        <f>IF(ピッキング!$I$22="","",ピッキング!$I$22)</f>
        <v>541.60500000000002</v>
      </c>
      <c r="E18" s="61">
        <f>IF(ピッキング!$D$22="","",ピッキング!$D$22)</f>
        <v>552</v>
      </c>
      <c r="F18" s="61">
        <f>IF(梱包!$I$22="","",梱包!$I$22)</f>
        <v>797.41166666666663</v>
      </c>
      <c r="G18" s="61">
        <f>IF(梱包!$D$22="","",梱包!$D$22)</f>
        <v>685</v>
      </c>
      <c r="H18" s="61">
        <f t="shared" si="0"/>
        <v>1</v>
      </c>
      <c r="I18" s="61">
        <f>IF(H18=1,SUM(H$3:H18),"")</f>
        <v>14</v>
      </c>
      <c r="J18" s="62">
        <f t="shared" si="1"/>
        <v>108.24710320668282</v>
      </c>
      <c r="K18" s="61" t="str">
        <f t="shared" si="2"/>
        <v>鈴木香織</v>
      </c>
      <c r="L18" s="62">
        <f t="shared" si="3"/>
        <v>96.542574257425741</v>
      </c>
      <c r="M18" s="62">
        <f t="shared" si="4"/>
        <v>97.378246753246756</v>
      </c>
      <c r="N18" s="62">
        <f t="shared" si="5"/>
        <v>97.198895027624303</v>
      </c>
      <c r="O18" s="61" t="str">
        <f t="shared" si="6"/>
        <v>両工程を見直し</v>
      </c>
      <c r="P18" s="61">
        <v>16</v>
      </c>
      <c r="Q18" s="62">
        <f t="shared" si="7"/>
        <v>87.373529411764707</v>
      </c>
      <c r="R18" s="61" t="str">
        <f t="shared" si="8"/>
        <v>中村美佳</v>
      </c>
      <c r="S18" s="62">
        <f t="shared" si="9"/>
        <v>121.32499999999997</v>
      </c>
      <c r="T18" s="62">
        <f t="shared" si="10"/>
        <v>81.792465753424665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108.24710320668282</v>
      </c>
      <c r="AE18" s="61" t="str">
        <f t="shared" si="14"/>
        <v>両方</v>
      </c>
      <c r="AF18" s="61" t="str">
        <f t="shared" si="15"/>
        <v>ピッキング改善</v>
      </c>
      <c r="AG18" s="61" t="str">
        <f t="shared" si="16"/>
        <v>河野忠</v>
      </c>
      <c r="AH18" s="62">
        <f t="shared" si="17"/>
        <v>98.116847826086968</v>
      </c>
      <c r="AI18" s="62">
        <f t="shared" si="18"/>
        <v>116.41046228710461</v>
      </c>
      <c r="AJ18" s="62">
        <f t="shared" si="19"/>
        <v>108.24710320668282</v>
      </c>
      <c r="AK18" s="61" t="str">
        <f t="shared" si="20"/>
        <v>両方</v>
      </c>
      <c r="AL18" s="61" t="str">
        <f t="shared" si="21"/>
        <v>ピッキング改善</v>
      </c>
      <c r="AM18" s="61">
        <f t="shared" si="22"/>
        <v>108.24712120668282</v>
      </c>
      <c r="AN18" s="61">
        <v>16</v>
      </c>
      <c r="AO18" s="61">
        <f t="shared" si="23"/>
        <v>95.657035757020751</v>
      </c>
      <c r="AP18" s="61" t="str">
        <f t="shared" si="24"/>
        <v>中納沙織</v>
      </c>
      <c r="AQ18" s="62">
        <f t="shared" si="25"/>
        <v>101.71352549889134</v>
      </c>
      <c r="AR18" s="62">
        <f t="shared" si="26"/>
        <v>66.904561403508765</v>
      </c>
      <c r="AS18" s="62">
        <f t="shared" si="27"/>
        <v>95.657020757020746</v>
      </c>
      <c r="AT18" s="61" t="str">
        <f t="shared" si="28"/>
        <v>両方</v>
      </c>
      <c r="AU18" s="61" t="str">
        <f t="shared" si="29"/>
        <v>梱包手順を改善</v>
      </c>
      <c r="AV18" s="61">
        <f t="shared" si="30"/>
        <v>100</v>
      </c>
      <c r="AW18" s="62" t="str">
        <f>IF($AY18="","",IF($AK18="PKのみ",$AH18,CHOOSE(MOD($AY18-1,6)+1,12,17,22,27,32,37)))</f>
        <v/>
      </c>
      <c r="AX18" s="62" t="str">
        <f>IF($AY18="","",IF($AK18="PKのみ",CHOOSE(MOD($AY18-1,6)+1,12,17,22,27,32,37),$AI18))</f>
        <v/>
      </c>
      <c r="AY18" s="62" t="str">
        <f>IF($AK18="PKのみ",COUNTIFS($AK$3:$AK$62,"PKのみ",$AH$3:$AH$62,"&lt;"&amp;$AH18)+1,IF($AK18="梱包のみ",COUNTIFS($AK$3:$AK$62,"梱包のみ",$AI$3:$AI$62,"&lt;"&amp;$AI18)+1,""))</f>
        <v/>
      </c>
      <c r="BD18" s="62">
        <f>IF($AG18="","",IF(OR(AND(ISNUMBER($AH18),OR($AH18&lt;10,$AH18&gt;190)),AND(ISNUMBER($AI18),OR($AI18&lt;10,$AI18&gt;190))),1,0))</f>
        <v>0</v>
      </c>
      <c r="BF18" s="61" t="str">
        <f>IFERROR(INDEX($AG$3:$AG$62,MATCH(SMALL($AM$3:$AM$62,ROW()-2),$AM$3:$AM$62,0)),"")</f>
        <v>鈴木香織</v>
      </c>
      <c r="BG18" s="62">
        <f>IFERROR(INDEX($AH$3:$AH$62,MATCH(SMALL($AM$3:$AM$62,ROW()-2),$AM$3:$AM$62,0)),"")</f>
        <v>96.54257425742574</v>
      </c>
      <c r="BH18" s="62">
        <f>IFERROR(INDEX($AI$3:$AI$62,MATCH(SMALL($AM$3:$AM$62,ROW()-2),$AM$3:$AM$62,0)),"")</f>
        <v>97.37824675324676</v>
      </c>
      <c r="BI18" s="62">
        <f>IF($BF18="","",100)</f>
        <v>100</v>
      </c>
    </row>
    <row r="19" spans="1:64" ht="16.5" x14ac:dyDescent="0.35">
      <c r="A19" s="61" t="str">
        <f>IF(ピッキング!$B$23="","",ピッキング!$B$23)</f>
        <v>木村千鶴</v>
      </c>
      <c r="B19" s="62">
        <f>IF(ピッキング!$K$23="","",ピッキング!$K$23)</f>
        <v>99.64362464183381</v>
      </c>
      <c r="C19" s="62">
        <f>IF(梱包!$K$23="","",梱包!$K$23)</f>
        <v>71.829549454417446</v>
      </c>
      <c r="D19" s="61">
        <f>IF(ピッキング!$I$23="","",ピッキング!$I$23)</f>
        <v>1391.0250000000001</v>
      </c>
      <c r="E19" s="61">
        <f>IF(ピッキング!$D$23="","",ピッキング!$D$23)</f>
        <v>1396</v>
      </c>
      <c r="F19" s="61">
        <f>IF(梱包!$I$23="","",梱包!$I$23)</f>
        <v>2720.9033333333332</v>
      </c>
      <c r="G19" s="61">
        <f>IF(梱包!$D$23="","",梱包!$D$23)</f>
        <v>3788</v>
      </c>
      <c r="H19" s="61">
        <f t="shared" si="0"/>
        <v>1</v>
      </c>
      <c r="I19" s="61">
        <f>IF(H19=1,SUM(H$3:H19),"")</f>
        <v>15</v>
      </c>
      <c r="J19" s="62">
        <f t="shared" si="1"/>
        <v>79.319605195473258</v>
      </c>
      <c r="K19" s="61" t="str">
        <f t="shared" si="2"/>
        <v>森本久美</v>
      </c>
      <c r="L19" s="62">
        <f t="shared" si="3"/>
        <v>81.891759776536304</v>
      </c>
      <c r="M19" s="62">
        <f t="shared" si="4"/>
        <v>100.98448866067606</v>
      </c>
      <c r="N19" s="62">
        <f t="shared" si="5"/>
        <v>94.972881852829062</v>
      </c>
      <c r="O19" s="61" t="str">
        <f t="shared" si="6"/>
        <v>ピッキング改善</v>
      </c>
      <c r="P19" s="61">
        <v>17</v>
      </c>
      <c r="Q19" s="62">
        <f t="shared" si="7"/>
        <v>79.319605195473258</v>
      </c>
      <c r="R19" s="61" t="str">
        <f t="shared" si="8"/>
        <v>木村千鶴</v>
      </c>
      <c r="S19" s="62">
        <f t="shared" si="9"/>
        <v>99.64362464183381</v>
      </c>
      <c r="T19" s="62">
        <f t="shared" si="10"/>
        <v>71.829549454417446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79.319605195473258</v>
      </c>
      <c r="AE19" s="61" t="str">
        <f t="shared" si="14"/>
        <v>両方</v>
      </c>
      <c r="AF19" s="61" t="str">
        <f t="shared" si="15"/>
        <v>両工程を見直し</v>
      </c>
      <c r="AG19" s="61" t="str">
        <f t="shared" si="16"/>
        <v>木村千鶴</v>
      </c>
      <c r="AH19" s="62">
        <f t="shared" si="17"/>
        <v>99.64362464183381</v>
      </c>
      <c r="AI19" s="62">
        <f t="shared" si="18"/>
        <v>71.829549454417446</v>
      </c>
      <c r="AJ19" s="62">
        <f t="shared" si="19"/>
        <v>79.319605195473258</v>
      </c>
      <c r="AK19" s="61" t="str">
        <f t="shared" si="20"/>
        <v>両方</v>
      </c>
      <c r="AL19" s="61" t="str">
        <f t="shared" si="21"/>
        <v>両工程を見直し</v>
      </c>
      <c r="AM19" s="61">
        <f t="shared" si="22"/>
        <v>79.319624195473253</v>
      </c>
      <c r="AN19" s="61">
        <v>17</v>
      </c>
      <c r="AO19" s="61">
        <f t="shared" si="23"/>
        <v>94.972906852829055</v>
      </c>
      <c r="AP19" s="61" t="str">
        <f t="shared" si="24"/>
        <v>森本久美</v>
      </c>
      <c r="AQ19" s="62">
        <f t="shared" si="25"/>
        <v>81.891759776536304</v>
      </c>
      <c r="AR19" s="62">
        <f t="shared" si="26"/>
        <v>100.98448866067606</v>
      </c>
      <c r="AS19" s="62">
        <f t="shared" si="27"/>
        <v>94.972881852829062</v>
      </c>
      <c r="AT19" s="61" t="str">
        <f t="shared" si="28"/>
        <v>両方</v>
      </c>
      <c r="AU19" s="61" t="str">
        <f t="shared" si="29"/>
        <v>ピッキング改善</v>
      </c>
      <c r="AV19" s="61">
        <f t="shared" si="30"/>
        <v>100</v>
      </c>
      <c r="AW19" s="62" t="str">
        <f>IF($AY19="","",IF($AK19="PKのみ",$AH19,CHOOSE(MOD($AY19-1,6)+1,12,17,22,27,32,37)))</f>
        <v/>
      </c>
      <c r="AX19" s="62" t="str">
        <f>IF($AY19="","",IF($AK19="PKのみ",CHOOSE(MOD($AY19-1,6)+1,12,17,22,27,32,37),$AI19))</f>
        <v/>
      </c>
      <c r="AY19" s="62" t="str">
        <f>IF($AK19="PKのみ",COUNTIFS($AK$3:$AK$62,"PKのみ",$AH$3:$AH$62,"&lt;"&amp;$AH19)+1,IF($AK19="梱包のみ",COUNTIFS($AK$3:$AK$62,"梱包のみ",$AI$3:$AI$62,"&lt;"&amp;$AI19)+1,""))</f>
        <v/>
      </c>
      <c r="BD19" s="62">
        <f>IF($AG19="","",IF(OR(AND(ISNUMBER($AH19),OR($AH19&lt;10,$AH19&gt;190)),AND(ISNUMBER($AI19),OR($AI19&lt;10,$AI19&gt;190))),1,0))</f>
        <v>0</v>
      </c>
      <c r="BF19" s="61" t="str">
        <f>IFERROR(INDEX($AG$3:$AG$62,MATCH(SMALL($AM$3:$AM$62,ROW()-2),$AM$3:$AM$62,0)),"")</f>
        <v>高橋佐織</v>
      </c>
      <c r="BG19" s="62">
        <f>IFERROR(INDEX($AH$3:$AH$62,MATCH(SMALL($AM$3:$AM$62,ROW()-2),$AM$3:$AM$62,0)),"")</f>
        <v>106.8047477744807</v>
      </c>
      <c r="BH19" s="62">
        <f>IFERROR(INDEX($AI$3:$AI$62,MATCH(SMALL($AM$3:$AM$62,ROW()-2),$AM$3:$AM$62,0)),"")</f>
        <v>93.86370603420457</v>
      </c>
      <c r="BI19" s="62">
        <f>IF($BF19="","",100)</f>
        <v>100</v>
      </c>
    </row>
    <row r="20" spans="1:64" ht="16.5" x14ac:dyDescent="0.35">
      <c r="A20" s="61" t="str">
        <f>IF(ピッキング!$B$24="","",ピッキング!$B$24)</f>
        <v>奥野愛海</v>
      </c>
      <c r="B20" s="62">
        <f>IF(ピッキング!$K$24="","",ピッキング!$K$24)</f>
        <v>91.348648648648634</v>
      </c>
      <c r="C20" s="62" t="str">
        <f>IF(梱包!$K$24="","",梱包!$K$24)</f>
        <v/>
      </c>
      <c r="D20" s="61">
        <f>IF(ピッキング!$I$24="","",ピッキング!$I$24)</f>
        <v>844.97499999999991</v>
      </c>
      <c r="E20" s="61">
        <f>IF(ピッキング!$D$24="","",ピッキング!$D$24)</f>
        <v>925</v>
      </c>
      <c r="F20" s="61" t="str">
        <f>IF(梱包!$I$24="","",梱包!$I$24)</f>
        <v/>
      </c>
      <c r="G20" s="61" t="str">
        <f>IF(梱包!$D$24="","",梱包!$D$24)</f>
        <v/>
      </c>
      <c r="H20" s="61">
        <f t="shared" si="0"/>
        <v>0</v>
      </c>
      <c r="I20" s="61" t="str">
        <f>IF(H20=1,SUM(H$3:H20),"")</f>
        <v/>
      </c>
      <c r="J20" s="62" t="str">
        <f t="shared" si="1"/>
        <v/>
      </c>
      <c r="K20" s="61" t="str">
        <f t="shared" si="2"/>
        <v>菊池敬</v>
      </c>
      <c r="L20" s="62">
        <f t="shared" si="3"/>
        <v>85.862631578947358</v>
      </c>
      <c r="M20" s="62">
        <f t="shared" si="4"/>
        <v>65.703477177483293</v>
      </c>
      <c r="N20" s="62">
        <f t="shared" si="5"/>
        <v>70.622870108742191</v>
      </c>
      <c r="O20" s="61" t="str">
        <f t="shared" si="6"/>
        <v>両工程を見直し</v>
      </c>
      <c r="P20" s="61">
        <v>18</v>
      </c>
      <c r="Q20" s="62">
        <f t="shared" si="7"/>
        <v>70.622870108742191</v>
      </c>
      <c r="R20" s="61" t="str">
        <f t="shared" si="8"/>
        <v>菊池敬</v>
      </c>
      <c r="S20" s="62">
        <f t="shared" si="9"/>
        <v>85.862631578947358</v>
      </c>
      <c r="T20" s="62">
        <f t="shared" si="10"/>
        <v>65.703477177483293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91.348648648648634</v>
      </c>
      <c r="AE20" s="61" t="str">
        <f t="shared" si="14"/>
        <v>PKのみ</v>
      </c>
      <c r="AF20" s="61" t="str">
        <f t="shared" si="15"/>
        <v>ピッキング改善</v>
      </c>
      <c r="AG20" s="61" t="str">
        <f t="shared" si="16"/>
        <v>奥野愛海</v>
      </c>
      <c r="AH20" s="62">
        <f t="shared" si="17"/>
        <v>91.348648648648634</v>
      </c>
      <c r="AI20" s="62" t="str">
        <f t="shared" si="18"/>
        <v/>
      </c>
      <c r="AJ20" s="62">
        <f t="shared" si="19"/>
        <v>91.348648648648634</v>
      </c>
      <c r="AK20" s="61" t="str">
        <f t="shared" si="20"/>
        <v>PKのみ</v>
      </c>
      <c r="AL20" s="61" t="str">
        <f t="shared" si="21"/>
        <v>ピッキング改善</v>
      </c>
      <c r="AM20" s="61">
        <f t="shared" si="22"/>
        <v>91.348668648648641</v>
      </c>
      <c r="AN20" s="61">
        <v>18</v>
      </c>
      <c r="AO20" s="61">
        <f t="shared" si="23"/>
        <v>91.348668648648641</v>
      </c>
      <c r="AP20" s="61" t="str">
        <f t="shared" si="24"/>
        <v>奥野愛海</v>
      </c>
      <c r="AQ20" s="62">
        <f t="shared" si="25"/>
        <v>91.348648648648634</v>
      </c>
      <c r="AR20" s="62" t="str">
        <f t="shared" si="26"/>
        <v/>
      </c>
      <c r="AS20" s="62">
        <f t="shared" si="27"/>
        <v>91.348648648648634</v>
      </c>
      <c r="AT20" s="61" t="str">
        <f t="shared" si="28"/>
        <v>PKのみ</v>
      </c>
      <c r="AU20" s="61" t="str">
        <f t="shared" si="29"/>
        <v>ピッキング改善</v>
      </c>
      <c r="AV20" s="61">
        <f t="shared" si="30"/>
        <v>100</v>
      </c>
      <c r="AW20" s="62">
        <f>IF($AY20="","",IF($AK20="PKのみ",$AH20,CHOOSE(MOD($AY20-1,6)+1,12,17,22,27,32,37)))</f>
        <v>91.34864864864863</v>
      </c>
      <c r="AX20" s="62">
        <f>IF($AY20="","",IF($AK20="PKのみ",CHOOSE(MOD($AY20-1,6)+1,12,17,22,27,32,37),$AI20))</f>
        <v>17.0</v>
      </c>
      <c r="AY20" s="62">
        <f>IF($AK20="PKのみ",COUNTIFS($AK$3:$AK$62,"PKのみ",$AH$3:$AH$62,"&lt;"&amp;$AH20)+1,IF($AK20="梱包のみ",COUNTIFS($AK$3:$AK$62,"梱包のみ",$AI$3:$AI$62,"&lt;"&amp;$AI20)+1,""))</f>
        <v>8</v>
      </c>
      <c r="BD20" s="62">
        <f>IF($AG20="","",IF(OR(AND(ISNUMBER($AH20),OR($AH20&lt;10,$AH20&gt;190)),AND(ISNUMBER($AI20),OR($AI20&lt;10,$AI20&gt;190))),1,0))</f>
        <v>0</v>
      </c>
      <c r="BF20" s="61" t="str">
        <f>IFERROR(INDEX($AG$3:$AG$62,MATCH(SMALL($AM$3:$AM$62,ROW()-2),$AM$3:$AM$62,0)),"")</f>
        <v>後藤克行</v>
      </c>
      <c r="BG20" s="62">
        <f>IFERROR(INDEX($AH$3:$AH$62,MATCH(SMALL($AM$3:$AM$62,ROW()-2),$AM$3:$AM$62,0)),"")</f>
        <v>111.60069735006972</v>
      </c>
      <c r="BH20" s="62">
        <f>IFERROR(INDEX($AI$3:$AI$62,MATCH(SMALL($AM$3:$AM$62,ROW()-2),$AM$3:$AM$62,0)),"")</f>
        <v>80.32650966183573</v>
      </c>
      <c r="BI20" s="62">
        <f>IF($BF20="","",100)</f>
        <v>100</v>
      </c>
    </row>
    <row r="21" spans="1:64" ht="16.5" x14ac:dyDescent="0.35">
      <c r="A21" s="61" t="str">
        <f>IF(ピッキング!$B$25="","",ピッキング!$B$25)</f>
        <v>鈴木香織</v>
      </c>
      <c r="B21" s="62">
        <f>IF(ピッキング!$K$25="","",ピッキング!$K$25)</f>
        <v>96.542574257425741</v>
      </c>
      <c r="C21" s="62">
        <f>IF(梱包!$K$25="","",梱包!$K$25)</f>
        <v>97.378246753246756</v>
      </c>
      <c r="D21" s="61">
        <f>IF(ピッキング!$I$25="","",ピッキング!$I$25)</f>
        <v>487.53999999999996</v>
      </c>
      <c r="E21" s="61">
        <f>IF(ピッキング!$D$25="","",ピッキング!$D$25)</f>
        <v>505</v>
      </c>
      <c r="F21" s="61">
        <f>IF(梱包!$I$25="","",梱包!$I$25)</f>
        <v>1799.55</v>
      </c>
      <c r="G21" s="61">
        <f>IF(梱包!$D$25="","",梱包!$D$25)</f>
        <v>1848</v>
      </c>
      <c r="H21" s="61">
        <f t="shared" si="0"/>
        <v>1</v>
      </c>
      <c r="I21" s="61">
        <f>IF(H21=1,SUM(H$3:H21),"")</f>
        <v>16</v>
      </c>
      <c r="J21" s="62">
        <f t="shared" si="1"/>
        <v>97.198895027624303</v>
      </c>
      <c r="K21" s="61" t="str">
        <f t="shared" si="2"/>
        <v>飯田由加里</v>
      </c>
      <c r="L21" s="62">
        <f t="shared" si="3"/>
        <v>74.630235602094231</v>
      </c>
      <c r="M21" s="62">
        <f t="shared" si="4"/>
        <v>129.17098681218735</v>
      </c>
      <c r="N21" s="62">
        <f t="shared" si="5"/>
        <v>110.4852765321375</v>
      </c>
      <c r="O21" s="61" t="str">
        <f t="shared" si="6"/>
        <v>ピッキング改善</v>
      </c>
      <c r="P21" s="61">
        <v>19</v>
      </c>
      <c r="Q21" s="62">
        <f t="shared" si="7"/>
        <v>60.9098121085595</v>
      </c>
      <c r="R21" s="61" t="str">
        <f t="shared" si="8"/>
        <v>森田美加</v>
      </c>
      <c r="S21" s="62">
        <f t="shared" si="9"/>
        <v>98.221111111111114</v>
      </c>
      <c r="T21" s="62">
        <f t="shared" si="10"/>
        <v>52.277377892030849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97.198895027624303</v>
      </c>
      <c r="AE21" s="61" t="str">
        <f t="shared" si="14"/>
        <v>両方</v>
      </c>
      <c r="AF21" s="61" t="str">
        <f t="shared" si="15"/>
        <v>両工程を見直し</v>
      </c>
      <c r="AG21" s="61" t="str">
        <f t="shared" si="16"/>
        <v>鈴木香織</v>
      </c>
      <c r="AH21" s="62">
        <f t="shared" si="17"/>
        <v>96.542574257425741</v>
      </c>
      <c r="AI21" s="62">
        <f t="shared" si="18"/>
        <v>97.378246753246756</v>
      </c>
      <c r="AJ21" s="62">
        <f t="shared" si="19"/>
        <v>97.198895027624303</v>
      </c>
      <c r="AK21" s="61" t="str">
        <f t="shared" si="20"/>
        <v>両方</v>
      </c>
      <c r="AL21" s="61" t="str">
        <f t="shared" si="21"/>
        <v>両工程を見直し</v>
      </c>
      <c r="AM21" s="61">
        <f t="shared" si="22"/>
        <v>97.198916027624307</v>
      </c>
      <c r="AN21" s="61">
        <v>19</v>
      </c>
      <c r="AO21" s="61">
        <f t="shared" si="23"/>
        <v>89.993358886993619</v>
      </c>
      <c r="AP21" s="61" t="str">
        <f t="shared" si="24"/>
        <v>向井ひかり</v>
      </c>
      <c r="AQ21" s="62">
        <f t="shared" si="25"/>
        <v>89.993336886993617</v>
      </c>
      <c r="AR21" s="62" t="str">
        <f t="shared" si="26"/>
        <v/>
      </c>
      <c r="AS21" s="62">
        <f t="shared" si="27"/>
        <v>89.993336886993617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  <c r="AW21" s="62" t="str">
        <f>IF($AY21="","",IF($AK21="PKのみ",$AH21,CHOOSE(MOD($AY21-1,6)+1,12,17,22,27,32,37)))</f>
        <v/>
      </c>
      <c r="AX21" s="62" t="str">
        <f>IF($AY21="","",IF($AK21="PKのみ",CHOOSE(MOD($AY21-1,6)+1,12,17,22,27,32,37),$AI21))</f>
        <v/>
      </c>
      <c r="AY21" s="62" t="str">
        <f>IF($AK21="PKのみ",COUNTIFS($AK$3:$AK$62,"PKのみ",$AH$3:$AH$62,"&lt;"&amp;$AH21)+1,IF($AK21="梱包のみ",COUNTIFS($AK$3:$AK$62,"梱包のみ",$AI$3:$AI$62,"&lt;"&amp;$AI21)+1,""))</f>
        <v/>
      </c>
      <c r="BD21" s="62">
        <f>IF($AG21="","",IF(OR(AND(ISNUMBER($AH21),OR($AH21&lt;10,$AH21&gt;190)),AND(ISNUMBER($AI21),OR($AI21&lt;10,$AI21&gt;190))),1,0))</f>
        <v>0</v>
      </c>
      <c r="BF21" s="61" t="str">
        <f>IFERROR(INDEX($AG$3:$AG$62,MATCH(SMALL($AM$3:$AM$62,ROW()-2),$AM$3:$AM$62,0)),"")</f>
        <v>石戸谷亜子</v>
      </c>
      <c r="BG21" s="62">
        <f>IFERROR(INDEX($AH$3:$AH$62,MATCH(SMALL($AM$3:$AM$62,ROW()-2),$AM$3:$AM$62,0)),"")</f>
        <v>100.59261744966443</v>
      </c>
      <c r="BH21" s="61" t="str">
        <f>IFERROR(INDEX($AI$3:$AI$62,MATCH(SMALL($AM$3:$AM$62,ROW()-2),$AM$3:$AM$62,0)),"")</f>
        <v/>
      </c>
      <c r="BI21" s="62">
        <f>IF($BF21="","",100)</f>
        <v>100</v>
      </c>
    </row>
    <row r="22" spans="1:64" ht="16.5" x14ac:dyDescent="0.35">
      <c r="A22" s="61" t="str">
        <f>IF(ピッキング!$B$26="","",ピッキング!$B$26)</f>
        <v>向井ひかり</v>
      </c>
      <c r="B22" s="62">
        <f>IF(ピッキング!$K$26="","",ピッキング!$K$26)</f>
        <v>89.993336886993617</v>
      </c>
      <c r="C22" s="62" t="str">
        <f>IF(梱包!$K$26="","",梱包!$K$26)</f>
        <v/>
      </c>
      <c r="D22" s="61">
        <f>IF(ピッキング!$I$26="","",ピッキング!$I$26)</f>
        <v>1688.2750000000001</v>
      </c>
      <c r="E22" s="61">
        <f>IF(ピッキング!$D$26="","",ピッキング!$D$26)</f>
        <v>1876</v>
      </c>
      <c r="F22" s="61" t="str">
        <f>IF(梱包!$I$26="","",梱包!$I$26)</f>
        <v/>
      </c>
      <c r="G22" s="61" t="str">
        <f>IF(梱包!$D$26="","",梱包!$D$26)</f>
        <v/>
      </c>
      <c r="H22" s="61">
        <f t="shared" si="0"/>
        <v>0</v>
      </c>
      <c r="I22" s="61" t="str">
        <f>IF(H22=1,SUM(H$3:H22),"")</f>
        <v/>
      </c>
      <c r="J22" s="62" t="str">
        <f t="shared" si="1"/>
        <v/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89.993336886993617</v>
      </c>
      <c r="AE22" s="61" t="str">
        <f t="shared" si="14"/>
        <v>PKのみ</v>
      </c>
      <c r="AF22" s="61" t="str">
        <f t="shared" si="15"/>
        <v>ピッキング改善</v>
      </c>
      <c r="AG22" s="61" t="str">
        <f t="shared" si="16"/>
        <v>向井ひかり</v>
      </c>
      <c r="AH22" s="62">
        <f t="shared" si="17"/>
        <v>89.993336886993617</v>
      </c>
      <c r="AI22" s="62" t="str">
        <f t="shared" si="18"/>
        <v/>
      </c>
      <c r="AJ22" s="62">
        <f t="shared" si="19"/>
        <v>89.993336886993617</v>
      </c>
      <c r="AK22" s="61" t="str">
        <f t="shared" si="20"/>
        <v>PKのみ</v>
      </c>
      <c r="AL22" s="61" t="str">
        <f t="shared" si="21"/>
        <v>ピッキング改善</v>
      </c>
      <c r="AM22" s="61">
        <f t="shared" si="22"/>
        <v>89.993358886993619</v>
      </c>
      <c r="AN22" s="61">
        <v>20</v>
      </c>
      <c r="AO22" s="61">
        <f t="shared" si="23"/>
        <v>88.026646718052717</v>
      </c>
      <c r="AP22" s="61" t="str">
        <f t="shared" si="24"/>
        <v>廣瀬こずえ</v>
      </c>
      <c r="AQ22" s="62">
        <f t="shared" si="25"/>
        <v>88.026622718052721</v>
      </c>
      <c r="AR22" s="62" t="str">
        <f t="shared" si="26"/>
        <v/>
      </c>
      <c r="AS22" s="62">
        <f t="shared" si="27"/>
        <v>88.026622718052721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  <c r="AW22" s="62">
        <f>IF($AY22="","",IF($AK22="PKのみ",$AH22,CHOOSE(MOD($AY22-1,6)+1,12,17,22,27,32,37)))</f>
        <v>89.99333688699362</v>
      </c>
      <c r="AX22" s="62">
        <f>IF($AY22="","",IF($AK22="PKのみ",CHOOSE(MOD($AY22-1,6)+1,12,17,22,27,32,37),$AI22))</f>
        <v>12.0</v>
      </c>
      <c r="AY22" s="62">
        <f>IF($AK22="PKのみ",COUNTIFS($AK$3:$AK$62,"PKのみ",$AH$3:$AH$62,"&lt;"&amp;$AH22)+1,IF($AK22="梱包のみ",COUNTIFS($AK$3:$AK$62,"梱包のみ",$AI$3:$AI$62,"&lt;"&amp;$AI22)+1,""))</f>
        <v>7</v>
      </c>
      <c r="BD22" s="62">
        <f>IF($AG22="","",IF(OR(AND(ISNUMBER($AH22),OR($AH22&lt;10,$AH22&gt;190)),AND(ISNUMBER($AI22),OR($AI22&lt;10,$AI22&gt;190))),1,0))</f>
        <v>0</v>
      </c>
      <c r="BF22" s="61" t="str">
        <f>IFERROR(INDEX($AG$3:$AG$62,MATCH(SMALL($AM$3:$AM$62,ROW()-2),$AM$3:$AM$62,0)),"")</f>
        <v>澤田凌</v>
      </c>
      <c r="BG22" s="62">
        <f>IFERROR(INDEX($AH$3:$AH$62,MATCH(SMALL($AM$3:$AM$62,ROW()-2),$AM$3:$AM$62,0)),"")</f>
        <v>138.5160642570281</v>
      </c>
      <c r="BH22" s="62">
        <f>IFERROR(INDEX($AI$3:$AI$62,MATCH(SMALL($AM$3:$AM$62,ROW()-2),$AM$3:$AM$62,0)),"")</f>
        <v>72.98028322440088</v>
      </c>
      <c r="BI22" s="62">
        <f>IF($BF22="","",100)</f>
        <v>100</v>
      </c>
    </row>
    <row r="23" spans="1:64" ht="16.5" x14ac:dyDescent="0.35">
      <c r="A23" s="61" t="str">
        <f>IF(ピッキング!$B$27="","",ピッキング!$B$27)</f>
        <v>片岡達也</v>
      </c>
      <c r="B23" s="62">
        <f>IF(ピッキング!$K$27="","",ピッキング!$K$27)</f>
        <v>76.883663366336634</v>
      </c>
      <c r="C23" s="62" t="str">
        <f>IF(梱包!$K$27="","",梱包!$K$27)</f>
        <v/>
      </c>
      <c r="D23" s="61">
        <f>IF(ピッキング!$I$27="","",ピッキング!$I$27)</f>
        <v>155.30500000000001</v>
      </c>
      <c r="E23" s="61">
        <f>IF(ピッキング!$D$27="","",ピッキング!$D$27)</f>
        <v>202</v>
      </c>
      <c r="F23" s="61" t="str">
        <f>IF(梱包!$I$27="","",梱包!$I$27)</f>
        <v/>
      </c>
      <c r="G23" s="61" t="str">
        <f>IF(梱包!$D$27="","",梱包!$D$27)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76.883663366336634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片岡達也</v>
      </c>
      <c r="AH23" s="62">
        <f t="shared" si="17"/>
        <v>76.883663366336634</v>
      </c>
      <c r="AI23" s="62" t="str">
        <f t="shared" si="18"/>
        <v/>
      </c>
      <c r="AJ23" s="62">
        <f t="shared" si="19"/>
        <v>76.883663366336634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76.883686366336633</v>
      </c>
      <c r="AN23" s="61">
        <v>21</v>
      </c>
      <c r="AO23" s="61">
        <f t="shared" si="23"/>
        <v>87.373538411764713</v>
      </c>
      <c r="AP23" s="61" t="str">
        <f t="shared" si="24"/>
        <v>中村美佳</v>
      </c>
      <c r="AQ23" s="62">
        <f t="shared" si="25"/>
        <v>121.32499999999997</v>
      </c>
      <c r="AR23" s="62">
        <f t="shared" si="26"/>
        <v>81.792465753424665</v>
      </c>
      <c r="AS23" s="62">
        <f t="shared" si="27"/>
        <v>87.373529411764707</v>
      </c>
      <c r="AT23" s="61" t="str">
        <f t="shared" si="28"/>
        <v>両方</v>
      </c>
      <c r="AU23" s="61" t="str">
        <f t="shared" si="29"/>
        <v>梱包手順を改善</v>
      </c>
      <c r="AV23" s="61">
        <f t="shared" si="30"/>
        <v>100</v>
      </c>
      <c r="AW23" s="62">
        <f>IF($AY23="","",IF($AK23="PKのみ",$AH23,CHOOSE(MOD($AY23-1,6)+1,12,17,22,27,32,37)))</f>
        <v>76.88366336633663</v>
      </c>
      <c r="AX23" s="62">
        <f>IF($AY23="","",IF($AK23="PKのみ",CHOOSE(MOD($AY23-1,6)+1,12,17,22,27,32,37),$AI23))</f>
        <v>17.0</v>
      </c>
      <c r="AY23" s="62">
        <f>IF($AK23="PKのみ",COUNTIFS($AK$3:$AK$62,"PKのみ",$AH$3:$AH$62,"&lt;"&amp;$AH23)+1,IF($AK23="梱包のみ",COUNTIFS($AK$3:$AK$62,"梱包のみ",$AI$3:$AI$62,"&lt;"&amp;$AI23)+1,""))</f>
        <v>2</v>
      </c>
      <c r="BD23" s="62">
        <f>IF($AG23="","",IF(OR(AND(ISNUMBER($AH23),OR($AH23&lt;10,$AH23&gt;190)),AND(ISNUMBER($AI23),OR($AI23&lt;10,$AI23&gt;190))),1,0))</f>
        <v>0</v>
      </c>
    </row>
    <row r="24" spans="1:64" ht="16.5" x14ac:dyDescent="0.35">
      <c r="A24" s="61" t="str">
        <f>IF(ピッキング!$B$28="","",ピッキング!$B$28)</f>
        <v>廣瀬こずえ</v>
      </c>
      <c r="B24" s="62">
        <f>IF(ピッキング!$K$28="","",ピッキング!$K$28)</f>
        <v>88.026622718052721</v>
      </c>
      <c r="C24" s="62" t="str">
        <f>IF(梱包!$K$28="","",梱包!$K$28)</f>
        <v/>
      </c>
      <c r="D24" s="61">
        <f>IF(ピッキング!$I$28="","",ピッキング!$I$28)</f>
        <v>1735.8849999999998</v>
      </c>
      <c r="E24" s="61">
        <f>IF(ピッキング!$D$28="","",ピッキング!$D$28)</f>
        <v>1972</v>
      </c>
      <c r="F24" s="61" t="str">
        <f>IF(梱包!$I$28="","",梱包!$I$28)</f>
        <v/>
      </c>
      <c r="G24" s="61" t="str">
        <f>IF(梱包!$D$28="","",梱包!$D$28)</f>
        <v/>
      </c>
      <c r="H24" s="61">
        <f t="shared" si="0"/>
        <v>0</v>
      </c>
      <c r="I24" s="61" t="str">
        <f>IF(H24=1,SUM(H$3:H24),"")</f>
        <v/>
      </c>
      <c r="J24" s="62" t="str">
        <f t="shared" si="1"/>
        <v/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88.026622718052721</v>
      </c>
      <c r="AE24" s="61" t="str">
        <f t="shared" si="14"/>
        <v>PKのみ</v>
      </c>
      <c r="AF24" s="61" t="str">
        <f t="shared" si="15"/>
        <v>ピッキング改善</v>
      </c>
      <c r="AG24" s="61" t="str">
        <f t="shared" si="16"/>
        <v>廣瀬こずえ</v>
      </c>
      <c r="AH24" s="62">
        <f t="shared" si="17"/>
        <v>88.026622718052721</v>
      </c>
      <c r="AI24" s="62" t="str">
        <f t="shared" si="18"/>
        <v/>
      </c>
      <c r="AJ24" s="62">
        <f t="shared" si="19"/>
        <v>88.026622718052721</v>
      </c>
      <c r="AK24" s="61" t="str">
        <f t="shared" si="20"/>
        <v>PKのみ</v>
      </c>
      <c r="AL24" s="61" t="str">
        <f t="shared" si="21"/>
        <v>ピッキング改善</v>
      </c>
      <c r="AM24" s="61">
        <f t="shared" si="22"/>
        <v>88.026646718052717</v>
      </c>
      <c r="AN24" s="61">
        <v>22</v>
      </c>
      <c r="AO24" s="61">
        <f t="shared" si="23"/>
        <v>80.891660466135463</v>
      </c>
      <c r="AP24" s="61" t="str">
        <f t="shared" si="24"/>
        <v>高橋正美</v>
      </c>
      <c r="AQ24" s="62">
        <f t="shared" si="25"/>
        <v>80.89163346613546</v>
      </c>
      <c r="AR24" s="62" t="str">
        <f t="shared" si="26"/>
        <v/>
      </c>
      <c r="AS24" s="62">
        <f t="shared" si="27"/>
        <v>80.89163346613546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  <c r="AW24" s="62">
        <f>IF($AY24="","",IF($AK24="PKのみ",$AH24,CHOOSE(MOD($AY24-1,6)+1,12,17,22,27,32,37)))</f>
        <v>88.02662271805272</v>
      </c>
      <c r="AX24" s="62">
        <f>IF($AY24="","",IF($AK24="PKのみ",CHOOSE(MOD($AY24-1,6)+1,12,17,22,27,32,37),$AI24))</f>
        <v>37.0</v>
      </c>
      <c r="AY24" s="62">
        <f>IF($AK24="PKのみ",COUNTIFS($AK$3:$AK$62,"PKのみ",$AH$3:$AH$62,"&lt;"&amp;$AH24)+1,IF($AK24="梱包のみ",COUNTIFS($AK$3:$AK$62,"梱包のみ",$AI$3:$AI$62,"&lt;"&amp;$AI24)+1,""))</f>
        <v>6</v>
      </c>
      <c r="BD24" s="62">
        <f>IF($AG24="","",IF(OR(AND(ISNUMBER($AH24),OR($AH24&lt;10,$AH24&gt;190)),AND(ISNUMBER($AI24),OR($AI24&lt;10,$AI24&gt;190))),1,0))</f>
        <v>0</v>
      </c>
    </row>
    <row r="25" spans="1:64" ht="16.5" x14ac:dyDescent="0.35">
      <c r="A25" s="61" t="str">
        <f>IF(ピッキング!$B$29="","",ピッキング!$B$29)</f>
        <v>森本久美</v>
      </c>
      <c r="B25" s="62">
        <f>IF(ピッキング!$K$29="","",ピッキング!$K$29)</f>
        <v>81.891759776536304</v>
      </c>
      <c r="C25" s="62">
        <f>IF(梱包!$K$29="","",梱包!$K$29)</f>
        <v>100.98448866067606</v>
      </c>
      <c r="D25" s="61">
        <f>IF(ピッキング!$I$29="","",ピッキング!$I$29)</f>
        <v>586.34499999999991</v>
      </c>
      <c r="E25" s="61">
        <f>IF(ピッキング!$D$29="","",ピッキング!$D$29)</f>
        <v>716</v>
      </c>
      <c r="F25" s="61">
        <f>IF(梱包!$I$29="","",梱包!$I$29)</f>
        <v>1573.3383333333331</v>
      </c>
      <c r="G25" s="61">
        <f>IF(梱包!$D$29="","",梱包!$D$29)</f>
        <v>1558</v>
      </c>
      <c r="H25" s="61">
        <f t="shared" si="0"/>
        <v>1</v>
      </c>
      <c r="I25" s="61">
        <f>IF(H25=1,SUM(H$3:H25),"")</f>
        <v>17</v>
      </c>
      <c r="J25" s="62">
        <f t="shared" si="1"/>
        <v>94.972881852829062</v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94.972881852829062</v>
      </c>
      <c r="AE25" s="61" t="str">
        <f t="shared" si="14"/>
        <v>両方</v>
      </c>
      <c r="AF25" s="61" t="str">
        <f t="shared" si="15"/>
        <v>ピッキング改善</v>
      </c>
      <c r="AG25" s="61" t="str">
        <f t="shared" si="16"/>
        <v>森本久美</v>
      </c>
      <c r="AH25" s="62">
        <f t="shared" si="17"/>
        <v>81.891759776536304</v>
      </c>
      <c r="AI25" s="62">
        <f t="shared" si="18"/>
        <v>100.98448866067606</v>
      </c>
      <c r="AJ25" s="62">
        <f t="shared" si="19"/>
        <v>94.972881852829062</v>
      </c>
      <c r="AK25" s="61" t="str">
        <f t="shared" si="20"/>
        <v>両方</v>
      </c>
      <c r="AL25" s="61" t="str">
        <f t="shared" si="21"/>
        <v>ピッキング改善</v>
      </c>
      <c r="AM25" s="61">
        <f t="shared" si="22"/>
        <v>94.972906852829055</v>
      </c>
      <c r="AN25" s="61">
        <v>23</v>
      </c>
      <c r="AO25" s="61">
        <f t="shared" si="23"/>
        <v>80.289665058261704</v>
      </c>
      <c r="AP25" s="61" t="str">
        <f t="shared" si="24"/>
        <v>秋草文恵</v>
      </c>
      <c r="AQ25" s="62">
        <f t="shared" si="25"/>
        <v>80.289637058261704</v>
      </c>
      <c r="AR25" s="62" t="str">
        <f t="shared" si="26"/>
        <v/>
      </c>
      <c r="AS25" s="62">
        <f t="shared" si="27"/>
        <v>80.289637058261704</v>
      </c>
      <c r="AT25" s="61" t="str">
        <f t="shared" si="28"/>
        <v>PKのみ</v>
      </c>
      <c r="AU25" s="61" t="str">
        <f t="shared" si="29"/>
        <v>ピッキング改善</v>
      </c>
      <c r="AV25" s="61">
        <f t="shared" si="30"/>
        <v>100</v>
      </c>
      <c r="AW25" s="62" t="str">
        <f>IF($AY25="","",IF($AK25="PKのみ",$AH25,CHOOSE(MOD($AY25-1,6)+1,12,17,22,27,32,37)))</f>
        <v/>
      </c>
      <c r="AX25" s="62" t="str">
        <f>IF($AY25="","",IF($AK25="PKのみ",CHOOSE(MOD($AY25-1,6)+1,12,17,22,27,32,37),$AI25))</f>
        <v/>
      </c>
      <c r="AY25" s="62" t="str">
        <f>IF($AK25="PKのみ",COUNTIFS($AK$3:$AK$62,"PKのみ",$AH$3:$AH$62,"&lt;"&amp;$AH25)+1,IF($AK25="梱包のみ",COUNTIFS($AK$3:$AK$62,"梱包のみ",$AI$3:$AI$62,"&lt;"&amp;$AI25)+1,""))</f>
        <v/>
      </c>
      <c r="BD25" s="62">
        <f>IF($AG25="","",IF(OR(AND(ISNUMBER($AH25),OR($AH25&lt;10,$AH25&gt;190)),AND(ISNUMBER($AI25),OR($AI25&lt;10,$AI25&gt;190))),1,0))</f>
        <v>0</v>
      </c>
    </row>
    <row r="26" spans="1:64" ht="16.5" x14ac:dyDescent="0.35">
      <c r="A26" s="61" t="str">
        <f>IF(ピッキング!$B$30="","",ピッキング!$B$30)</f>
        <v>菊池敬</v>
      </c>
      <c r="B26" s="62">
        <f>IF(ピッキング!$K$30="","",ピッキング!$K$30)</f>
        <v>85.862631578947358</v>
      </c>
      <c r="C26" s="62">
        <f>IF(梱包!$K$30="","",梱包!$K$30)</f>
        <v>65.703477177483293</v>
      </c>
      <c r="D26" s="61">
        <f>IF(ピッキング!$I$30="","",ピッキング!$I$30)</f>
        <v>815.69499999999994</v>
      </c>
      <c r="E26" s="61">
        <f>IF(ピッキング!$D$30="","",ピッキング!$D$30)</f>
        <v>950</v>
      </c>
      <c r="F26" s="61">
        <f>IF(梱包!$I$30="","",梱包!$I$30)</f>
        <v>1933.6533333333332</v>
      </c>
      <c r="G26" s="61">
        <f>IF(梱包!$D$30="","",梱包!$D$30)</f>
        <v>2943</v>
      </c>
      <c r="H26" s="61">
        <f t="shared" si="0"/>
        <v>1</v>
      </c>
      <c r="I26" s="61">
        <f>IF(H26=1,SUM(H$3:H26),"")</f>
        <v>18</v>
      </c>
      <c r="J26" s="62">
        <f t="shared" si="1"/>
        <v>70.622870108742191</v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70.622870108742191</v>
      </c>
      <c r="AE26" s="61" t="str">
        <f t="shared" si="14"/>
        <v>両方</v>
      </c>
      <c r="AF26" s="61" t="str">
        <f t="shared" si="15"/>
        <v>両工程を見直し</v>
      </c>
      <c r="AG26" s="61" t="str">
        <f t="shared" si="16"/>
        <v>菊池敬</v>
      </c>
      <c r="AH26" s="62">
        <f t="shared" si="17"/>
        <v>85.862631578947358</v>
      </c>
      <c r="AI26" s="62">
        <f t="shared" si="18"/>
        <v>65.703477177483293</v>
      </c>
      <c r="AJ26" s="62">
        <f t="shared" si="19"/>
        <v>70.622870108742191</v>
      </c>
      <c r="AK26" s="61" t="str">
        <f t="shared" si="20"/>
        <v>両方</v>
      </c>
      <c r="AL26" s="61" t="str">
        <f t="shared" si="21"/>
        <v>両工程を見直し</v>
      </c>
      <c r="AM26" s="61">
        <f t="shared" si="22"/>
        <v>70.622896108742196</v>
      </c>
      <c r="AN26" s="61">
        <v>24</v>
      </c>
      <c r="AO26" s="61">
        <f t="shared" si="23"/>
        <v>79.358190350844282</v>
      </c>
      <c r="AP26" s="61" t="str">
        <f t="shared" si="24"/>
        <v>上村和恵</v>
      </c>
      <c r="AQ26" s="62">
        <f t="shared" si="25"/>
        <v>79.358161350844284</v>
      </c>
      <c r="AR26" s="62" t="str">
        <f t="shared" si="26"/>
        <v/>
      </c>
      <c r="AS26" s="62">
        <f t="shared" si="27"/>
        <v>79.358161350844284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  <c r="AW26" s="62" t="str">
        <f>IF($AY26="","",IF($AK26="PKのみ",$AH26,CHOOSE(MOD($AY26-1,6)+1,12,17,22,27,32,37)))</f>
        <v/>
      </c>
      <c r="AX26" s="62" t="str">
        <f>IF($AY26="","",IF($AK26="PKのみ",CHOOSE(MOD($AY26-1,6)+1,12,17,22,27,32,37),$AI26))</f>
        <v/>
      </c>
      <c r="AY26" s="62" t="str">
        <f>IF($AK26="PKのみ",COUNTIFS($AK$3:$AK$62,"PKのみ",$AH$3:$AH$62,"&lt;"&amp;$AH26)+1,IF($AK26="梱包のみ",COUNTIFS($AK$3:$AK$62,"梱包のみ",$AI$3:$AI$62,"&lt;"&amp;$AI26)+1,""))</f>
        <v/>
      </c>
      <c r="BD26" s="62">
        <f>IF($AG26="","",IF(OR(AND(ISNUMBER($AH26),OR($AH26&lt;10,$AH26&gt;190)),AND(ISNUMBER($AI26),OR($AI26&lt;10,$AI26&gt;190))),1,0))</f>
        <v>0</v>
      </c>
    </row>
    <row r="27" spans="1:64" ht="16.5" x14ac:dyDescent="0.35">
      <c r="A27" s="61" t="str">
        <f>IF(ピッキング!$B$31="","",ピッキング!$B$31)</f>
        <v>高橋正美</v>
      </c>
      <c r="B27" s="62">
        <f>IF(ピッキング!$K$31="","",ピッキング!$K$31)</f>
        <v>80.89163346613546</v>
      </c>
      <c r="C27" s="62" t="str">
        <f>IF(梱包!$K$31="","",梱包!$K$31)</f>
        <v/>
      </c>
      <c r="D27" s="61">
        <f>IF(ピッキング!$I$31="","",ピッキング!$I$31)</f>
        <v>2030.38</v>
      </c>
      <c r="E27" s="61">
        <f>IF(ピッキング!$D$31="","",ピッキング!$D$31)</f>
        <v>2510</v>
      </c>
      <c r="F27" s="61" t="str">
        <f>IF(梱包!$I$31="","",梱包!$I$31)</f>
        <v/>
      </c>
      <c r="G27" s="61" t="str">
        <f>IF(梱包!$D$31="","",梱包!$D$31)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80.89163346613546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高橋正美</v>
      </c>
      <c r="AH27" s="62">
        <f t="shared" si="17"/>
        <v>80.89163346613546</v>
      </c>
      <c r="AI27" s="62" t="str">
        <f t="shared" si="18"/>
        <v/>
      </c>
      <c r="AJ27" s="62">
        <f t="shared" si="19"/>
        <v>80.89163346613546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80.891660466135463</v>
      </c>
      <c r="AN27" s="61">
        <v>25</v>
      </c>
      <c r="AO27" s="61">
        <f t="shared" si="23"/>
        <v>79.319624195473253</v>
      </c>
      <c r="AP27" s="61" t="str">
        <f t="shared" si="24"/>
        <v>木村千鶴</v>
      </c>
      <c r="AQ27" s="62">
        <f t="shared" si="25"/>
        <v>99.64362464183381</v>
      </c>
      <c r="AR27" s="62">
        <f t="shared" si="26"/>
        <v>71.829549454417446</v>
      </c>
      <c r="AS27" s="62">
        <f t="shared" si="27"/>
        <v>79.319605195473258</v>
      </c>
      <c r="AT27" s="61" t="str">
        <f t="shared" si="28"/>
        <v>両方</v>
      </c>
      <c r="AU27" s="61" t="str">
        <f t="shared" si="29"/>
        <v>両工程を見直し</v>
      </c>
      <c r="AV27" s="61">
        <f t="shared" si="30"/>
        <v>100</v>
      </c>
      <c r="AW27" s="62">
        <f>IF($AY27="","",IF($AK27="PKのみ",$AH27,CHOOSE(MOD($AY27-1,6)+1,12,17,22,27,32,37)))</f>
        <v>80.89163346613546</v>
      </c>
      <c r="AX27" s="62">
        <f>IF($AY27="","",IF($AK27="PKのみ",CHOOSE(MOD($AY27-1,6)+1,12,17,22,27,32,37),$AI27))</f>
        <v>32.0</v>
      </c>
      <c r="AY27" s="62">
        <f>IF($AK27="PKのみ",COUNTIFS($AK$3:$AK$62,"PKのみ",$AH$3:$AH$62,"&lt;"&amp;$AH27)+1,IF($AK27="梱包のみ",COUNTIFS($AK$3:$AK$62,"梱包のみ",$AI$3:$AI$62,"&lt;"&amp;$AI27)+1,""))</f>
        <v>5</v>
      </c>
      <c r="BD27" s="62">
        <f>IF($AG27="","",IF(OR(AND(ISNUMBER($AH27),OR($AH27&lt;10,$AH27&gt;190)),AND(ISNUMBER($AI27),OR($AI27&lt;10,$AI27&gt;190))),1,0))</f>
        <v>0</v>
      </c>
    </row>
    <row r="28" spans="1:64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80.289637058261704</v>
      </c>
      <c r="C28" s="62" t="str">
        <f>IF(梱包!$K$32="","",梱包!$K$32)</f>
        <v/>
      </c>
      <c r="D28" s="61">
        <f>IF(ピッキング!$I$32="","",ピッキング!$I$32)</f>
        <v>1681.2649999999999</v>
      </c>
      <c r="E28" s="61">
        <f>IF(ピッキング!$D$32="","",ピッキング!$D$32)</f>
        <v>2094</v>
      </c>
      <c r="F28" s="61" t="str">
        <f>IF(梱包!$I$32="","",梱包!$I$32)</f>
        <v/>
      </c>
      <c r="G28" s="61" t="str">
        <f>IF(梱包!$D$32="","",梱包!$D$32)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80.289637058261704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80.289637058261704</v>
      </c>
      <c r="AI28" s="62" t="str">
        <f t="shared" si="18"/>
        <v/>
      </c>
      <c r="AJ28" s="62">
        <f t="shared" si="19"/>
        <v>80.289637058261704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80.289665058261704</v>
      </c>
      <c r="AN28" s="61">
        <v>26</v>
      </c>
      <c r="AO28" s="61">
        <f t="shared" si="23"/>
        <v>76.883686366336633</v>
      </c>
      <c r="AP28" s="61" t="str">
        <f t="shared" si="24"/>
        <v>片岡達也</v>
      </c>
      <c r="AQ28" s="62">
        <f t="shared" si="25"/>
        <v>76.883663366336634</v>
      </c>
      <c r="AR28" s="62" t="str">
        <f t="shared" si="26"/>
        <v/>
      </c>
      <c r="AS28" s="62">
        <f t="shared" si="27"/>
        <v>76.883663366336634</v>
      </c>
      <c r="AT28" s="61" t="str">
        <f t="shared" si="28"/>
        <v>PKのみ</v>
      </c>
      <c r="AU28" s="61" t="str">
        <f t="shared" si="29"/>
        <v>ピッキング改善</v>
      </c>
      <c r="AV28" s="61">
        <f t="shared" si="30"/>
        <v>100</v>
      </c>
      <c r="AW28" s="62">
        <f>IF($AY28="","",IF($AK28="PKのみ",$AH28,CHOOSE(MOD($AY28-1,6)+1,12,17,22,27,32,37)))</f>
        <v>80.2896370582617</v>
      </c>
      <c r="AX28" s="62">
        <f>IF($AY28="","",IF($AK28="PKのみ",CHOOSE(MOD($AY28-1,6)+1,12,17,22,27,32,37),$AI28))</f>
        <v>27.0</v>
      </c>
      <c r="AY28" s="62">
        <f>IF($AK28="PKのみ",COUNTIFS($AK$3:$AK$62,"PKのみ",$AH$3:$AH$62,"&lt;"&amp;$AH28)+1,IF($AK28="梱包のみ",COUNTIFS($AK$3:$AK$62,"梱包のみ",$AI$3:$AI$62,"&lt;"&amp;$AI28)+1,""))</f>
        <v>4</v>
      </c>
      <c r="BD28" s="62">
        <f>IF($AG28="","",IF(OR(AND(ISNUMBER($AH28),OR($AH28&lt;10,$AH28&gt;190)),AND(ISNUMBER($AI28),OR($AI28&lt;10,$AI28&gt;190))),1,0))</f>
        <v>0</v>
      </c>
    </row>
    <row r="29" spans="1:64" ht="16.5" x14ac:dyDescent="0.35">
      <c r="A29" s="61" t="str">
        <f>IF(ピッキング!$B$33="","",ピッキング!$B$33)</f>
        <v>上村和恵</v>
      </c>
      <c r="B29" s="62">
        <f>IF(ピッキング!$K$33="","",ピッキング!$K$33)</f>
        <v>79.358161350844284</v>
      </c>
      <c r="C29" s="62" t="str">
        <f>IF(梱包!$K$33="","",梱包!$K$33)</f>
        <v/>
      </c>
      <c r="D29" s="61">
        <f>IF(ピッキング!$I$33="","",ピッキング!$I$33)</f>
        <v>2114.895</v>
      </c>
      <c r="E29" s="61">
        <f>IF(ピッキング!$D$33="","",ピッキング!$D$33)</f>
        <v>2665</v>
      </c>
      <c r="F29" s="61" t="str">
        <f>IF(梱包!$I$33="","",梱包!$I$33)</f>
        <v/>
      </c>
      <c r="G29" s="61" t="str">
        <f>IF(梱包!$D$33="","",梱包!$D$33)</f>
        <v/>
      </c>
      <c r="H29" s="61">
        <f t="shared" si="0"/>
        <v>0</v>
      </c>
      <c r="I29" s="61" t="str">
        <f>IF(H29=1,SUM(H$3:H29),"")</f>
        <v/>
      </c>
      <c r="J29" s="62" t="str">
        <f t="shared" si="1"/>
        <v/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79.358161350844284</v>
      </c>
      <c r="AE29" s="61" t="str">
        <f t="shared" si="14"/>
        <v>PKのみ</v>
      </c>
      <c r="AF29" s="61" t="str">
        <f t="shared" si="15"/>
        <v>ピッキング改善</v>
      </c>
      <c r="AG29" s="61" t="str">
        <f t="shared" si="16"/>
        <v>上村和恵</v>
      </c>
      <c r="AH29" s="62">
        <f t="shared" si="17"/>
        <v>79.358161350844284</v>
      </c>
      <c r="AI29" s="62" t="str">
        <f t="shared" si="18"/>
        <v/>
      </c>
      <c r="AJ29" s="62">
        <f t="shared" si="19"/>
        <v>79.358161350844284</v>
      </c>
      <c r="AK29" s="61" t="str">
        <f t="shared" si="20"/>
        <v>PKのみ</v>
      </c>
      <c r="AL29" s="61" t="str">
        <f t="shared" si="21"/>
        <v>ピッキング改善</v>
      </c>
      <c r="AM29" s="61">
        <f t="shared" si="22"/>
        <v>79.358190350844282</v>
      </c>
      <c r="AN29" s="61">
        <v>27</v>
      </c>
      <c r="AO29" s="61">
        <f t="shared" si="23"/>
        <v>70.622896108742196</v>
      </c>
      <c r="AP29" s="61" t="str">
        <f t="shared" si="24"/>
        <v>菊池敬</v>
      </c>
      <c r="AQ29" s="62">
        <f t="shared" si="25"/>
        <v>85.862631578947358</v>
      </c>
      <c r="AR29" s="62">
        <f t="shared" si="26"/>
        <v>65.703477177483293</v>
      </c>
      <c r="AS29" s="62">
        <f t="shared" si="27"/>
        <v>70.622870108742191</v>
      </c>
      <c r="AT29" s="61" t="str">
        <f t="shared" si="28"/>
        <v>両方</v>
      </c>
      <c r="AU29" s="61" t="str">
        <f t="shared" si="29"/>
        <v>両工程を見直し</v>
      </c>
      <c r="AV29" s="61">
        <f t="shared" si="30"/>
        <v>100</v>
      </c>
      <c r="AW29" s="62">
        <f>IF($AY29="","",IF($AK29="PKのみ",$AH29,CHOOSE(MOD($AY29-1,6)+1,12,17,22,27,32,37)))</f>
        <v>79.35816135084428</v>
      </c>
      <c r="AX29" s="62">
        <f>IF($AY29="","",IF($AK29="PKのみ",CHOOSE(MOD($AY29-1,6)+1,12,17,22,27,32,37),$AI29))</f>
        <v>22.0</v>
      </c>
      <c r="AY29" s="62">
        <f>IF($AK29="PKのみ",COUNTIFS($AK$3:$AK$62,"PKのみ",$AH$3:$AH$62,"&lt;"&amp;$AH29)+1,IF($AK29="梱包のみ",COUNTIFS($AK$3:$AK$62,"梱包のみ",$AI$3:$AI$62,"&lt;"&amp;$AI29)+1,""))</f>
        <v>3</v>
      </c>
      <c r="BD29" s="62">
        <f>IF($AG29="","",IF(OR(AND(ISNUMBER($AH29),OR($AH29&lt;10,$AH29&gt;190)),AND(ISNUMBER($AI29),OR($AI29&lt;10,$AI29&gt;190))),1,0))</f>
        <v>0</v>
      </c>
    </row>
    <row r="30" spans="1:64" ht="16.5" x14ac:dyDescent="0.35">
      <c r="A30" s="61" t="str">
        <f>IF(ピッキング!$B$34="","",ピッキング!$B$34)</f>
        <v>平田学</v>
      </c>
      <c r="B30" s="62">
        <f>IF(ピッキング!$K$34="","",ピッキング!$K$34)</f>
        <v>56.602448979591827</v>
      </c>
      <c r="C30" s="62" t="str">
        <f>IF(梱包!$K$34="","",梱包!$K$34)</f>
        <v/>
      </c>
      <c r="D30" s="61">
        <f>IF(ピッキング!$I$34="","",ピッキング!$I$34)</f>
        <v>693.37999999999988</v>
      </c>
      <c r="E30" s="61">
        <f>IF(ピッキング!$D$34="","",ピッキング!$D$34)</f>
        <v>1225</v>
      </c>
      <c r="F30" s="61" t="str">
        <f>IF(梱包!$I$34="","",梱包!$I$34)</f>
        <v/>
      </c>
      <c r="G30" s="61" t="str">
        <f>IF(梱包!$D$34="","",梱包!$D$34)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56.602448979591827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平田学</v>
      </c>
      <c r="AH30" s="62">
        <f t="shared" si="17"/>
        <v>56.602448979591827</v>
      </c>
      <c r="AI30" s="62" t="str">
        <f t="shared" si="18"/>
        <v/>
      </c>
      <c r="AJ30" s="62">
        <f t="shared" si="19"/>
        <v>56.602448979591827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56.602478979591829</v>
      </c>
      <c r="AN30" s="61">
        <v>28</v>
      </c>
      <c r="AO30" s="61">
        <f t="shared" si="23"/>
        <v>60.909829108559499</v>
      </c>
      <c r="AP30" s="61" t="str">
        <f t="shared" si="24"/>
        <v>森田美加</v>
      </c>
      <c r="AQ30" s="62">
        <f t="shared" si="25"/>
        <v>98.221111111111114</v>
      </c>
      <c r="AR30" s="62">
        <f t="shared" si="26"/>
        <v>52.277377892030849</v>
      </c>
      <c r="AS30" s="62">
        <f t="shared" si="27"/>
        <v>60.9098121085595</v>
      </c>
      <c r="AT30" s="61" t="str">
        <f t="shared" si="28"/>
        <v>両方</v>
      </c>
      <c r="AU30" s="61" t="str">
        <f t="shared" si="29"/>
        <v>両工程を見直し</v>
      </c>
      <c r="AV30" s="61">
        <f t="shared" si="30"/>
        <v>100</v>
      </c>
      <c r="AW30" s="62">
        <f>IF($AY30="","",IF($AK30="PKのみ",$AH30,CHOOSE(MOD($AY30-1,6)+1,12,17,22,27,32,37)))</f>
        <v>56.60244897959183</v>
      </c>
      <c r="AX30" s="62">
        <f>IF($AY30="","",IF($AK30="PKのみ",CHOOSE(MOD($AY30-1,6)+1,12,17,22,27,32,37),$AI30))</f>
        <v>12.0</v>
      </c>
      <c r="AY30" s="62">
        <f>IF($AK30="PKのみ",COUNTIFS($AK$3:$AK$62,"PKのみ",$AH$3:$AH$62,"&lt;"&amp;$AH30)+1,IF($AK30="梱包のみ",COUNTIFS($AK$3:$AK$62,"梱包のみ",$AI$3:$AI$62,"&lt;"&amp;$AI30)+1,""))</f>
        <v>1</v>
      </c>
      <c r="BD30" s="62">
        <f>IF($AG30="","",IF(OR(AND(ISNUMBER($AH30),OR($AH30&lt;10,$AH30&gt;190)),AND(ISNUMBER($AI30),OR($AI30&lt;10,$AI30&gt;190))),1,0))</f>
        <v>0</v>
      </c>
    </row>
    <row r="31" spans="1:64" ht="16.5" x14ac:dyDescent="0.35">
      <c r="A31" s="61" t="str">
        <f>IF(ピッキング!$B$35="","",ピッキング!$B$35)</f>
        <v>飯田由加里</v>
      </c>
      <c r="B31" s="62">
        <f>IF(ピッキング!$K$35="","",ピッキング!$K$35)</f>
        <v>74.630235602094231</v>
      </c>
      <c r="C31" s="62">
        <f>IF(梱包!$K$35="","",梱包!$K$35)</f>
        <v>129.17098681218735</v>
      </c>
      <c r="D31" s="61">
        <f>IF(ピッキング!$I$35="","",ピッキング!$I$35)</f>
        <v>570.17499999999995</v>
      </c>
      <c r="E31" s="61">
        <f>IF(ピッキング!$D$35="","",ピッキング!$D$35)</f>
        <v>764</v>
      </c>
      <c r="F31" s="61">
        <f>IF(梱包!$I$35="","",梱包!$I$35)</f>
        <v>1893.6466666666665</v>
      </c>
      <c r="G31" s="61">
        <f>IF(梱包!$D$35="","",梱包!$D$35)</f>
        <v>1466</v>
      </c>
      <c r="H31" s="61">
        <f t="shared" si="0"/>
        <v>1</v>
      </c>
      <c r="I31" s="61">
        <f>IF(H31=1,SUM(H$3:H31),"")</f>
        <v>19</v>
      </c>
      <c r="J31" s="62">
        <f t="shared" si="1"/>
        <v>110.4852765321375</v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110.4852765321375</v>
      </c>
      <c r="AE31" s="61" t="str">
        <f t="shared" si="14"/>
        <v>両方</v>
      </c>
      <c r="AF31" s="61" t="str">
        <f t="shared" si="15"/>
        <v>ピッキング改善</v>
      </c>
      <c r="AG31" s="61" t="str">
        <f t="shared" si="16"/>
        <v>飯田由加里</v>
      </c>
      <c r="AH31" s="62">
        <f t="shared" si="17"/>
        <v>74.630235602094231</v>
      </c>
      <c r="AI31" s="62">
        <f t="shared" si="18"/>
        <v>129.17098681218735</v>
      </c>
      <c r="AJ31" s="62">
        <f t="shared" si="19"/>
        <v>110.4852765321375</v>
      </c>
      <c r="AK31" s="61" t="str">
        <f t="shared" si="20"/>
        <v>両方</v>
      </c>
      <c r="AL31" s="61" t="str">
        <f t="shared" si="21"/>
        <v>ピッキング改善</v>
      </c>
      <c r="AM31" s="61">
        <f t="shared" si="22"/>
        <v>110.48530753213751</v>
      </c>
      <c r="AN31" s="61">
        <v>29</v>
      </c>
      <c r="AO31" s="61">
        <f t="shared" si="23"/>
        <v>56.602478979591829</v>
      </c>
      <c r="AP31" s="61" t="str">
        <f t="shared" si="24"/>
        <v>平田学</v>
      </c>
      <c r="AQ31" s="62">
        <f t="shared" si="25"/>
        <v>56.602448979591827</v>
      </c>
      <c r="AR31" s="62" t="str">
        <f t="shared" si="26"/>
        <v/>
      </c>
      <c r="AS31" s="62">
        <f t="shared" si="27"/>
        <v>56.602448979591827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  <c r="AW31" s="62" t="str">
        <f>IF($AY31="","",IF($AK31="PKのみ",$AH31,CHOOSE(MOD($AY31-1,6)+1,12,17,22,27,32,37)))</f>
        <v/>
      </c>
      <c r="AX31" s="62" t="str">
        <f>IF($AY31="","",IF($AK31="PKのみ",CHOOSE(MOD($AY31-1,6)+1,12,17,22,27,32,37),$AI31))</f>
        <v/>
      </c>
      <c r="AY31" s="62" t="str">
        <f>IF($AK31="PKのみ",COUNTIFS($AK$3:$AK$62,"PKのみ",$AH$3:$AH$62,"&lt;"&amp;$AH31)+1,IF($AK31="梱包のみ",COUNTIFS($AK$3:$AK$62,"梱包のみ",$AI$3:$AI$62,"&lt;"&amp;$AI31)+1,""))</f>
        <v/>
      </c>
      <c r="BD31" s="62">
        <f>IF($AG31="","",IF(OR(AND(ISNUMBER($AH31),OR($AH31&lt;10,$AH31&gt;190)),AND(ISNUMBER($AI31),OR($AI31&lt;10,$AI31&gt;190))),1,0))</f>
        <v>0</v>
      </c>
    </row>
    <row r="32" spans="1:64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IF(梱包!$K$36="","",梱包!$K$36)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IF(梱包!$I$36="","",梱包!$I$36)</f>
        <v/>
      </c>
      <c r="G32" s="61" t="str">
        <f>IF(梱包!$D$36="","",梱包!$D$36)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str">
        <f t="shared" si="30"/>
        <v/>
      </c>
      <c r="AW32" s="62" t="str">
        <f>IF($AY32="","",IF($AK32="PKのみ",$AH32,CHOOSE(MOD($AY32-1,6)+1,12,17,22,27,32,37)))</f>
        <v/>
      </c>
      <c r="AX32" s="62" t="str">
        <f>IF($AY32="","",IF($AK32="PKのみ",CHOOSE(MOD($AY32-1,6)+1,12,17,22,27,32,37),$AI32))</f>
        <v/>
      </c>
      <c r="AY32" s="62" t="str">
        <f>IF($AK32="PKのみ",COUNTIFS($AK$3:$AK$62,"PKのみ",$AH$3:$AH$62,"&lt;"&amp;$AH32)+1,IF($AK32="梱包のみ",COUNTIFS($AK$3:$AK$62,"梱包のみ",$AI$3:$AI$62,"&lt;"&amp;$AI32)+1,""))</f>
        <v/>
      </c>
      <c r="BD32" s="62" t="str">
        <f>IF($AG32="","",IF(OR(AND(ISNUMBER($AH32),OR($AH32&lt;10,$AH32&gt;190)),AND(ISNUMBER($AI32),OR($AI32&lt;10,$AI32&gt;190))),1,0))</f>
        <v/>
      </c>
    </row>
    <row r="33" spans="1:64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IF(梱包!$K$37="","",梱包!$K$37)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IF(梱包!$I$37="","",梱包!$I$37)</f>
        <v/>
      </c>
      <c r="G33" s="61" t="str">
        <f>IF(梱包!$D$37="","",梱包!$D$37)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str">
        <f t="shared" si="30"/>
        <v/>
      </c>
      <c r="AW33" s="62" t="str">
        <f>IF($AY33="","",IF($AK33="PKのみ",$AH33,CHOOSE(MOD($AY33-1,6)+1,12,17,22,27,32,37)))</f>
        <v/>
      </c>
      <c r="AX33" s="62" t="str">
        <f>IF($AY33="","",IF($AK33="PKのみ",CHOOSE(MOD($AY33-1,6)+1,12,17,22,27,32,37),$AI33))</f>
        <v/>
      </c>
      <c r="AY33" s="62" t="str">
        <f>IF($AK33="PKのみ",COUNTIFS($AK$3:$AK$62,"PKのみ",$AH$3:$AH$62,"&lt;"&amp;$AH33)+1,IF($AK33="梱包のみ",COUNTIFS($AK$3:$AK$62,"梱包のみ",$AI$3:$AI$62,"&lt;"&amp;$AI33)+1,""))</f>
        <v/>
      </c>
      <c r="BD33" s="62" t="str">
        <f>IF($AG33="","",IF(OR(AND(ISNUMBER($AH33),OR($AH33&lt;10,$AH33&gt;190)),AND(ISNUMBER($AI33),OR($AI33&lt;10,$AI33&gt;190))),1,0))</f>
        <v/>
      </c>
    </row>
    <row r="34" spans="1:64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IF(梱包!$K$38="","",梱包!$K$38)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IF(梱包!$I$38="","",梱包!$I$38)</f>
        <v/>
      </c>
      <c r="G34" s="61" t="str">
        <f>IF(梱包!$D$38="","",梱包!$D$38)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str">
        <f t="shared" si="30"/>
        <v/>
      </c>
      <c r="AW34" s="62" t="str">
        <f>IF($AY34="","",IF($AK34="PKのみ",$AH34,CHOOSE(MOD($AY34-1,6)+1,12,17,22,27,32,37)))</f>
        <v/>
      </c>
      <c r="AX34" s="62" t="str">
        <f>IF($AY34="","",IF($AK34="PKのみ",CHOOSE(MOD($AY34-1,6)+1,12,17,22,27,32,37),$AI34))</f>
        <v/>
      </c>
      <c r="AY34" s="62" t="str">
        <f>IF($AK34="PKのみ",COUNTIFS($AK$3:$AK$62,"PKのみ",$AH$3:$AH$62,"&lt;"&amp;$AH34)+1,IF($AK34="梱包のみ",COUNTIFS($AK$3:$AK$62,"梱包のみ",$AI$3:$AI$62,"&lt;"&amp;$AI34)+1,""))</f>
        <v/>
      </c>
      <c r="BD34" s="62" t="str">
        <f>IF($AG34="","",IF(OR(AND(ISNUMBER($AH34),OR($AH34&lt;10,$AH34&gt;190)),AND(ISNUMBER($AI34),OR($AI34&lt;10,$AI34&gt;190))),1,0))</f>
        <v/>
      </c>
    </row>
    <row r="35" spans="1:64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IF(梱包!$K$39="","",梱包!$K$39)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IF(梱包!$I$39="","",梱包!$I$39)</f>
        <v/>
      </c>
      <c r="G35" s="61" t="str">
        <f>IF(梱包!$D$39="","",梱包!$D$39)</f>
        <v/>
      </c>
      <c r="H35" s="61">
        <f t="shared" ref="H35:H62" si="31">IF(AND(ISNUMBER(B35),ISNUMBER(C35)),1,0)</f>
        <v>0</v>
      </c>
      <c r="I35" s="61" t="str">
        <f>IF(H35=1,SUM(H$3:H35),"")</f>
        <v/>
      </c>
      <c r="J35" s="62" t="str">
        <f t="shared" ref="J35:J62" si="32">IF(H35=1,(D35+F35)/(E35+G35)*100,"")</f>
        <v/>
      </c>
      <c r="K35" s="61" t="str">
        <f t="shared" ref="K35:K62" si="33">IFERROR(INDEX($A$3:$A$62,MATCH(ROW()-2,$I$3:$I$62,0)),"")</f>
        <v/>
      </c>
      <c r="L35" s="62" t="str">
        <f t="shared" ref="L35:L62" si="34">IFERROR(INDEX($B$3:$B$62,MATCH(ROW()-2,$I$3:$I$62,0)),"")</f>
        <v/>
      </c>
      <c r="M35" s="62" t="str">
        <f t="shared" ref="M35:M62" si="35">IFERROR(INDEX($C$3:$C$62,MATCH(ROW()-2,$I$3:$I$62,0)),"")</f>
        <v/>
      </c>
      <c r="N35" s="62" t="str">
        <f t="shared" ref="N35:N62" si="36">IFERROR(INDEX($J$3:$J$62,MATCH(ROW()-2,$I$3:$I$62,0)),"")</f>
        <v/>
      </c>
      <c r="O35" s="61" t="str">
        <f t="shared" ref="O35:O62" si="37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38">IFERROR(LARGE($N$3:$N$62,P35),"")</f>
        <v/>
      </c>
      <c r="R35" s="61" t="str">
        <f t="shared" ref="R35:R62" si="39">IFERROR(INDEX($K$3:$K$62,MATCH(Q35,$N$3:$N$62,0)),"")</f>
        <v/>
      </c>
      <c r="S35" s="62" t="str">
        <f t="shared" ref="S35:S62" si="40">IFERROR(INDEX($L$3:$L$62,MATCH(Q35,$N$3:$N$62,0)),"")</f>
        <v/>
      </c>
      <c r="T35" s="62" t="str">
        <f t="shared" ref="T35:T62" si="41">IFERROR(INDEX($M$3:$M$62,MATCH(Q35,$N$3:$N$62,0)),"")</f>
        <v/>
      </c>
      <c r="U35" s="61" t="str">
        <f t="shared" ref="U35:U62" si="42">IF(R35="","",100)</f>
        <v/>
      </c>
      <c r="AB35" s="61">
        <f t="shared" ref="AB35:AB62" si="43">IF(OR(ISNUMBER(B35),ISNUMBER(C35)),1,0)</f>
        <v>0</v>
      </c>
      <c r="AC35" s="61" t="str">
        <f>IF(AB35=1,SUM(AB$3:AB35),"")</f>
        <v/>
      </c>
      <c r="AD35" s="62" t="str">
        <f t="shared" ref="AD35:AD62" si="44">IF(AB35&lt;&gt;1,"",(IF(ISNUMBER(D35),D35,0)+IF(ISNUMBER(F35),F35,0))/(IF(ISNUMBER(E35),E35,0)+IF(ISNUMBER(G35),G35,0))*100)</f>
        <v/>
      </c>
      <c r="AE35" s="61" t="str">
        <f t="shared" ref="AE35:AE62" si="45">IF(AB35&lt;&gt;1,"",IF(AND(ISNUMBER(B35),ISNUMBER(C35)),"両方",IF(ISNUMBER(B35),"PKのみ","梱包のみ")))</f>
        <v/>
      </c>
      <c r="AF35" s="61" t="str">
        <f t="shared" ref="AF35:AF62" si="46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47">IFERROR(INDEX($A$3:$A$62,MATCH(ROW()-2,$AC$3:$AC$62,0)),"")</f>
        <v/>
      </c>
      <c r="AH35" s="62" t="str">
        <f t="shared" ref="AH35:AH62" si="48">IFERROR(INDEX($B$3:$B$62,MATCH(ROW()-2,$AC$3:$AC$62,0)),"")</f>
        <v/>
      </c>
      <c r="AI35" s="62" t="str">
        <f t="shared" ref="AI35:AI62" si="49">IFERROR(INDEX($C$3:$C$62,MATCH(ROW()-2,$AC$3:$AC$62,0)),"")</f>
        <v/>
      </c>
      <c r="AJ35" s="62" t="str">
        <f t="shared" ref="AJ35:AJ62" si="50">IFERROR(INDEX($AD$3:$AD$62,MATCH(ROW()-2,$AC$3:$AC$62,0)),"")</f>
        <v/>
      </c>
      <c r="AK35" s="61" t="str">
        <f t="shared" ref="AK35:AK62" si="51">IFERROR(INDEX($AE$3:$AE$62,MATCH(ROW()-2,$AC$3:$AC$62,0)),"")</f>
        <v/>
      </c>
      <c r="AL35" s="61" t="str">
        <f t="shared" ref="AL35:AL62" si="52">IFERROR(INDEX($AF$3:$AF$62,MATCH(ROW()-2,$AC$3:$AC$62,0)),"")</f>
        <v/>
      </c>
      <c r="AM35" s="61" t="str">
        <f t="shared" ref="AM35:AM62" si="53">IF(AJ35="","",AJ35+ROW()/1000000)</f>
        <v/>
      </c>
      <c r="AN35" s="61">
        <v>33</v>
      </c>
      <c r="AO35" s="61" t="str">
        <f t="shared" ref="AO35:AO62" si="54">IFERROR(LARGE($AM$3:$AM$62,AN35),"")</f>
        <v/>
      </c>
      <c r="AP35" s="61" t="str">
        <f t="shared" ref="AP35:AP62" si="55">IFERROR(INDEX($AG$3:$AG$62,MATCH(AO35,$AM$3:$AM$62,0)),"")</f>
        <v/>
      </c>
      <c r="AQ35" s="62" t="str">
        <f t="shared" ref="AQ35:AQ62" si="56">IFERROR(INDEX($AH$3:$AH$62,MATCH(AO35,$AM$3:$AM$62,0)),"")</f>
        <v/>
      </c>
      <c r="AR35" s="62" t="str">
        <f t="shared" ref="AR35:AR62" si="57">IFERROR(INDEX($AI$3:$AI$62,MATCH(AO35,$AM$3:$AM$62,0)),"")</f>
        <v/>
      </c>
      <c r="AS35" s="62" t="str">
        <f t="shared" ref="AS35:AS62" si="58">IFERROR(INDEX($AJ$3:$AJ$62,MATCH(AO35,$AM$3:$AM$62,0)),"")</f>
        <v/>
      </c>
      <c r="AT35" s="61" t="str">
        <f t="shared" ref="AT35:AT62" si="59">IFERROR(INDEX($AK$3:$AK$62,MATCH(AO35,$AM$3:$AM$62,0)),"")</f>
        <v/>
      </c>
      <c r="AU35" s="61" t="str">
        <f t="shared" ref="AU35:AU62" si="60">IFERROR(INDEX($AL$3:$AL$62,MATCH(AO35,$AM$3:$AM$62,0)),"")</f>
        <v/>
      </c>
      <c r="AV35" s="61" t="str">
        <f t="shared" ref="AV35:AV62" si="61">IF(AP35="","",100)</f>
        <v/>
      </c>
      <c r="AW35" s="62" t="str">
        <f>IF($AY35="","",IF($AK35="PKのみ",$AH35,CHOOSE(MOD($AY35-1,6)+1,12,17,22,27,32,37)))</f>
        <v/>
      </c>
      <c r="AX35" s="62" t="str">
        <f>IF($AY35="","",IF($AK35="PKのみ",CHOOSE(MOD($AY35-1,6)+1,12,17,22,27,32,37),$AI35))</f>
        <v/>
      </c>
      <c r="AY35" s="62" t="str">
        <f>IF($AK35="PKのみ",COUNTIFS($AK$3:$AK$62,"PKのみ",$AH$3:$AH$62,"&lt;"&amp;$AH35)+1,IF($AK35="梱包のみ",COUNTIFS($AK$3:$AK$62,"梱包のみ",$AI$3:$AI$62,"&lt;"&amp;$AI35)+1,""))</f>
        <v/>
      </c>
      <c r="BD35" s="62" t="str">
        <f>IF($AG35="","",IF(OR(AND(ISNUMBER($AH35),OR($AH35&lt;10,$AH35&gt;190)),AND(ISNUMBER($AI35),OR($AI35&lt;10,$AI35&gt;190))),1,0))</f>
        <v/>
      </c>
    </row>
    <row r="36" spans="1:64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IF(梱包!$K$40="","",梱包!$K$40)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IF(梱包!$I$40="","",梱包!$I$40)</f>
        <v/>
      </c>
      <c r="G36" s="61" t="str">
        <f>IF(梱包!$D$40="","",梱包!$D$40)</f>
        <v/>
      </c>
      <c r="H36" s="61">
        <f t="shared" si="31"/>
        <v>0</v>
      </c>
      <c r="I36" s="61" t="str">
        <f>IF(H36=1,SUM(H$3:H36),"")</f>
        <v/>
      </c>
      <c r="J36" s="62" t="str">
        <f t="shared" si="32"/>
        <v/>
      </c>
      <c r="K36" s="61" t="str">
        <f t="shared" si="33"/>
        <v/>
      </c>
      <c r="L36" s="62" t="str">
        <f t="shared" si="34"/>
        <v/>
      </c>
      <c r="M36" s="62" t="str">
        <f t="shared" si="35"/>
        <v/>
      </c>
      <c r="N36" s="62" t="str">
        <f t="shared" si="36"/>
        <v/>
      </c>
      <c r="O36" s="61" t="str">
        <f t="shared" si="37"/>
        <v/>
      </c>
      <c r="P36" s="61">
        <v>34</v>
      </c>
      <c r="Q36" s="62" t="str">
        <f t="shared" si="38"/>
        <v/>
      </c>
      <c r="R36" s="61" t="str">
        <f t="shared" si="39"/>
        <v/>
      </c>
      <c r="S36" s="62" t="str">
        <f t="shared" si="40"/>
        <v/>
      </c>
      <c r="T36" s="62" t="str">
        <f t="shared" si="41"/>
        <v/>
      </c>
      <c r="U36" s="61" t="str">
        <f t="shared" si="42"/>
        <v/>
      </c>
      <c r="AB36" s="61">
        <f t="shared" si="43"/>
        <v>0</v>
      </c>
      <c r="AC36" s="61" t="str">
        <f>IF(AB36=1,SUM(AB$3:AB36),"")</f>
        <v/>
      </c>
      <c r="AD36" s="62" t="str">
        <f t="shared" si="44"/>
        <v/>
      </c>
      <c r="AE36" s="61" t="str">
        <f t="shared" si="45"/>
        <v/>
      </c>
      <c r="AF36" s="61" t="str">
        <f t="shared" si="46"/>
        <v/>
      </c>
      <c r="AG36" s="61" t="str">
        <f t="shared" si="47"/>
        <v/>
      </c>
      <c r="AH36" s="62" t="str">
        <f t="shared" si="48"/>
        <v/>
      </c>
      <c r="AI36" s="62" t="str">
        <f t="shared" si="49"/>
        <v/>
      </c>
      <c r="AJ36" s="62" t="str">
        <f t="shared" si="50"/>
        <v/>
      </c>
      <c r="AK36" s="61" t="str">
        <f t="shared" si="51"/>
        <v/>
      </c>
      <c r="AL36" s="61" t="str">
        <f t="shared" si="52"/>
        <v/>
      </c>
      <c r="AM36" s="61" t="str">
        <f t="shared" si="53"/>
        <v/>
      </c>
      <c r="AN36" s="61">
        <v>34</v>
      </c>
      <c r="AO36" s="61" t="str">
        <f t="shared" si="54"/>
        <v/>
      </c>
      <c r="AP36" s="61" t="str">
        <f t="shared" si="55"/>
        <v/>
      </c>
      <c r="AQ36" s="62" t="str">
        <f t="shared" si="56"/>
        <v/>
      </c>
      <c r="AR36" s="62" t="str">
        <f t="shared" si="57"/>
        <v/>
      </c>
      <c r="AS36" s="62" t="str">
        <f t="shared" si="58"/>
        <v/>
      </c>
      <c r="AT36" s="61" t="str">
        <f t="shared" si="59"/>
        <v/>
      </c>
      <c r="AU36" s="61" t="str">
        <f t="shared" si="60"/>
        <v/>
      </c>
      <c r="AV36" s="61" t="str">
        <f t="shared" si="61"/>
        <v/>
      </c>
      <c r="AW36" s="62" t="str">
        <f>IF($AY36="","",IF($AK36="PKのみ",$AH36,CHOOSE(MOD($AY36-1,6)+1,12,17,22,27,32,37)))</f>
        <v/>
      </c>
      <c r="AX36" s="62" t="str">
        <f>IF($AY36="","",IF($AK36="PKのみ",CHOOSE(MOD($AY36-1,6)+1,12,17,22,27,32,37),$AI36))</f>
        <v/>
      </c>
      <c r="AY36" s="62" t="str">
        <f>IF($AK36="PKのみ",COUNTIFS($AK$3:$AK$62,"PKのみ",$AH$3:$AH$62,"&lt;"&amp;$AH36)+1,IF($AK36="梱包のみ",COUNTIFS($AK$3:$AK$62,"梱包のみ",$AI$3:$AI$62,"&lt;"&amp;$AI36)+1,""))</f>
        <v/>
      </c>
      <c r="BD36" s="62" t="str">
        <f>IF($AG36="","",IF(OR(AND(ISNUMBER($AH36),OR($AH36&lt;10,$AH36&gt;190)),AND(ISNUMBER($AI36),OR($AI36&lt;10,$AI36&gt;190))),1,0))</f>
        <v/>
      </c>
    </row>
    <row r="37" spans="1:64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IF(梱包!$K$41="","",梱包!$K$41)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IF(梱包!$I$41="","",梱包!$I$41)</f>
        <v/>
      </c>
      <c r="G37" s="61" t="str">
        <f>IF(梱包!$D$41="","",梱包!$D$41)</f>
        <v/>
      </c>
      <c r="H37" s="61">
        <f t="shared" si="31"/>
        <v>0</v>
      </c>
      <c r="I37" s="61" t="str">
        <f>IF(H37=1,SUM(H$3:H37),"")</f>
        <v/>
      </c>
      <c r="J37" s="62" t="str">
        <f t="shared" si="32"/>
        <v/>
      </c>
      <c r="K37" s="61" t="str">
        <f t="shared" si="33"/>
        <v/>
      </c>
      <c r="L37" s="62" t="str">
        <f t="shared" si="34"/>
        <v/>
      </c>
      <c r="M37" s="62" t="str">
        <f t="shared" si="35"/>
        <v/>
      </c>
      <c r="N37" s="62" t="str">
        <f t="shared" si="36"/>
        <v/>
      </c>
      <c r="O37" s="61" t="str">
        <f t="shared" si="37"/>
        <v/>
      </c>
      <c r="P37" s="61">
        <v>35</v>
      </c>
      <c r="Q37" s="62" t="str">
        <f t="shared" si="38"/>
        <v/>
      </c>
      <c r="R37" s="61" t="str">
        <f t="shared" si="39"/>
        <v/>
      </c>
      <c r="S37" s="62" t="str">
        <f t="shared" si="40"/>
        <v/>
      </c>
      <c r="T37" s="62" t="str">
        <f t="shared" si="41"/>
        <v/>
      </c>
      <c r="U37" s="61" t="str">
        <f t="shared" si="42"/>
        <v/>
      </c>
      <c r="AB37" s="61">
        <f t="shared" si="43"/>
        <v>0</v>
      </c>
      <c r="AC37" s="61" t="str">
        <f>IF(AB37=1,SUM(AB$3:AB37),"")</f>
        <v/>
      </c>
      <c r="AD37" s="62" t="str">
        <f t="shared" si="44"/>
        <v/>
      </c>
      <c r="AE37" s="61" t="str">
        <f t="shared" si="45"/>
        <v/>
      </c>
      <c r="AF37" s="61" t="str">
        <f t="shared" si="46"/>
        <v/>
      </c>
      <c r="AG37" s="61" t="str">
        <f t="shared" si="47"/>
        <v/>
      </c>
      <c r="AH37" s="62" t="str">
        <f t="shared" si="48"/>
        <v/>
      </c>
      <c r="AI37" s="62" t="str">
        <f t="shared" si="49"/>
        <v/>
      </c>
      <c r="AJ37" s="62" t="str">
        <f t="shared" si="50"/>
        <v/>
      </c>
      <c r="AK37" s="61" t="str">
        <f t="shared" si="51"/>
        <v/>
      </c>
      <c r="AL37" s="61" t="str">
        <f t="shared" si="52"/>
        <v/>
      </c>
      <c r="AM37" s="61" t="str">
        <f t="shared" si="53"/>
        <v/>
      </c>
      <c r="AN37" s="61">
        <v>35</v>
      </c>
      <c r="AO37" s="61" t="str">
        <f t="shared" si="54"/>
        <v/>
      </c>
      <c r="AP37" s="61" t="str">
        <f t="shared" si="55"/>
        <v/>
      </c>
      <c r="AQ37" s="62" t="str">
        <f t="shared" si="56"/>
        <v/>
      </c>
      <c r="AR37" s="62" t="str">
        <f t="shared" si="57"/>
        <v/>
      </c>
      <c r="AS37" s="62" t="str">
        <f t="shared" si="58"/>
        <v/>
      </c>
      <c r="AT37" s="61" t="str">
        <f t="shared" si="59"/>
        <v/>
      </c>
      <c r="AU37" s="61" t="str">
        <f t="shared" si="60"/>
        <v/>
      </c>
      <c r="AV37" s="61" t="str">
        <f t="shared" si="61"/>
        <v/>
      </c>
      <c r="AW37" s="62" t="str">
        <f>IF($AY37="","",IF($AK37="PKのみ",$AH37,CHOOSE(MOD($AY37-1,6)+1,12,17,22,27,32,37)))</f>
        <v/>
      </c>
      <c r="AX37" s="62" t="str">
        <f>IF($AY37="","",IF($AK37="PKのみ",CHOOSE(MOD($AY37-1,6)+1,12,17,22,27,32,37),$AI37))</f>
        <v/>
      </c>
      <c r="AY37" s="62" t="str">
        <f>IF($AK37="PKのみ",COUNTIFS($AK$3:$AK$62,"PKのみ",$AH$3:$AH$62,"&lt;"&amp;$AH37)+1,IF($AK37="梱包のみ",COUNTIFS($AK$3:$AK$62,"梱包のみ",$AI$3:$AI$62,"&lt;"&amp;$AI37)+1,""))</f>
        <v/>
      </c>
      <c r="BD37" s="62" t="str">
        <f>IF($AG37="","",IF(OR(AND(ISNUMBER($AH37),OR($AH37&lt;10,$AH37&gt;190)),AND(ISNUMBER($AI37),OR($AI37&lt;10,$AI37&gt;190))),1,0))</f>
        <v/>
      </c>
    </row>
    <row r="38" spans="1:64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IF(梱包!$K$42="","",梱包!$K$42)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IF(梱包!$I$42="","",梱包!$I$42)</f>
        <v/>
      </c>
      <c r="G38" s="61" t="str">
        <f>IF(梱包!$D$42="","",梱包!$D$42)</f>
        <v/>
      </c>
      <c r="H38" s="61">
        <f t="shared" si="31"/>
        <v>0</v>
      </c>
      <c r="I38" s="61" t="str">
        <f>IF(H38=1,SUM(H$3:H38),"")</f>
        <v/>
      </c>
      <c r="J38" s="62" t="str">
        <f t="shared" si="32"/>
        <v/>
      </c>
      <c r="K38" s="61" t="str">
        <f t="shared" si="33"/>
        <v/>
      </c>
      <c r="L38" s="62" t="str">
        <f t="shared" si="34"/>
        <v/>
      </c>
      <c r="M38" s="62" t="str">
        <f t="shared" si="35"/>
        <v/>
      </c>
      <c r="N38" s="62" t="str">
        <f t="shared" si="36"/>
        <v/>
      </c>
      <c r="O38" s="61" t="str">
        <f t="shared" si="37"/>
        <v/>
      </c>
      <c r="P38" s="61">
        <v>36</v>
      </c>
      <c r="Q38" s="62" t="str">
        <f t="shared" si="38"/>
        <v/>
      </c>
      <c r="R38" s="61" t="str">
        <f t="shared" si="39"/>
        <v/>
      </c>
      <c r="S38" s="62" t="str">
        <f t="shared" si="40"/>
        <v/>
      </c>
      <c r="T38" s="62" t="str">
        <f t="shared" si="41"/>
        <v/>
      </c>
      <c r="U38" s="61" t="str">
        <f t="shared" si="42"/>
        <v/>
      </c>
      <c r="AB38" s="61">
        <f t="shared" si="43"/>
        <v>0</v>
      </c>
      <c r="AC38" s="61" t="str">
        <f>IF(AB38=1,SUM(AB$3:AB38),"")</f>
        <v/>
      </c>
      <c r="AD38" s="62" t="str">
        <f t="shared" si="44"/>
        <v/>
      </c>
      <c r="AE38" s="61" t="str">
        <f t="shared" si="45"/>
        <v/>
      </c>
      <c r="AF38" s="61" t="str">
        <f t="shared" si="46"/>
        <v/>
      </c>
      <c r="AG38" s="61" t="str">
        <f t="shared" si="47"/>
        <v/>
      </c>
      <c r="AH38" s="62" t="str">
        <f t="shared" si="48"/>
        <v/>
      </c>
      <c r="AI38" s="62" t="str">
        <f t="shared" si="49"/>
        <v/>
      </c>
      <c r="AJ38" s="62" t="str">
        <f t="shared" si="50"/>
        <v/>
      </c>
      <c r="AK38" s="61" t="str">
        <f t="shared" si="51"/>
        <v/>
      </c>
      <c r="AL38" s="61" t="str">
        <f t="shared" si="52"/>
        <v/>
      </c>
      <c r="AM38" s="61" t="str">
        <f t="shared" si="53"/>
        <v/>
      </c>
      <c r="AN38" s="61">
        <v>36</v>
      </c>
      <c r="AO38" s="61" t="str">
        <f t="shared" si="54"/>
        <v/>
      </c>
      <c r="AP38" s="61" t="str">
        <f t="shared" si="55"/>
        <v/>
      </c>
      <c r="AQ38" s="62" t="str">
        <f t="shared" si="56"/>
        <v/>
      </c>
      <c r="AR38" s="62" t="str">
        <f t="shared" si="57"/>
        <v/>
      </c>
      <c r="AS38" s="62" t="str">
        <f t="shared" si="58"/>
        <v/>
      </c>
      <c r="AT38" s="61" t="str">
        <f t="shared" si="59"/>
        <v/>
      </c>
      <c r="AU38" s="61" t="str">
        <f t="shared" si="60"/>
        <v/>
      </c>
      <c r="AV38" s="61" t="str">
        <f t="shared" si="61"/>
        <v/>
      </c>
      <c r="AW38" s="62" t="str">
        <f>IF($AY38="","",IF($AK38="PKのみ",$AH38,CHOOSE(MOD($AY38-1,6)+1,12,17,22,27,32,37)))</f>
        <v/>
      </c>
      <c r="AX38" s="62" t="str">
        <f>IF($AY38="","",IF($AK38="PKのみ",CHOOSE(MOD($AY38-1,6)+1,12,17,22,27,32,37),$AI38))</f>
        <v/>
      </c>
      <c r="AY38" s="62" t="str">
        <f>IF($AK38="PKのみ",COUNTIFS($AK$3:$AK$62,"PKのみ",$AH$3:$AH$62,"&lt;"&amp;$AH38)+1,IF($AK38="梱包のみ",COUNTIFS($AK$3:$AK$62,"梱包のみ",$AI$3:$AI$62,"&lt;"&amp;$AI38)+1,""))</f>
        <v/>
      </c>
      <c r="BD38" s="62" t="str">
        <f>IF($AG38="","",IF(OR(AND(ISNUMBER($AH38),OR($AH38&lt;10,$AH38&gt;190)),AND(ISNUMBER($AI38),OR($AI38&lt;10,$AI38&gt;190))),1,0))</f>
        <v/>
      </c>
    </row>
    <row r="39" spans="1:64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IF(梱包!$K$43="","",梱包!$K$43)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IF(梱包!$I$43="","",梱包!$I$43)</f>
        <v/>
      </c>
      <c r="G39" s="61" t="str">
        <f>IF(梱包!$D$43="","",梱包!$D$43)</f>
        <v/>
      </c>
      <c r="H39" s="61">
        <f t="shared" si="31"/>
        <v>0</v>
      </c>
      <c r="I39" s="61" t="str">
        <f>IF(H39=1,SUM(H$3:H39),"")</f>
        <v/>
      </c>
      <c r="J39" s="62" t="str">
        <f t="shared" si="32"/>
        <v/>
      </c>
      <c r="K39" s="61" t="str">
        <f t="shared" si="33"/>
        <v/>
      </c>
      <c r="L39" s="62" t="str">
        <f t="shared" si="34"/>
        <v/>
      </c>
      <c r="M39" s="62" t="str">
        <f t="shared" si="35"/>
        <v/>
      </c>
      <c r="N39" s="62" t="str">
        <f t="shared" si="36"/>
        <v/>
      </c>
      <c r="O39" s="61" t="str">
        <f t="shared" si="37"/>
        <v/>
      </c>
      <c r="P39" s="61">
        <v>37</v>
      </c>
      <c r="Q39" s="62" t="str">
        <f t="shared" si="38"/>
        <v/>
      </c>
      <c r="R39" s="61" t="str">
        <f t="shared" si="39"/>
        <v/>
      </c>
      <c r="S39" s="62" t="str">
        <f t="shared" si="40"/>
        <v/>
      </c>
      <c r="T39" s="62" t="str">
        <f t="shared" si="41"/>
        <v/>
      </c>
      <c r="U39" s="61" t="str">
        <f t="shared" si="42"/>
        <v/>
      </c>
      <c r="AB39" s="61">
        <f t="shared" si="43"/>
        <v>0</v>
      </c>
      <c r="AC39" s="61" t="str">
        <f>IF(AB39=1,SUM(AB$3:AB39),"")</f>
        <v/>
      </c>
      <c r="AD39" s="62" t="str">
        <f t="shared" si="44"/>
        <v/>
      </c>
      <c r="AE39" s="61" t="str">
        <f t="shared" si="45"/>
        <v/>
      </c>
      <c r="AF39" s="61" t="str">
        <f t="shared" si="46"/>
        <v/>
      </c>
      <c r="AG39" s="61" t="str">
        <f t="shared" si="47"/>
        <v/>
      </c>
      <c r="AH39" s="62" t="str">
        <f t="shared" si="48"/>
        <v/>
      </c>
      <c r="AI39" s="62" t="str">
        <f t="shared" si="49"/>
        <v/>
      </c>
      <c r="AJ39" s="62" t="str">
        <f t="shared" si="50"/>
        <v/>
      </c>
      <c r="AK39" s="61" t="str">
        <f t="shared" si="51"/>
        <v/>
      </c>
      <c r="AL39" s="61" t="str">
        <f t="shared" si="52"/>
        <v/>
      </c>
      <c r="AM39" s="61" t="str">
        <f t="shared" si="53"/>
        <v/>
      </c>
      <c r="AN39" s="61">
        <v>37</v>
      </c>
      <c r="AO39" s="61" t="str">
        <f t="shared" si="54"/>
        <v/>
      </c>
      <c r="AP39" s="61" t="str">
        <f t="shared" si="55"/>
        <v/>
      </c>
      <c r="AQ39" s="62" t="str">
        <f t="shared" si="56"/>
        <v/>
      </c>
      <c r="AR39" s="62" t="str">
        <f t="shared" si="57"/>
        <v/>
      </c>
      <c r="AS39" s="62" t="str">
        <f t="shared" si="58"/>
        <v/>
      </c>
      <c r="AT39" s="61" t="str">
        <f t="shared" si="59"/>
        <v/>
      </c>
      <c r="AU39" s="61" t="str">
        <f t="shared" si="60"/>
        <v/>
      </c>
      <c r="AV39" s="61" t="str">
        <f t="shared" si="61"/>
        <v/>
      </c>
      <c r="AW39" s="62" t="str">
        <f>IF($AY39="","",IF($AK39="PKのみ",$AH39,CHOOSE(MOD($AY39-1,6)+1,12,17,22,27,32,37)))</f>
        <v/>
      </c>
      <c r="AX39" s="62" t="str">
        <f>IF($AY39="","",IF($AK39="PKのみ",CHOOSE(MOD($AY39-1,6)+1,12,17,22,27,32,37),$AI39))</f>
        <v/>
      </c>
      <c r="AY39" s="62" t="str">
        <f>IF($AK39="PKのみ",COUNTIFS($AK$3:$AK$62,"PKのみ",$AH$3:$AH$62,"&lt;"&amp;$AH39)+1,IF($AK39="梱包のみ",COUNTIFS($AK$3:$AK$62,"梱包のみ",$AI$3:$AI$62,"&lt;"&amp;$AI39)+1,""))</f>
        <v/>
      </c>
      <c r="BD39" s="62" t="str">
        <f>IF($AG39="","",IF(OR(AND(ISNUMBER($AH39),OR($AH39&lt;10,$AH39&gt;190)),AND(ISNUMBER($AI39),OR($AI39&lt;10,$AI39&gt;190))),1,0))</f>
        <v/>
      </c>
    </row>
    <row r="40" spans="1:64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IF(梱包!$K$44="","",梱包!$K$44)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IF(梱包!$I$44="","",梱包!$I$44)</f>
        <v/>
      </c>
      <c r="G40" s="61" t="str">
        <f>IF(梱包!$D$44="","",梱包!$D$44)</f>
        <v/>
      </c>
      <c r="H40" s="61">
        <f t="shared" si="31"/>
        <v>0</v>
      </c>
      <c r="I40" s="61" t="str">
        <f>IF(H40=1,SUM(H$3:H40),"")</f>
        <v/>
      </c>
      <c r="J40" s="62" t="str">
        <f t="shared" si="32"/>
        <v/>
      </c>
      <c r="K40" s="61" t="str">
        <f t="shared" si="33"/>
        <v/>
      </c>
      <c r="L40" s="62" t="str">
        <f t="shared" si="34"/>
        <v/>
      </c>
      <c r="M40" s="62" t="str">
        <f t="shared" si="35"/>
        <v/>
      </c>
      <c r="N40" s="62" t="str">
        <f t="shared" si="36"/>
        <v/>
      </c>
      <c r="O40" s="61" t="str">
        <f t="shared" si="37"/>
        <v/>
      </c>
      <c r="P40" s="61">
        <v>38</v>
      </c>
      <c r="Q40" s="62" t="str">
        <f t="shared" si="38"/>
        <v/>
      </c>
      <c r="R40" s="61" t="str">
        <f t="shared" si="39"/>
        <v/>
      </c>
      <c r="S40" s="62" t="str">
        <f t="shared" si="40"/>
        <v/>
      </c>
      <c r="T40" s="62" t="str">
        <f t="shared" si="41"/>
        <v/>
      </c>
      <c r="U40" s="61" t="str">
        <f t="shared" si="42"/>
        <v/>
      </c>
      <c r="AB40" s="61">
        <f t="shared" si="43"/>
        <v>0</v>
      </c>
      <c r="AC40" s="61" t="str">
        <f>IF(AB40=1,SUM(AB$3:AB40),"")</f>
        <v/>
      </c>
      <c r="AD40" s="62" t="str">
        <f t="shared" si="44"/>
        <v/>
      </c>
      <c r="AE40" s="61" t="str">
        <f t="shared" si="45"/>
        <v/>
      </c>
      <c r="AF40" s="61" t="str">
        <f t="shared" si="46"/>
        <v/>
      </c>
      <c r="AG40" s="61" t="str">
        <f t="shared" si="47"/>
        <v/>
      </c>
      <c r="AH40" s="62" t="str">
        <f t="shared" si="48"/>
        <v/>
      </c>
      <c r="AI40" s="62" t="str">
        <f t="shared" si="49"/>
        <v/>
      </c>
      <c r="AJ40" s="62" t="str">
        <f t="shared" si="50"/>
        <v/>
      </c>
      <c r="AK40" s="61" t="str">
        <f t="shared" si="51"/>
        <v/>
      </c>
      <c r="AL40" s="61" t="str">
        <f t="shared" si="52"/>
        <v/>
      </c>
      <c r="AM40" s="61" t="str">
        <f t="shared" si="53"/>
        <v/>
      </c>
      <c r="AN40" s="61">
        <v>38</v>
      </c>
      <c r="AO40" s="61" t="str">
        <f t="shared" si="54"/>
        <v/>
      </c>
      <c r="AP40" s="61" t="str">
        <f t="shared" si="55"/>
        <v/>
      </c>
      <c r="AQ40" s="62" t="str">
        <f t="shared" si="56"/>
        <v/>
      </c>
      <c r="AR40" s="62" t="str">
        <f t="shared" si="57"/>
        <v/>
      </c>
      <c r="AS40" s="62" t="str">
        <f t="shared" si="58"/>
        <v/>
      </c>
      <c r="AT40" s="61" t="str">
        <f t="shared" si="59"/>
        <v/>
      </c>
      <c r="AU40" s="61" t="str">
        <f t="shared" si="60"/>
        <v/>
      </c>
      <c r="AV40" s="61" t="str">
        <f t="shared" si="61"/>
        <v/>
      </c>
      <c r="AW40" s="62" t="str">
        <f>IF($AY40="","",IF($AK40="PKのみ",$AH40,CHOOSE(MOD($AY40-1,6)+1,12,17,22,27,32,37)))</f>
        <v/>
      </c>
      <c r="AX40" s="62" t="str">
        <f>IF($AY40="","",IF($AK40="PKのみ",CHOOSE(MOD($AY40-1,6)+1,12,17,22,27,32,37),$AI40))</f>
        <v/>
      </c>
      <c r="AY40" s="62" t="str">
        <f>IF($AK40="PKのみ",COUNTIFS($AK$3:$AK$62,"PKのみ",$AH$3:$AH$62,"&lt;"&amp;$AH40)+1,IF($AK40="梱包のみ",COUNTIFS($AK$3:$AK$62,"梱包のみ",$AI$3:$AI$62,"&lt;"&amp;$AI40)+1,""))</f>
        <v/>
      </c>
      <c r="BD40" s="62" t="str">
        <f>IF($AG40="","",IF(OR(AND(ISNUMBER($AH40),OR($AH40&lt;10,$AH40&gt;190)),AND(ISNUMBER($AI40),OR($AI40&lt;10,$AI40&gt;190))),1,0))</f>
        <v/>
      </c>
    </row>
    <row r="41" spans="1:64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IF(梱包!$K$45="","",梱包!$K$45)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IF(梱包!$I$45="","",梱包!$I$45)</f>
        <v/>
      </c>
      <c r="G41" s="61" t="str">
        <f>IF(梱包!$D$45="","",梱包!$D$45)</f>
        <v/>
      </c>
      <c r="H41" s="61">
        <f t="shared" si="31"/>
        <v>0</v>
      </c>
      <c r="I41" s="61" t="str">
        <f>IF(H41=1,SUM(H$3:H41),"")</f>
        <v/>
      </c>
      <c r="J41" s="62" t="str">
        <f t="shared" si="32"/>
        <v/>
      </c>
      <c r="K41" s="61" t="str">
        <f t="shared" si="33"/>
        <v/>
      </c>
      <c r="L41" s="62" t="str">
        <f t="shared" si="34"/>
        <v/>
      </c>
      <c r="M41" s="62" t="str">
        <f t="shared" si="35"/>
        <v/>
      </c>
      <c r="N41" s="62" t="str">
        <f t="shared" si="36"/>
        <v/>
      </c>
      <c r="O41" s="61" t="str">
        <f t="shared" si="37"/>
        <v/>
      </c>
      <c r="P41" s="61">
        <v>39</v>
      </c>
      <c r="Q41" s="62" t="str">
        <f t="shared" si="38"/>
        <v/>
      </c>
      <c r="R41" s="61" t="str">
        <f t="shared" si="39"/>
        <v/>
      </c>
      <c r="S41" s="62" t="str">
        <f t="shared" si="40"/>
        <v/>
      </c>
      <c r="T41" s="62" t="str">
        <f t="shared" si="41"/>
        <v/>
      </c>
      <c r="U41" s="61" t="str">
        <f t="shared" si="42"/>
        <v/>
      </c>
      <c r="AB41" s="61">
        <f t="shared" si="43"/>
        <v>0</v>
      </c>
      <c r="AC41" s="61" t="str">
        <f>IF(AB41=1,SUM(AB$3:AB41),"")</f>
        <v/>
      </c>
      <c r="AD41" s="62" t="str">
        <f t="shared" si="44"/>
        <v/>
      </c>
      <c r="AE41" s="61" t="str">
        <f t="shared" si="45"/>
        <v/>
      </c>
      <c r="AF41" s="61" t="str">
        <f t="shared" si="46"/>
        <v/>
      </c>
      <c r="AG41" s="61" t="str">
        <f t="shared" si="47"/>
        <v/>
      </c>
      <c r="AH41" s="62" t="str">
        <f t="shared" si="48"/>
        <v/>
      </c>
      <c r="AI41" s="62" t="str">
        <f t="shared" si="49"/>
        <v/>
      </c>
      <c r="AJ41" s="62" t="str">
        <f t="shared" si="50"/>
        <v/>
      </c>
      <c r="AK41" s="61" t="str">
        <f t="shared" si="51"/>
        <v/>
      </c>
      <c r="AL41" s="61" t="str">
        <f t="shared" si="52"/>
        <v/>
      </c>
      <c r="AM41" s="61" t="str">
        <f t="shared" si="53"/>
        <v/>
      </c>
      <c r="AN41" s="61">
        <v>39</v>
      </c>
      <c r="AO41" s="61" t="str">
        <f t="shared" si="54"/>
        <v/>
      </c>
      <c r="AP41" s="61" t="str">
        <f t="shared" si="55"/>
        <v/>
      </c>
      <c r="AQ41" s="62" t="str">
        <f t="shared" si="56"/>
        <v/>
      </c>
      <c r="AR41" s="62" t="str">
        <f t="shared" si="57"/>
        <v/>
      </c>
      <c r="AS41" s="62" t="str">
        <f t="shared" si="58"/>
        <v/>
      </c>
      <c r="AT41" s="61" t="str">
        <f t="shared" si="59"/>
        <v/>
      </c>
      <c r="AU41" s="61" t="str">
        <f t="shared" si="60"/>
        <v/>
      </c>
      <c r="AV41" s="61" t="str">
        <f t="shared" si="61"/>
        <v/>
      </c>
      <c r="AW41" s="62" t="str">
        <f>IF($AY41="","",IF($AK41="PKのみ",$AH41,CHOOSE(MOD($AY41-1,6)+1,12,17,22,27,32,37)))</f>
        <v/>
      </c>
      <c r="AX41" s="62" t="str">
        <f>IF($AY41="","",IF($AK41="PKのみ",CHOOSE(MOD($AY41-1,6)+1,12,17,22,27,32,37),$AI41))</f>
        <v/>
      </c>
      <c r="AY41" s="62" t="str">
        <f>IF($AK41="PKのみ",COUNTIFS($AK$3:$AK$62,"PKのみ",$AH$3:$AH$62,"&lt;"&amp;$AH41)+1,IF($AK41="梱包のみ",COUNTIFS($AK$3:$AK$62,"梱包のみ",$AI$3:$AI$62,"&lt;"&amp;$AI41)+1,""))</f>
        <v/>
      </c>
      <c r="BD41" s="62" t="str">
        <f>IF($AG41="","",IF(OR(AND(ISNUMBER($AH41),OR($AH41&lt;10,$AH41&gt;190)),AND(ISNUMBER($AI41),OR($AI41&lt;10,$AI41&gt;190))),1,0))</f>
        <v/>
      </c>
    </row>
    <row r="42" spans="1:64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IF(梱包!$K$46="","",梱包!$K$46)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IF(梱包!$I$46="","",梱包!$I$46)</f>
        <v/>
      </c>
      <c r="G42" s="61" t="str">
        <f>IF(梱包!$D$46="","",梱包!$D$46)</f>
        <v/>
      </c>
      <c r="H42" s="61">
        <f t="shared" si="31"/>
        <v>0</v>
      </c>
      <c r="I42" s="61" t="str">
        <f>IF(H42=1,SUM(H$3:H42),"")</f>
        <v/>
      </c>
      <c r="J42" s="62" t="str">
        <f t="shared" si="32"/>
        <v/>
      </c>
      <c r="K42" s="61" t="str">
        <f t="shared" si="33"/>
        <v/>
      </c>
      <c r="L42" s="62" t="str">
        <f t="shared" si="34"/>
        <v/>
      </c>
      <c r="M42" s="62" t="str">
        <f t="shared" si="35"/>
        <v/>
      </c>
      <c r="N42" s="62" t="str">
        <f t="shared" si="36"/>
        <v/>
      </c>
      <c r="O42" s="61" t="str">
        <f t="shared" si="37"/>
        <v/>
      </c>
      <c r="P42" s="61">
        <v>40</v>
      </c>
      <c r="Q42" s="62" t="str">
        <f t="shared" si="38"/>
        <v/>
      </c>
      <c r="R42" s="61" t="str">
        <f t="shared" si="39"/>
        <v/>
      </c>
      <c r="S42" s="62" t="str">
        <f t="shared" si="40"/>
        <v/>
      </c>
      <c r="T42" s="62" t="str">
        <f t="shared" si="41"/>
        <v/>
      </c>
      <c r="U42" s="61" t="str">
        <f t="shared" si="42"/>
        <v/>
      </c>
      <c r="AB42" s="61">
        <f t="shared" si="43"/>
        <v>0</v>
      </c>
      <c r="AC42" s="61" t="str">
        <f>IF(AB42=1,SUM(AB$3:AB42),"")</f>
        <v/>
      </c>
      <c r="AD42" s="62" t="str">
        <f t="shared" si="44"/>
        <v/>
      </c>
      <c r="AE42" s="61" t="str">
        <f t="shared" si="45"/>
        <v/>
      </c>
      <c r="AF42" s="61" t="str">
        <f t="shared" si="46"/>
        <v/>
      </c>
      <c r="AG42" s="61" t="str">
        <f t="shared" si="47"/>
        <v/>
      </c>
      <c r="AH42" s="62" t="str">
        <f t="shared" si="48"/>
        <v/>
      </c>
      <c r="AI42" s="62" t="str">
        <f t="shared" si="49"/>
        <v/>
      </c>
      <c r="AJ42" s="62" t="str">
        <f t="shared" si="50"/>
        <v/>
      </c>
      <c r="AK42" s="61" t="str">
        <f t="shared" si="51"/>
        <v/>
      </c>
      <c r="AL42" s="61" t="str">
        <f t="shared" si="52"/>
        <v/>
      </c>
      <c r="AM42" s="61" t="str">
        <f t="shared" si="53"/>
        <v/>
      </c>
      <c r="AN42" s="61">
        <v>40</v>
      </c>
      <c r="AO42" s="61" t="str">
        <f t="shared" si="54"/>
        <v/>
      </c>
      <c r="AP42" s="61" t="str">
        <f t="shared" si="55"/>
        <v/>
      </c>
      <c r="AQ42" s="62" t="str">
        <f t="shared" si="56"/>
        <v/>
      </c>
      <c r="AR42" s="62" t="str">
        <f t="shared" si="57"/>
        <v/>
      </c>
      <c r="AS42" s="62" t="str">
        <f t="shared" si="58"/>
        <v/>
      </c>
      <c r="AT42" s="61" t="str">
        <f t="shared" si="59"/>
        <v/>
      </c>
      <c r="AU42" s="61" t="str">
        <f t="shared" si="60"/>
        <v/>
      </c>
      <c r="AV42" s="61" t="str">
        <f t="shared" si="61"/>
        <v/>
      </c>
      <c r="AW42" s="62" t="str">
        <f>IF($AY42="","",IF($AK42="PKのみ",$AH42,CHOOSE(MOD($AY42-1,6)+1,12,17,22,27,32,37)))</f>
        <v/>
      </c>
      <c r="AX42" s="62" t="str">
        <f>IF($AY42="","",IF($AK42="PKのみ",CHOOSE(MOD($AY42-1,6)+1,12,17,22,27,32,37),$AI42))</f>
        <v/>
      </c>
      <c r="AY42" s="62" t="str">
        <f>IF($AK42="PKのみ",COUNTIFS($AK$3:$AK$62,"PKのみ",$AH$3:$AH$62,"&lt;"&amp;$AH42)+1,IF($AK42="梱包のみ",COUNTIFS($AK$3:$AK$62,"梱包のみ",$AI$3:$AI$62,"&lt;"&amp;$AI42)+1,""))</f>
        <v/>
      </c>
      <c r="BD42" s="62" t="str">
        <f>IF($AG42="","",IF(OR(AND(ISNUMBER($AH42),OR($AH42&lt;10,$AH42&gt;190)),AND(ISNUMBER($AI42),OR($AI42&lt;10,$AI42&gt;190))),1,0))</f>
        <v/>
      </c>
    </row>
    <row r="43" spans="1:64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IF(梱包!$K$47="","",梱包!$K$47)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IF(梱包!$I$47="","",梱包!$I$47)</f>
        <v/>
      </c>
      <c r="G43" s="61" t="str">
        <f>IF(梱包!$D$47="","",梱包!$D$47)</f>
        <v/>
      </c>
      <c r="H43" s="61">
        <f t="shared" si="31"/>
        <v>0</v>
      </c>
      <c r="I43" s="61" t="str">
        <f>IF(H43=1,SUM(H$3:H43),"")</f>
        <v/>
      </c>
      <c r="J43" s="62" t="str">
        <f t="shared" si="32"/>
        <v/>
      </c>
      <c r="K43" s="61" t="str">
        <f t="shared" si="33"/>
        <v/>
      </c>
      <c r="L43" s="62" t="str">
        <f t="shared" si="34"/>
        <v/>
      </c>
      <c r="M43" s="62" t="str">
        <f t="shared" si="35"/>
        <v/>
      </c>
      <c r="N43" s="62" t="str">
        <f t="shared" si="36"/>
        <v/>
      </c>
      <c r="O43" s="61" t="str">
        <f t="shared" si="37"/>
        <v/>
      </c>
      <c r="P43" s="61">
        <v>41</v>
      </c>
      <c r="Q43" s="62" t="str">
        <f t="shared" si="38"/>
        <v/>
      </c>
      <c r="R43" s="61" t="str">
        <f t="shared" si="39"/>
        <v/>
      </c>
      <c r="S43" s="62" t="str">
        <f t="shared" si="40"/>
        <v/>
      </c>
      <c r="T43" s="62" t="str">
        <f t="shared" si="41"/>
        <v/>
      </c>
      <c r="U43" s="61" t="str">
        <f t="shared" si="42"/>
        <v/>
      </c>
      <c r="AB43" s="61">
        <f t="shared" si="43"/>
        <v>0</v>
      </c>
      <c r="AC43" s="61" t="str">
        <f>IF(AB43=1,SUM(AB$3:AB43),"")</f>
        <v/>
      </c>
      <c r="AD43" s="62" t="str">
        <f t="shared" si="44"/>
        <v/>
      </c>
      <c r="AE43" s="61" t="str">
        <f t="shared" si="45"/>
        <v/>
      </c>
      <c r="AF43" s="61" t="str">
        <f t="shared" si="46"/>
        <v/>
      </c>
      <c r="AG43" s="61" t="str">
        <f t="shared" si="47"/>
        <v/>
      </c>
      <c r="AH43" s="62" t="str">
        <f t="shared" si="48"/>
        <v/>
      </c>
      <c r="AI43" s="62" t="str">
        <f t="shared" si="49"/>
        <v/>
      </c>
      <c r="AJ43" s="62" t="str">
        <f t="shared" si="50"/>
        <v/>
      </c>
      <c r="AK43" s="61" t="str">
        <f t="shared" si="51"/>
        <v/>
      </c>
      <c r="AL43" s="61" t="str">
        <f t="shared" si="52"/>
        <v/>
      </c>
      <c r="AM43" s="61" t="str">
        <f t="shared" si="53"/>
        <v/>
      </c>
      <c r="AN43" s="61">
        <v>41</v>
      </c>
      <c r="AO43" s="61" t="str">
        <f t="shared" si="54"/>
        <v/>
      </c>
      <c r="AP43" s="61" t="str">
        <f t="shared" si="55"/>
        <v/>
      </c>
      <c r="AQ43" s="62" t="str">
        <f t="shared" si="56"/>
        <v/>
      </c>
      <c r="AR43" s="62" t="str">
        <f t="shared" si="57"/>
        <v/>
      </c>
      <c r="AS43" s="62" t="str">
        <f t="shared" si="58"/>
        <v/>
      </c>
      <c r="AT43" s="61" t="str">
        <f t="shared" si="59"/>
        <v/>
      </c>
      <c r="AU43" s="61" t="str">
        <f t="shared" si="60"/>
        <v/>
      </c>
      <c r="AV43" s="61" t="str">
        <f t="shared" si="61"/>
        <v/>
      </c>
      <c r="AW43" s="62" t="str">
        <f>IF($AY43="","",IF($AK43="PKのみ",$AH43,CHOOSE(MOD($AY43-1,6)+1,12,17,22,27,32,37)))</f>
        <v/>
      </c>
      <c r="AX43" s="62" t="str">
        <f>IF($AY43="","",IF($AK43="PKのみ",CHOOSE(MOD($AY43-1,6)+1,12,17,22,27,32,37),$AI43))</f>
        <v/>
      </c>
      <c r="AY43" s="62" t="str">
        <f>IF($AK43="PKのみ",COUNTIFS($AK$3:$AK$62,"PKのみ",$AH$3:$AH$62,"&lt;"&amp;$AH43)+1,IF($AK43="梱包のみ",COUNTIFS($AK$3:$AK$62,"梱包のみ",$AI$3:$AI$62,"&lt;"&amp;$AI43)+1,""))</f>
        <v/>
      </c>
      <c r="BD43" s="62" t="str">
        <f>IF($AG43="","",IF(OR(AND(ISNUMBER($AH43),OR($AH43&lt;10,$AH43&gt;190)),AND(ISNUMBER($AI43),OR($AI43&lt;10,$AI43&gt;190))),1,0))</f>
        <v/>
      </c>
    </row>
    <row r="44" spans="1:64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IF(梱包!$K$48="","",梱包!$K$48)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IF(梱包!$I$48="","",梱包!$I$48)</f>
        <v/>
      </c>
      <c r="G44" s="61" t="str">
        <f>IF(梱包!$D$48="","",梱包!$D$48)</f>
        <v/>
      </c>
      <c r="H44" s="61">
        <f t="shared" si="31"/>
        <v>0</v>
      </c>
      <c r="I44" s="61" t="str">
        <f>IF(H44=1,SUM(H$3:H44),"")</f>
        <v/>
      </c>
      <c r="J44" s="62" t="str">
        <f t="shared" si="32"/>
        <v/>
      </c>
      <c r="K44" s="61" t="str">
        <f t="shared" si="33"/>
        <v/>
      </c>
      <c r="L44" s="62" t="str">
        <f t="shared" si="34"/>
        <v/>
      </c>
      <c r="M44" s="62" t="str">
        <f t="shared" si="35"/>
        <v/>
      </c>
      <c r="N44" s="62" t="str">
        <f t="shared" si="36"/>
        <v/>
      </c>
      <c r="O44" s="61" t="str">
        <f t="shared" si="37"/>
        <v/>
      </c>
      <c r="P44" s="61">
        <v>42</v>
      </c>
      <c r="Q44" s="62" t="str">
        <f t="shared" si="38"/>
        <v/>
      </c>
      <c r="R44" s="61" t="str">
        <f t="shared" si="39"/>
        <v/>
      </c>
      <c r="S44" s="62" t="str">
        <f t="shared" si="40"/>
        <v/>
      </c>
      <c r="T44" s="62" t="str">
        <f t="shared" si="41"/>
        <v/>
      </c>
      <c r="U44" s="61" t="str">
        <f t="shared" si="42"/>
        <v/>
      </c>
      <c r="AB44" s="61">
        <f t="shared" si="43"/>
        <v>0</v>
      </c>
      <c r="AC44" s="61" t="str">
        <f>IF(AB44=1,SUM(AB$3:AB44),"")</f>
        <v/>
      </c>
      <c r="AD44" s="62" t="str">
        <f t="shared" si="44"/>
        <v/>
      </c>
      <c r="AE44" s="61" t="str">
        <f t="shared" si="45"/>
        <v/>
      </c>
      <c r="AF44" s="61" t="str">
        <f t="shared" si="46"/>
        <v/>
      </c>
      <c r="AG44" s="61" t="str">
        <f t="shared" si="47"/>
        <v/>
      </c>
      <c r="AH44" s="62" t="str">
        <f t="shared" si="48"/>
        <v/>
      </c>
      <c r="AI44" s="62" t="str">
        <f t="shared" si="49"/>
        <v/>
      </c>
      <c r="AJ44" s="62" t="str">
        <f t="shared" si="50"/>
        <v/>
      </c>
      <c r="AK44" s="61" t="str">
        <f t="shared" si="51"/>
        <v/>
      </c>
      <c r="AL44" s="61" t="str">
        <f t="shared" si="52"/>
        <v/>
      </c>
      <c r="AM44" s="61" t="str">
        <f t="shared" si="53"/>
        <v/>
      </c>
      <c r="AN44" s="61">
        <v>42</v>
      </c>
      <c r="AO44" s="61" t="str">
        <f t="shared" si="54"/>
        <v/>
      </c>
      <c r="AP44" s="61" t="str">
        <f t="shared" si="55"/>
        <v/>
      </c>
      <c r="AQ44" s="62" t="str">
        <f t="shared" si="56"/>
        <v/>
      </c>
      <c r="AR44" s="62" t="str">
        <f t="shared" si="57"/>
        <v/>
      </c>
      <c r="AS44" s="62" t="str">
        <f t="shared" si="58"/>
        <v/>
      </c>
      <c r="AT44" s="61" t="str">
        <f t="shared" si="59"/>
        <v/>
      </c>
      <c r="AU44" s="61" t="str">
        <f t="shared" si="60"/>
        <v/>
      </c>
      <c r="AV44" s="61" t="str">
        <f t="shared" si="61"/>
        <v/>
      </c>
      <c r="AW44" s="62" t="str">
        <f>IF($AY44="","",IF($AK44="PKのみ",$AH44,CHOOSE(MOD($AY44-1,6)+1,12,17,22,27,32,37)))</f>
        <v/>
      </c>
      <c r="AX44" s="62" t="str">
        <f>IF($AY44="","",IF($AK44="PKのみ",CHOOSE(MOD($AY44-1,6)+1,12,17,22,27,32,37),$AI44))</f>
        <v/>
      </c>
      <c r="AY44" s="62" t="str">
        <f>IF($AK44="PKのみ",COUNTIFS($AK$3:$AK$62,"PKのみ",$AH$3:$AH$62,"&lt;"&amp;$AH44)+1,IF($AK44="梱包のみ",COUNTIFS($AK$3:$AK$62,"梱包のみ",$AI$3:$AI$62,"&lt;"&amp;$AI44)+1,""))</f>
        <v/>
      </c>
      <c r="BD44" s="62" t="str">
        <f>IF($AG44="","",IF(OR(AND(ISNUMBER($AH44),OR($AH44&lt;10,$AH44&gt;190)),AND(ISNUMBER($AI44),OR($AI44&lt;10,$AI44&gt;190))),1,0))</f>
        <v/>
      </c>
    </row>
    <row r="45" spans="1:64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IF(梱包!$K$49="","",梱包!$K$49)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IF(梱包!$I$49="","",梱包!$I$49)</f>
        <v/>
      </c>
      <c r="G45" s="61" t="str">
        <f>IF(梱包!$D$49="","",梱包!$D$49)</f>
        <v/>
      </c>
      <c r="H45" s="61">
        <f t="shared" si="31"/>
        <v>0</v>
      </c>
      <c r="I45" s="61" t="str">
        <f>IF(H45=1,SUM(H$3:H45),"")</f>
        <v/>
      </c>
      <c r="J45" s="62" t="str">
        <f t="shared" si="32"/>
        <v/>
      </c>
      <c r="K45" s="61" t="str">
        <f t="shared" si="33"/>
        <v/>
      </c>
      <c r="L45" s="62" t="str">
        <f t="shared" si="34"/>
        <v/>
      </c>
      <c r="M45" s="62" t="str">
        <f t="shared" si="35"/>
        <v/>
      </c>
      <c r="N45" s="62" t="str">
        <f t="shared" si="36"/>
        <v/>
      </c>
      <c r="O45" s="61" t="str">
        <f t="shared" si="37"/>
        <v/>
      </c>
      <c r="P45" s="61">
        <v>43</v>
      </c>
      <c r="Q45" s="62" t="str">
        <f t="shared" si="38"/>
        <v/>
      </c>
      <c r="R45" s="61" t="str">
        <f t="shared" si="39"/>
        <v/>
      </c>
      <c r="S45" s="62" t="str">
        <f t="shared" si="40"/>
        <v/>
      </c>
      <c r="T45" s="62" t="str">
        <f t="shared" si="41"/>
        <v/>
      </c>
      <c r="U45" s="61" t="str">
        <f t="shared" si="42"/>
        <v/>
      </c>
      <c r="AB45" s="61">
        <f t="shared" si="43"/>
        <v>0</v>
      </c>
      <c r="AC45" s="61" t="str">
        <f>IF(AB45=1,SUM(AB$3:AB45),"")</f>
        <v/>
      </c>
      <c r="AD45" s="62" t="str">
        <f t="shared" si="44"/>
        <v/>
      </c>
      <c r="AE45" s="61" t="str">
        <f t="shared" si="45"/>
        <v/>
      </c>
      <c r="AF45" s="61" t="str">
        <f t="shared" si="46"/>
        <v/>
      </c>
      <c r="AG45" s="61" t="str">
        <f t="shared" si="47"/>
        <v/>
      </c>
      <c r="AH45" s="62" t="str">
        <f t="shared" si="48"/>
        <v/>
      </c>
      <c r="AI45" s="62" t="str">
        <f t="shared" si="49"/>
        <v/>
      </c>
      <c r="AJ45" s="62" t="str">
        <f t="shared" si="50"/>
        <v/>
      </c>
      <c r="AK45" s="61" t="str">
        <f t="shared" si="51"/>
        <v/>
      </c>
      <c r="AL45" s="61" t="str">
        <f t="shared" si="52"/>
        <v/>
      </c>
      <c r="AM45" s="61" t="str">
        <f t="shared" si="53"/>
        <v/>
      </c>
      <c r="AN45" s="61">
        <v>43</v>
      </c>
      <c r="AO45" s="61" t="str">
        <f t="shared" si="54"/>
        <v/>
      </c>
      <c r="AP45" s="61" t="str">
        <f t="shared" si="55"/>
        <v/>
      </c>
      <c r="AQ45" s="62" t="str">
        <f t="shared" si="56"/>
        <v/>
      </c>
      <c r="AR45" s="62" t="str">
        <f t="shared" si="57"/>
        <v/>
      </c>
      <c r="AS45" s="62" t="str">
        <f t="shared" si="58"/>
        <v/>
      </c>
      <c r="AT45" s="61" t="str">
        <f t="shared" si="59"/>
        <v/>
      </c>
      <c r="AU45" s="61" t="str">
        <f t="shared" si="60"/>
        <v/>
      </c>
      <c r="AV45" s="61" t="str">
        <f t="shared" si="61"/>
        <v/>
      </c>
      <c r="AW45" s="62" t="str">
        <f>IF($AY45="","",IF($AK45="PKのみ",$AH45,CHOOSE(MOD($AY45-1,6)+1,12,17,22,27,32,37)))</f>
        <v/>
      </c>
      <c r="AX45" s="62" t="str">
        <f>IF($AY45="","",IF($AK45="PKのみ",CHOOSE(MOD($AY45-1,6)+1,12,17,22,27,32,37),$AI45))</f>
        <v/>
      </c>
      <c r="AY45" s="62" t="str">
        <f>IF($AK45="PKのみ",COUNTIFS($AK$3:$AK$62,"PKのみ",$AH$3:$AH$62,"&lt;"&amp;$AH45)+1,IF($AK45="梱包のみ",COUNTIFS($AK$3:$AK$62,"梱包のみ",$AI$3:$AI$62,"&lt;"&amp;$AI45)+1,""))</f>
        <v/>
      </c>
      <c r="BD45" s="62" t="str">
        <f>IF($AG45="","",IF(OR(AND(ISNUMBER($AH45),OR($AH45&lt;10,$AH45&gt;190)),AND(ISNUMBER($AI45),OR($AI45&lt;10,$AI45&gt;190))),1,0))</f>
        <v/>
      </c>
    </row>
    <row r="46" spans="1:64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IF(梱包!$K$50="","",梱包!$K$50)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IF(梱包!$I$50="","",梱包!$I$50)</f>
        <v/>
      </c>
      <c r="G46" s="61" t="str">
        <f>IF(梱包!$D$50="","",梱包!$D$50)</f>
        <v/>
      </c>
      <c r="H46" s="61">
        <f t="shared" si="31"/>
        <v>0</v>
      </c>
      <c r="I46" s="61" t="str">
        <f>IF(H46=1,SUM(H$3:H46),"")</f>
        <v/>
      </c>
      <c r="J46" s="62" t="str">
        <f t="shared" si="32"/>
        <v/>
      </c>
      <c r="K46" s="61" t="str">
        <f t="shared" si="33"/>
        <v/>
      </c>
      <c r="L46" s="62" t="str">
        <f t="shared" si="34"/>
        <v/>
      </c>
      <c r="M46" s="62" t="str">
        <f t="shared" si="35"/>
        <v/>
      </c>
      <c r="N46" s="62" t="str">
        <f t="shared" si="36"/>
        <v/>
      </c>
      <c r="O46" s="61" t="str">
        <f t="shared" si="37"/>
        <v/>
      </c>
      <c r="P46" s="61">
        <v>44</v>
      </c>
      <c r="Q46" s="62" t="str">
        <f t="shared" si="38"/>
        <v/>
      </c>
      <c r="R46" s="61" t="str">
        <f t="shared" si="39"/>
        <v/>
      </c>
      <c r="S46" s="62" t="str">
        <f t="shared" si="40"/>
        <v/>
      </c>
      <c r="T46" s="62" t="str">
        <f t="shared" si="41"/>
        <v/>
      </c>
      <c r="U46" s="61" t="str">
        <f t="shared" si="42"/>
        <v/>
      </c>
      <c r="AB46" s="61">
        <f t="shared" si="43"/>
        <v>0</v>
      </c>
      <c r="AC46" s="61" t="str">
        <f>IF(AB46=1,SUM(AB$3:AB46),"")</f>
        <v/>
      </c>
      <c r="AD46" s="62" t="str">
        <f t="shared" si="44"/>
        <v/>
      </c>
      <c r="AE46" s="61" t="str">
        <f t="shared" si="45"/>
        <v/>
      </c>
      <c r="AF46" s="61" t="str">
        <f t="shared" si="46"/>
        <v/>
      </c>
      <c r="AG46" s="61" t="str">
        <f t="shared" si="47"/>
        <v/>
      </c>
      <c r="AH46" s="62" t="str">
        <f t="shared" si="48"/>
        <v/>
      </c>
      <c r="AI46" s="62" t="str">
        <f t="shared" si="49"/>
        <v/>
      </c>
      <c r="AJ46" s="62" t="str">
        <f t="shared" si="50"/>
        <v/>
      </c>
      <c r="AK46" s="61" t="str">
        <f t="shared" si="51"/>
        <v/>
      </c>
      <c r="AL46" s="61" t="str">
        <f t="shared" si="52"/>
        <v/>
      </c>
      <c r="AM46" s="61" t="str">
        <f t="shared" si="53"/>
        <v/>
      </c>
      <c r="AN46" s="61">
        <v>44</v>
      </c>
      <c r="AO46" s="61" t="str">
        <f t="shared" si="54"/>
        <v/>
      </c>
      <c r="AP46" s="61" t="str">
        <f t="shared" si="55"/>
        <v/>
      </c>
      <c r="AQ46" s="62" t="str">
        <f t="shared" si="56"/>
        <v/>
      </c>
      <c r="AR46" s="62" t="str">
        <f t="shared" si="57"/>
        <v/>
      </c>
      <c r="AS46" s="62" t="str">
        <f t="shared" si="58"/>
        <v/>
      </c>
      <c r="AT46" s="61" t="str">
        <f t="shared" si="59"/>
        <v/>
      </c>
      <c r="AU46" s="61" t="str">
        <f t="shared" si="60"/>
        <v/>
      </c>
      <c r="AV46" s="61" t="str">
        <f t="shared" si="61"/>
        <v/>
      </c>
      <c r="AW46" s="62" t="str">
        <f>IF($AY46="","",IF($AK46="PKのみ",$AH46,CHOOSE(MOD($AY46-1,6)+1,12,17,22,27,32,37)))</f>
        <v/>
      </c>
      <c r="AX46" s="62" t="str">
        <f>IF($AY46="","",IF($AK46="PKのみ",CHOOSE(MOD($AY46-1,6)+1,12,17,22,27,32,37),$AI46))</f>
        <v/>
      </c>
      <c r="AY46" s="62" t="str">
        <f>IF($AK46="PKのみ",COUNTIFS($AK$3:$AK$62,"PKのみ",$AH$3:$AH$62,"&lt;"&amp;$AH46)+1,IF($AK46="梱包のみ",COUNTIFS($AK$3:$AK$62,"梱包のみ",$AI$3:$AI$62,"&lt;"&amp;$AI46)+1,""))</f>
        <v/>
      </c>
      <c r="BD46" s="62" t="str">
        <f>IF($AG46="","",IF(OR(AND(ISNUMBER($AH46),OR($AH46&lt;10,$AH46&gt;190)),AND(ISNUMBER($AI46),OR($AI46&lt;10,$AI46&gt;190))),1,0))</f>
        <v/>
      </c>
    </row>
    <row r="47" spans="1:64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IF(梱包!$K$51="","",梱包!$K$51)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IF(梱包!$I$51="","",梱包!$I$51)</f>
        <v/>
      </c>
      <c r="G47" s="61" t="str">
        <f>IF(梱包!$D$51="","",梱包!$D$51)</f>
        <v/>
      </c>
      <c r="H47" s="61">
        <f t="shared" si="31"/>
        <v>0</v>
      </c>
      <c r="I47" s="61" t="str">
        <f>IF(H47=1,SUM(H$3:H47),"")</f>
        <v/>
      </c>
      <c r="J47" s="62" t="str">
        <f t="shared" si="32"/>
        <v/>
      </c>
      <c r="K47" s="61" t="str">
        <f t="shared" si="33"/>
        <v/>
      </c>
      <c r="L47" s="62" t="str">
        <f t="shared" si="34"/>
        <v/>
      </c>
      <c r="M47" s="62" t="str">
        <f t="shared" si="35"/>
        <v/>
      </c>
      <c r="N47" s="62" t="str">
        <f t="shared" si="36"/>
        <v/>
      </c>
      <c r="O47" s="61" t="str">
        <f t="shared" si="37"/>
        <v/>
      </c>
      <c r="P47" s="61">
        <v>45</v>
      </c>
      <c r="Q47" s="62" t="str">
        <f t="shared" si="38"/>
        <v/>
      </c>
      <c r="R47" s="61" t="str">
        <f t="shared" si="39"/>
        <v/>
      </c>
      <c r="S47" s="62" t="str">
        <f t="shared" si="40"/>
        <v/>
      </c>
      <c r="T47" s="62" t="str">
        <f t="shared" si="41"/>
        <v/>
      </c>
      <c r="U47" s="61" t="str">
        <f t="shared" si="42"/>
        <v/>
      </c>
      <c r="AB47" s="61">
        <f t="shared" si="43"/>
        <v>0</v>
      </c>
      <c r="AC47" s="61" t="str">
        <f>IF(AB47=1,SUM(AB$3:AB47),"")</f>
        <v/>
      </c>
      <c r="AD47" s="62" t="str">
        <f t="shared" si="44"/>
        <v/>
      </c>
      <c r="AE47" s="61" t="str">
        <f t="shared" si="45"/>
        <v/>
      </c>
      <c r="AF47" s="61" t="str">
        <f t="shared" si="46"/>
        <v/>
      </c>
      <c r="AG47" s="61" t="str">
        <f t="shared" si="47"/>
        <v/>
      </c>
      <c r="AH47" s="62" t="str">
        <f t="shared" si="48"/>
        <v/>
      </c>
      <c r="AI47" s="62" t="str">
        <f t="shared" si="49"/>
        <v/>
      </c>
      <c r="AJ47" s="62" t="str">
        <f t="shared" si="50"/>
        <v/>
      </c>
      <c r="AK47" s="61" t="str">
        <f t="shared" si="51"/>
        <v/>
      </c>
      <c r="AL47" s="61" t="str">
        <f t="shared" si="52"/>
        <v/>
      </c>
      <c r="AM47" s="61" t="str">
        <f t="shared" si="53"/>
        <v/>
      </c>
      <c r="AN47" s="61">
        <v>45</v>
      </c>
      <c r="AO47" s="61" t="str">
        <f t="shared" si="54"/>
        <v/>
      </c>
      <c r="AP47" s="61" t="str">
        <f t="shared" si="55"/>
        <v/>
      </c>
      <c r="AQ47" s="62" t="str">
        <f t="shared" si="56"/>
        <v/>
      </c>
      <c r="AR47" s="62" t="str">
        <f t="shared" si="57"/>
        <v/>
      </c>
      <c r="AS47" s="62" t="str">
        <f t="shared" si="58"/>
        <v/>
      </c>
      <c r="AT47" s="61" t="str">
        <f t="shared" si="59"/>
        <v/>
      </c>
      <c r="AU47" s="61" t="str">
        <f t="shared" si="60"/>
        <v/>
      </c>
      <c r="AV47" s="61" t="str">
        <f t="shared" si="61"/>
        <v/>
      </c>
      <c r="AW47" s="62" t="str">
        <f>IF($AY47="","",IF($AK47="PKのみ",$AH47,CHOOSE(MOD($AY47-1,6)+1,12,17,22,27,32,37)))</f>
        <v/>
      </c>
      <c r="AX47" s="62" t="str">
        <f>IF($AY47="","",IF($AK47="PKのみ",CHOOSE(MOD($AY47-1,6)+1,12,17,22,27,32,37),$AI47))</f>
        <v/>
      </c>
      <c r="AY47" s="62" t="str">
        <f>IF($AK47="PKのみ",COUNTIFS($AK$3:$AK$62,"PKのみ",$AH$3:$AH$62,"&lt;"&amp;$AH47)+1,IF($AK47="梱包のみ",COUNTIFS($AK$3:$AK$62,"梱包のみ",$AI$3:$AI$62,"&lt;"&amp;$AI47)+1,""))</f>
        <v/>
      </c>
      <c r="BD47" s="62" t="str">
        <f>IF($AG47="","",IF(OR(AND(ISNUMBER($AH47),OR($AH47&lt;10,$AH47&gt;190)),AND(ISNUMBER($AI47),OR($AI47&lt;10,$AI47&gt;190))),1,0))</f>
        <v/>
      </c>
    </row>
    <row r="48" spans="1:64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IF(梱包!$K$52="","",梱包!$K$52)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IF(梱包!$I$52="","",梱包!$I$52)</f>
        <v/>
      </c>
      <c r="G48" s="61" t="str">
        <f>IF(梱包!$D$52="","",梱包!$D$52)</f>
        <v/>
      </c>
      <c r="H48" s="61">
        <f t="shared" si="31"/>
        <v>0</v>
      </c>
      <c r="I48" s="61" t="str">
        <f>IF(H48=1,SUM(H$3:H48),"")</f>
        <v/>
      </c>
      <c r="J48" s="62" t="str">
        <f t="shared" si="32"/>
        <v/>
      </c>
      <c r="K48" s="61" t="str">
        <f t="shared" si="33"/>
        <v/>
      </c>
      <c r="L48" s="62" t="str">
        <f t="shared" si="34"/>
        <v/>
      </c>
      <c r="M48" s="62" t="str">
        <f t="shared" si="35"/>
        <v/>
      </c>
      <c r="N48" s="62" t="str">
        <f t="shared" si="36"/>
        <v/>
      </c>
      <c r="O48" s="61" t="str">
        <f t="shared" si="37"/>
        <v/>
      </c>
      <c r="P48" s="61">
        <v>46</v>
      </c>
      <c r="Q48" s="62" t="str">
        <f t="shared" si="38"/>
        <v/>
      </c>
      <c r="R48" s="61" t="str">
        <f t="shared" si="39"/>
        <v/>
      </c>
      <c r="S48" s="62" t="str">
        <f t="shared" si="40"/>
        <v/>
      </c>
      <c r="T48" s="62" t="str">
        <f t="shared" si="41"/>
        <v/>
      </c>
      <c r="U48" s="61" t="str">
        <f t="shared" si="42"/>
        <v/>
      </c>
      <c r="AB48" s="61">
        <f t="shared" si="43"/>
        <v>0</v>
      </c>
      <c r="AC48" s="61" t="str">
        <f>IF(AB48=1,SUM(AB$3:AB48),"")</f>
        <v/>
      </c>
      <c r="AD48" s="62" t="str">
        <f t="shared" si="44"/>
        <v/>
      </c>
      <c r="AE48" s="61" t="str">
        <f t="shared" si="45"/>
        <v/>
      </c>
      <c r="AF48" s="61" t="str">
        <f t="shared" si="46"/>
        <v/>
      </c>
      <c r="AG48" s="61" t="str">
        <f t="shared" si="47"/>
        <v/>
      </c>
      <c r="AH48" s="62" t="str">
        <f t="shared" si="48"/>
        <v/>
      </c>
      <c r="AI48" s="62" t="str">
        <f t="shared" si="49"/>
        <v/>
      </c>
      <c r="AJ48" s="62" t="str">
        <f t="shared" si="50"/>
        <v/>
      </c>
      <c r="AK48" s="61" t="str">
        <f t="shared" si="51"/>
        <v/>
      </c>
      <c r="AL48" s="61" t="str">
        <f t="shared" si="52"/>
        <v/>
      </c>
      <c r="AM48" s="61" t="str">
        <f t="shared" si="53"/>
        <v/>
      </c>
      <c r="AN48" s="61">
        <v>46</v>
      </c>
      <c r="AO48" s="61" t="str">
        <f t="shared" si="54"/>
        <v/>
      </c>
      <c r="AP48" s="61" t="str">
        <f t="shared" si="55"/>
        <v/>
      </c>
      <c r="AQ48" s="62" t="str">
        <f t="shared" si="56"/>
        <v/>
      </c>
      <c r="AR48" s="62" t="str">
        <f t="shared" si="57"/>
        <v/>
      </c>
      <c r="AS48" s="62" t="str">
        <f t="shared" si="58"/>
        <v/>
      </c>
      <c r="AT48" s="61" t="str">
        <f t="shared" si="59"/>
        <v/>
      </c>
      <c r="AU48" s="61" t="str">
        <f t="shared" si="60"/>
        <v/>
      </c>
      <c r="AV48" s="61" t="str">
        <f t="shared" si="61"/>
        <v/>
      </c>
      <c r="AW48" s="62" t="str">
        <f>IF($AY48="","",IF($AK48="PKのみ",$AH48,CHOOSE(MOD($AY48-1,6)+1,12,17,22,27,32,37)))</f>
        <v/>
      </c>
      <c r="AX48" s="62" t="str">
        <f>IF($AY48="","",IF($AK48="PKのみ",CHOOSE(MOD($AY48-1,6)+1,12,17,22,27,32,37),$AI48))</f>
        <v/>
      </c>
      <c r="AY48" s="62" t="str">
        <f>IF($AK48="PKのみ",COUNTIFS($AK$3:$AK$62,"PKのみ",$AH$3:$AH$62,"&lt;"&amp;$AH48)+1,IF($AK48="梱包のみ",COUNTIFS($AK$3:$AK$62,"梱包のみ",$AI$3:$AI$62,"&lt;"&amp;$AI48)+1,""))</f>
        <v/>
      </c>
      <c r="BD48" s="62" t="str">
        <f>IF($AG48="","",IF(OR(AND(ISNUMBER($AH48),OR($AH48&lt;10,$AH48&gt;190)),AND(ISNUMBER($AI48),OR($AI48&lt;10,$AI48&gt;190))),1,0))</f>
        <v/>
      </c>
    </row>
    <row r="49" spans="1:64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IF(梱包!$K$53="","",梱包!$K$53)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IF(梱包!$I$53="","",梱包!$I$53)</f>
        <v/>
      </c>
      <c r="G49" s="61" t="str">
        <f>IF(梱包!$D$53="","",梱包!$D$53)</f>
        <v/>
      </c>
      <c r="H49" s="61">
        <f t="shared" si="31"/>
        <v>0</v>
      </c>
      <c r="I49" s="61" t="str">
        <f>IF(H49=1,SUM(H$3:H49),"")</f>
        <v/>
      </c>
      <c r="J49" s="62" t="str">
        <f t="shared" si="32"/>
        <v/>
      </c>
      <c r="K49" s="61" t="str">
        <f t="shared" si="33"/>
        <v/>
      </c>
      <c r="L49" s="62" t="str">
        <f t="shared" si="34"/>
        <v/>
      </c>
      <c r="M49" s="62" t="str">
        <f t="shared" si="35"/>
        <v/>
      </c>
      <c r="N49" s="62" t="str">
        <f t="shared" si="36"/>
        <v/>
      </c>
      <c r="O49" s="61" t="str">
        <f t="shared" si="37"/>
        <v/>
      </c>
      <c r="P49" s="61">
        <v>47</v>
      </c>
      <c r="Q49" s="62" t="str">
        <f t="shared" si="38"/>
        <v/>
      </c>
      <c r="R49" s="61" t="str">
        <f t="shared" si="39"/>
        <v/>
      </c>
      <c r="S49" s="62" t="str">
        <f t="shared" si="40"/>
        <v/>
      </c>
      <c r="T49" s="62" t="str">
        <f t="shared" si="41"/>
        <v/>
      </c>
      <c r="U49" s="61" t="str">
        <f t="shared" si="42"/>
        <v/>
      </c>
      <c r="AB49" s="61">
        <f t="shared" si="43"/>
        <v>0</v>
      </c>
      <c r="AC49" s="61" t="str">
        <f>IF(AB49=1,SUM(AB$3:AB49),"")</f>
        <v/>
      </c>
      <c r="AD49" s="62" t="str">
        <f t="shared" si="44"/>
        <v/>
      </c>
      <c r="AE49" s="61" t="str">
        <f t="shared" si="45"/>
        <v/>
      </c>
      <c r="AF49" s="61" t="str">
        <f t="shared" si="46"/>
        <v/>
      </c>
      <c r="AG49" s="61" t="str">
        <f t="shared" si="47"/>
        <v/>
      </c>
      <c r="AH49" s="62" t="str">
        <f t="shared" si="48"/>
        <v/>
      </c>
      <c r="AI49" s="62" t="str">
        <f t="shared" si="49"/>
        <v/>
      </c>
      <c r="AJ49" s="62" t="str">
        <f t="shared" si="50"/>
        <v/>
      </c>
      <c r="AK49" s="61" t="str">
        <f t="shared" si="51"/>
        <v/>
      </c>
      <c r="AL49" s="61" t="str">
        <f t="shared" si="52"/>
        <v/>
      </c>
      <c r="AM49" s="61" t="str">
        <f t="shared" si="53"/>
        <v/>
      </c>
      <c r="AN49" s="61">
        <v>47</v>
      </c>
      <c r="AO49" s="61" t="str">
        <f t="shared" si="54"/>
        <v/>
      </c>
      <c r="AP49" s="61" t="str">
        <f t="shared" si="55"/>
        <v/>
      </c>
      <c r="AQ49" s="62" t="str">
        <f t="shared" si="56"/>
        <v/>
      </c>
      <c r="AR49" s="62" t="str">
        <f t="shared" si="57"/>
        <v/>
      </c>
      <c r="AS49" s="62" t="str">
        <f t="shared" si="58"/>
        <v/>
      </c>
      <c r="AT49" s="61" t="str">
        <f t="shared" si="59"/>
        <v/>
      </c>
      <c r="AU49" s="61" t="str">
        <f t="shared" si="60"/>
        <v/>
      </c>
      <c r="AV49" s="61" t="str">
        <f t="shared" si="61"/>
        <v/>
      </c>
      <c r="AW49" s="62" t="str">
        <f>IF($AY49="","",IF($AK49="PKのみ",$AH49,CHOOSE(MOD($AY49-1,6)+1,12,17,22,27,32,37)))</f>
        <v/>
      </c>
      <c r="AX49" s="62" t="str">
        <f>IF($AY49="","",IF($AK49="PKのみ",CHOOSE(MOD($AY49-1,6)+1,12,17,22,27,32,37),$AI49))</f>
        <v/>
      </c>
      <c r="AY49" s="62" t="str">
        <f>IF($AK49="PKのみ",COUNTIFS($AK$3:$AK$62,"PKのみ",$AH$3:$AH$62,"&lt;"&amp;$AH49)+1,IF($AK49="梱包のみ",COUNTIFS($AK$3:$AK$62,"梱包のみ",$AI$3:$AI$62,"&lt;"&amp;$AI49)+1,""))</f>
        <v/>
      </c>
      <c r="BD49" s="62" t="str">
        <f>IF($AG49="","",IF(OR(AND(ISNUMBER($AH49),OR($AH49&lt;10,$AH49&gt;190)),AND(ISNUMBER($AI49),OR($AI49&lt;10,$AI49&gt;190))),1,0))</f>
        <v/>
      </c>
    </row>
    <row r="50" spans="1:64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IF(梱包!$K$54="","",梱包!$K$54)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IF(梱包!$I$54="","",梱包!$I$54)</f>
        <v/>
      </c>
      <c r="G50" s="61" t="str">
        <f>IF(梱包!$D$54="","",梱包!$D$54)</f>
        <v/>
      </c>
      <c r="H50" s="61">
        <f t="shared" si="31"/>
        <v>0</v>
      </c>
      <c r="I50" s="61" t="str">
        <f>IF(H50=1,SUM(H$3:H50),"")</f>
        <v/>
      </c>
      <c r="J50" s="62" t="str">
        <f t="shared" si="32"/>
        <v/>
      </c>
      <c r="K50" s="61" t="str">
        <f t="shared" si="33"/>
        <v/>
      </c>
      <c r="L50" s="62" t="str">
        <f t="shared" si="34"/>
        <v/>
      </c>
      <c r="M50" s="62" t="str">
        <f t="shared" si="35"/>
        <v/>
      </c>
      <c r="N50" s="62" t="str">
        <f t="shared" si="36"/>
        <v/>
      </c>
      <c r="O50" s="61" t="str">
        <f t="shared" si="37"/>
        <v/>
      </c>
      <c r="P50" s="61">
        <v>48</v>
      </c>
      <c r="Q50" s="62" t="str">
        <f t="shared" si="38"/>
        <v/>
      </c>
      <c r="R50" s="61" t="str">
        <f t="shared" si="39"/>
        <v/>
      </c>
      <c r="S50" s="62" t="str">
        <f t="shared" si="40"/>
        <v/>
      </c>
      <c r="T50" s="62" t="str">
        <f t="shared" si="41"/>
        <v/>
      </c>
      <c r="U50" s="61" t="str">
        <f t="shared" si="42"/>
        <v/>
      </c>
      <c r="AB50" s="61">
        <f t="shared" si="43"/>
        <v>0</v>
      </c>
      <c r="AC50" s="61" t="str">
        <f>IF(AB50=1,SUM(AB$3:AB50),"")</f>
        <v/>
      </c>
      <c r="AD50" s="62" t="str">
        <f t="shared" si="44"/>
        <v/>
      </c>
      <c r="AE50" s="61" t="str">
        <f t="shared" si="45"/>
        <v/>
      </c>
      <c r="AF50" s="61" t="str">
        <f t="shared" si="46"/>
        <v/>
      </c>
      <c r="AG50" s="61" t="str">
        <f t="shared" si="47"/>
        <v/>
      </c>
      <c r="AH50" s="62" t="str">
        <f t="shared" si="48"/>
        <v/>
      </c>
      <c r="AI50" s="62" t="str">
        <f t="shared" si="49"/>
        <v/>
      </c>
      <c r="AJ50" s="62" t="str">
        <f t="shared" si="50"/>
        <v/>
      </c>
      <c r="AK50" s="61" t="str">
        <f t="shared" si="51"/>
        <v/>
      </c>
      <c r="AL50" s="61" t="str">
        <f t="shared" si="52"/>
        <v/>
      </c>
      <c r="AM50" s="61" t="str">
        <f t="shared" si="53"/>
        <v/>
      </c>
      <c r="AN50" s="61">
        <v>48</v>
      </c>
      <c r="AO50" s="61" t="str">
        <f t="shared" si="54"/>
        <v/>
      </c>
      <c r="AP50" s="61" t="str">
        <f t="shared" si="55"/>
        <v/>
      </c>
      <c r="AQ50" s="62" t="str">
        <f t="shared" si="56"/>
        <v/>
      </c>
      <c r="AR50" s="62" t="str">
        <f t="shared" si="57"/>
        <v/>
      </c>
      <c r="AS50" s="62" t="str">
        <f t="shared" si="58"/>
        <v/>
      </c>
      <c r="AT50" s="61" t="str">
        <f t="shared" si="59"/>
        <v/>
      </c>
      <c r="AU50" s="61" t="str">
        <f t="shared" si="60"/>
        <v/>
      </c>
      <c r="AV50" s="61" t="str">
        <f t="shared" si="61"/>
        <v/>
      </c>
      <c r="AW50" s="62" t="str">
        <f>IF($AY50="","",IF($AK50="PKのみ",$AH50,CHOOSE(MOD($AY50-1,6)+1,12,17,22,27,32,37)))</f>
        <v/>
      </c>
      <c r="AX50" s="62" t="str">
        <f>IF($AY50="","",IF($AK50="PKのみ",CHOOSE(MOD($AY50-1,6)+1,12,17,22,27,32,37),$AI50))</f>
        <v/>
      </c>
      <c r="AY50" s="62" t="str">
        <f>IF($AK50="PKのみ",COUNTIFS($AK$3:$AK$62,"PKのみ",$AH$3:$AH$62,"&lt;"&amp;$AH50)+1,IF($AK50="梱包のみ",COUNTIFS($AK$3:$AK$62,"梱包のみ",$AI$3:$AI$62,"&lt;"&amp;$AI50)+1,""))</f>
        <v/>
      </c>
      <c r="BD50" s="62" t="str">
        <f>IF($AG50="","",IF(OR(AND(ISNUMBER($AH50),OR($AH50&lt;10,$AH50&gt;190)),AND(ISNUMBER($AI50),OR($AI50&lt;10,$AI50&gt;190))),1,0))</f>
        <v/>
      </c>
    </row>
    <row r="51" spans="1:64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IF(梱包!$K$55="","",梱包!$K$55)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IF(梱包!$I$55="","",梱包!$I$55)</f>
        <v/>
      </c>
      <c r="G51" s="61" t="str">
        <f>IF(梱包!$D$55="","",梱包!$D$55)</f>
        <v/>
      </c>
      <c r="H51" s="61">
        <f t="shared" si="31"/>
        <v>0</v>
      </c>
      <c r="I51" s="61" t="str">
        <f>IF(H51=1,SUM(H$3:H51),"")</f>
        <v/>
      </c>
      <c r="J51" s="62" t="str">
        <f t="shared" si="32"/>
        <v/>
      </c>
      <c r="K51" s="61" t="str">
        <f t="shared" si="33"/>
        <v/>
      </c>
      <c r="L51" s="62" t="str">
        <f t="shared" si="34"/>
        <v/>
      </c>
      <c r="M51" s="62" t="str">
        <f t="shared" si="35"/>
        <v/>
      </c>
      <c r="N51" s="62" t="str">
        <f t="shared" si="36"/>
        <v/>
      </c>
      <c r="O51" s="61" t="str">
        <f t="shared" si="37"/>
        <v/>
      </c>
      <c r="P51" s="61">
        <v>49</v>
      </c>
      <c r="Q51" s="62" t="str">
        <f t="shared" si="38"/>
        <v/>
      </c>
      <c r="R51" s="61" t="str">
        <f t="shared" si="39"/>
        <v/>
      </c>
      <c r="S51" s="62" t="str">
        <f t="shared" si="40"/>
        <v/>
      </c>
      <c r="T51" s="62" t="str">
        <f t="shared" si="41"/>
        <v/>
      </c>
      <c r="U51" s="61" t="str">
        <f t="shared" si="42"/>
        <v/>
      </c>
      <c r="AB51" s="61">
        <f t="shared" si="43"/>
        <v>0</v>
      </c>
      <c r="AC51" s="61" t="str">
        <f>IF(AB51=1,SUM(AB$3:AB51),"")</f>
        <v/>
      </c>
      <c r="AD51" s="62" t="str">
        <f t="shared" si="44"/>
        <v/>
      </c>
      <c r="AE51" s="61" t="str">
        <f t="shared" si="45"/>
        <v/>
      </c>
      <c r="AF51" s="61" t="str">
        <f t="shared" si="46"/>
        <v/>
      </c>
      <c r="AG51" s="61" t="str">
        <f t="shared" si="47"/>
        <v/>
      </c>
      <c r="AH51" s="62" t="str">
        <f t="shared" si="48"/>
        <v/>
      </c>
      <c r="AI51" s="62" t="str">
        <f t="shared" si="49"/>
        <v/>
      </c>
      <c r="AJ51" s="62" t="str">
        <f t="shared" si="50"/>
        <v/>
      </c>
      <c r="AK51" s="61" t="str">
        <f t="shared" si="51"/>
        <v/>
      </c>
      <c r="AL51" s="61" t="str">
        <f t="shared" si="52"/>
        <v/>
      </c>
      <c r="AM51" s="61" t="str">
        <f t="shared" si="53"/>
        <v/>
      </c>
      <c r="AN51" s="61">
        <v>49</v>
      </c>
      <c r="AO51" s="61" t="str">
        <f t="shared" si="54"/>
        <v/>
      </c>
      <c r="AP51" s="61" t="str">
        <f t="shared" si="55"/>
        <v/>
      </c>
      <c r="AQ51" s="62" t="str">
        <f t="shared" si="56"/>
        <v/>
      </c>
      <c r="AR51" s="62" t="str">
        <f t="shared" si="57"/>
        <v/>
      </c>
      <c r="AS51" s="62" t="str">
        <f t="shared" si="58"/>
        <v/>
      </c>
      <c r="AT51" s="61" t="str">
        <f t="shared" si="59"/>
        <v/>
      </c>
      <c r="AU51" s="61" t="str">
        <f t="shared" si="60"/>
        <v/>
      </c>
      <c r="AV51" s="61" t="str">
        <f t="shared" si="61"/>
        <v/>
      </c>
      <c r="AW51" s="62" t="str">
        <f>IF($AY51="","",IF($AK51="PKのみ",$AH51,CHOOSE(MOD($AY51-1,6)+1,12,17,22,27,32,37)))</f>
        <v/>
      </c>
      <c r="AX51" s="62" t="str">
        <f>IF($AY51="","",IF($AK51="PKのみ",CHOOSE(MOD($AY51-1,6)+1,12,17,22,27,32,37),$AI51))</f>
        <v/>
      </c>
      <c r="AY51" s="62" t="str">
        <f>IF($AK51="PKのみ",COUNTIFS($AK$3:$AK$62,"PKのみ",$AH$3:$AH$62,"&lt;"&amp;$AH51)+1,IF($AK51="梱包のみ",COUNTIFS($AK$3:$AK$62,"梱包のみ",$AI$3:$AI$62,"&lt;"&amp;$AI51)+1,""))</f>
        <v/>
      </c>
      <c r="BD51" s="62" t="str">
        <f>IF($AG51="","",IF(OR(AND(ISNUMBER($AH51),OR($AH51&lt;10,$AH51&gt;190)),AND(ISNUMBER($AI51),OR($AI51&lt;10,$AI51&gt;190))),1,0))</f>
        <v/>
      </c>
    </row>
    <row r="52" spans="1:64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IF(梱包!$K$56="","",梱包!$K$56)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IF(梱包!$I$56="","",梱包!$I$56)</f>
        <v/>
      </c>
      <c r="G52" s="61" t="str">
        <f>IF(梱包!$D$56="","",梱包!$D$56)</f>
        <v/>
      </c>
      <c r="H52" s="61">
        <f t="shared" si="31"/>
        <v>0</v>
      </c>
      <c r="I52" s="61" t="str">
        <f>IF(H52=1,SUM(H$3:H52),"")</f>
        <v/>
      </c>
      <c r="J52" s="62" t="str">
        <f t="shared" si="32"/>
        <v/>
      </c>
      <c r="K52" s="61" t="str">
        <f t="shared" si="33"/>
        <v/>
      </c>
      <c r="L52" s="62" t="str">
        <f t="shared" si="34"/>
        <v/>
      </c>
      <c r="M52" s="62" t="str">
        <f t="shared" si="35"/>
        <v/>
      </c>
      <c r="N52" s="62" t="str">
        <f t="shared" si="36"/>
        <v/>
      </c>
      <c r="O52" s="61" t="str">
        <f t="shared" si="37"/>
        <v/>
      </c>
      <c r="P52" s="61">
        <v>50</v>
      </c>
      <c r="Q52" s="62" t="str">
        <f t="shared" si="38"/>
        <v/>
      </c>
      <c r="R52" s="61" t="str">
        <f t="shared" si="39"/>
        <v/>
      </c>
      <c r="S52" s="62" t="str">
        <f t="shared" si="40"/>
        <v/>
      </c>
      <c r="T52" s="62" t="str">
        <f t="shared" si="41"/>
        <v/>
      </c>
      <c r="U52" s="61" t="str">
        <f t="shared" si="42"/>
        <v/>
      </c>
      <c r="AB52" s="61">
        <f t="shared" si="43"/>
        <v>0</v>
      </c>
      <c r="AC52" s="61" t="str">
        <f>IF(AB52=1,SUM(AB$3:AB52),"")</f>
        <v/>
      </c>
      <c r="AD52" s="62" t="str">
        <f t="shared" si="44"/>
        <v/>
      </c>
      <c r="AE52" s="61" t="str">
        <f t="shared" si="45"/>
        <v/>
      </c>
      <c r="AF52" s="61" t="str">
        <f t="shared" si="46"/>
        <v/>
      </c>
      <c r="AG52" s="61" t="str">
        <f t="shared" si="47"/>
        <v/>
      </c>
      <c r="AH52" s="62" t="str">
        <f t="shared" si="48"/>
        <v/>
      </c>
      <c r="AI52" s="62" t="str">
        <f t="shared" si="49"/>
        <v/>
      </c>
      <c r="AJ52" s="62" t="str">
        <f t="shared" si="50"/>
        <v/>
      </c>
      <c r="AK52" s="61" t="str">
        <f t="shared" si="51"/>
        <v/>
      </c>
      <c r="AL52" s="61" t="str">
        <f t="shared" si="52"/>
        <v/>
      </c>
      <c r="AM52" s="61" t="str">
        <f t="shared" si="53"/>
        <v/>
      </c>
      <c r="AN52" s="61">
        <v>50</v>
      </c>
      <c r="AO52" s="61" t="str">
        <f t="shared" si="54"/>
        <v/>
      </c>
      <c r="AP52" s="61" t="str">
        <f t="shared" si="55"/>
        <v/>
      </c>
      <c r="AQ52" s="62" t="str">
        <f t="shared" si="56"/>
        <v/>
      </c>
      <c r="AR52" s="62" t="str">
        <f t="shared" si="57"/>
        <v/>
      </c>
      <c r="AS52" s="62" t="str">
        <f t="shared" si="58"/>
        <v/>
      </c>
      <c r="AT52" s="61" t="str">
        <f t="shared" si="59"/>
        <v/>
      </c>
      <c r="AU52" s="61" t="str">
        <f t="shared" si="60"/>
        <v/>
      </c>
      <c r="AV52" s="61" t="str">
        <f t="shared" si="61"/>
        <v/>
      </c>
      <c r="AW52" s="62" t="str">
        <f>IF($AY52="","",IF($AK52="PKのみ",$AH52,CHOOSE(MOD($AY52-1,6)+1,12,17,22,27,32,37)))</f>
        <v/>
      </c>
      <c r="AX52" s="62" t="str">
        <f>IF($AY52="","",IF($AK52="PKのみ",CHOOSE(MOD($AY52-1,6)+1,12,17,22,27,32,37),$AI52))</f>
        <v/>
      </c>
      <c r="AY52" s="62" t="str">
        <f>IF($AK52="PKのみ",COUNTIFS($AK$3:$AK$62,"PKのみ",$AH$3:$AH$62,"&lt;"&amp;$AH52)+1,IF($AK52="梱包のみ",COUNTIFS($AK$3:$AK$62,"梱包のみ",$AI$3:$AI$62,"&lt;"&amp;$AI52)+1,""))</f>
        <v/>
      </c>
      <c r="BD52" s="62" t="str">
        <f>IF($AG52="","",IF(OR(AND(ISNUMBER($AH52),OR($AH52&lt;10,$AH52&gt;190)),AND(ISNUMBER($AI52),OR($AI52&lt;10,$AI52&gt;190))),1,0))</f>
        <v/>
      </c>
    </row>
    <row r="53" spans="1:64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IF(梱包!$K$57="","",梱包!$K$57)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IF(梱包!$I$57="","",梱包!$I$57)</f>
        <v/>
      </c>
      <c r="G53" s="61" t="str">
        <f>IF(梱包!$D$57="","",梱包!$D$57)</f>
        <v/>
      </c>
      <c r="H53" s="61">
        <f t="shared" si="31"/>
        <v>0</v>
      </c>
      <c r="I53" s="61" t="str">
        <f>IF(H53=1,SUM(H$3:H53),"")</f>
        <v/>
      </c>
      <c r="J53" s="62" t="str">
        <f t="shared" si="32"/>
        <v/>
      </c>
      <c r="K53" s="61" t="str">
        <f t="shared" si="33"/>
        <v/>
      </c>
      <c r="L53" s="62" t="str">
        <f t="shared" si="34"/>
        <v/>
      </c>
      <c r="M53" s="62" t="str">
        <f t="shared" si="35"/>
        <v/>
      </c>
      <c r="N53" s="62" t="str">
        <f t="shared" si="36"/>
        <v/>
      </c>
      <c r="O53" s="61" t="str">
        <f t="shared" si="37"/>
        <v/>
      </c>
      <c r="P53" s="61">
        <v>51</v>
      </c>
      <c r="Q53" s="62" t="str">
        <f t="shared" si="38"/>
        <v/>
      </c>
      <c r="R53" s="61" t="str">
        <f t="shared" si="39"/>
        <v/>
      </c>
      <c r="S53" s="62" t="str">
        <f t="shared" si="40"/>
        <v/>
      </c>
      <c r="T53" s="62" t="str">
        <f t="shared" si="41"/>
        <v/>
      </c>
      <c r="U53" s="61" t="str">
        <f t="shared" si="42"/>
        <v/>
      </c>
      <c r="AB53" s="61">
        <f t="shared" si="43"/>
        <v>0</v>
      </c>
      <c r="AC53" s="61" t="str">
        <f>IF(AB53=1,SUM(AB$3:AB53),"")</f>
        <v/>
      </c>
      <c r="AD53" s="62" t="str">
        <f t="shared" si="44"/>
        <v/>
      </c>
      <c r="AE53" s="61" t="str">
        <f t="shared" si="45"/>
        <v/>
      </c>
      <c r="AF53" s="61" t="str">
        <f t="shared" si="46"/>
        <v/>
      </c>
      <c r="AG53" s="61" t="str">
        <f t="shared" si="47"/>
        <v/>
      </c>
      <c r="AH53" s="62" t="str">
        <f t="shared" si="48"/>
        <v/>
      </c>
      <c r="AI53" s="62" t="str">
        <f t="shared" si="49"/>
        <v/>
      </c>
      <c r="AJ53" s="62" t="str">
        <f t="shared" si="50"/>
        <v/>
      </c>
      <c r="AK53" s="61" t="str">
        <f t="shared" si="51"/>
        <v/>
      </c>
      <c r="AL53" s="61" t="str">
        <f t="shared" si="52"/>
        <v/>
      </c>
      <c r="AM53" s="61" t="str">
        <f t="shared" si="53"/>
        <v/>
      </c>
      <c r="AN53" s="61">
        <v>51</v>
      </c>
      <c r="AO53" s="61" t="str">
        <f t="shared" si="54"/>
        <v/>
      </c>
      <c r="AP53" s="61" t="str">
        <f t="shared" si="55"/>
        <v/>
      </c>
      <c r="AQ53" s="62" t="str">
        <f t="shared" si="56"/>
        <v/>
      </c>
      <c r="AR53" s="62" t="str">
        <f t="shared" si="57"/>
        <v/>
      </c>
      <c r="AS53" s="62" t="str">
        <f t="shared" si="58"/>
        <v/>
      </c>
      <c r="AT53" s="61" t="str">
        <f t="shared" si="59"/>
        <v/>
      </c>
      <c r="AU53" s="61" t="str">
        <f t="shared" si="60"/>
        <v/>
      </c>
      <c r="AV53" s="61" t="str">
        <f t="shared" si="61"/>
        <v/>
      </c>
      <c r="AW53" s="62" t="str">
        <f>IF($AY53="","",IF($AK53="PKのみ",$AH53,CHOOSE(MOD($AY53-1,6)+1,12,17,22,27,32,37)))</f>
        <v/>
      </c>
      <c r="AX53" s="62" t="str">
        <f>IF($AY53="","",IF($AK53="PKのみ",CHOOSE(MOD($AY53-1,6)+1,12,17,22,27,32,37),$AI53))</f>
        <v/>
      </c>
      <c r="AY53" s="62" t="str">
        <f>IF($AK53="PKのみ",COUNTIFS($AK$3:$AK$62,"PKのみ",$AH$3:$AH$62,"&lt;"&amp;$AH53)+1,IF($AK53="梱包のみ",COUNTIFS($AK$3:$AK$62,"梱包のみ",$AI$3:$AI$62,"&lt;"&amp;$AI53)+1,""))</f>
        <v/>
      </c>
      <c r="BD53" s="62" t="str">
        <f>IF($AG53="","",IF(OR(AND(ISNUMBER($AH53),OR($AH53&lt;10,$AH53&gt;190)),AND(ISNUMBER($AI53),OR($AI53&lt;10,$AI53&gt;190))),1,0))</f>
        <v/>
      </c>
    </row>
    <row r="54" spans="1:64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IF(梱包!$K$58="","",梱包!$K$58)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IF(梱包!$I$58="","",梱包!$I$58)</f>
        <v/>
      </c>
      <c r="G54" s="61" t="str">
        <f>IF(梱包!$D$58="","",梱包!$D$58)</f>
        <v/>
      </c>
      <c r="H54" s="61">
        <f t="shared" si="31"/>
        <v>0</v>
      </c>
      <c r="I54" s="61" t="str">
        <f>IF(H54=1,SUM(H$3:H54),"")</f>
        <v/>
      </c>
      <c r="J54" s="62" t="str">
        <f t="shared" si="32"/>
        <v/>
      </c>
      <c r="K54" s="61" t="str">
        <f t="shared" si="33"/>
        <v/>
      </c>
      <c r="L54" s="62" t="str">
        <f t="shared" si="34"/>
        <v/>
      </c>
      <c r="M54" s="62" t="str">
        <f t="shared" si="35"/>
        <v/>
      </c>
      <c r="N54" s="62" t="str">
        <f t="shared" si="36"/>
        <v/>
      </c>
      <c r="O54" s="61" t="str">
        <f t="shared" si="37"/>
        <v/>
      </c>
      <c r="P54" s="61">
        <v>52</v>
      </c>
      <c r="Q54" s="62" t="str">
        <f t="shared" si="38"/>
        <v/>
      </c>
      <c r="R54" s="61" t="str">
        <f t="shared" si="39"/>
        <v/>
      </c>
      <c r="S54" s="62" t="str">
        <f t="shared" si="40"/>
        <v/>
      </c>
      <c r="T54" s="62" t="str">
        <f t="shared" si="41"/>
        <v/>
      </c>
      <c r="U54" s="61" t="str">
        <f t="shared" si="42"/>
        <v/>
      </c>
      <c r="AB54" s="61">
        <f t="shared" si="43"/>
        <v>0</v>
      </c>
      <c r="AC54" s="61" t="str">
        <f>IF(AB54=1,SUM(AB$3:AB54),"")</f>
        <v/>
      </c>
      <c r="AD54" s="62" t="str">
        <f t="shared" si="44"/>
        <v/>
      </c>
      <c r="AE54" s="61" t="str">
        <f t="shared" si="45"/>
        <v/>
      </c>
      <c r="AF54" s="61" t="str">
        <f t="shared" si="46"/>
        <v/>
      </c>
      <c r="AG54" s="61" t="str">
        <f t="shared" si="47"/>
        <v/>
      </c>
      <c r="AH54" s="62" t="str">
        <f t="shared" si="48"/>
        <v/>
      </c>
      <c r="AI54" s="62" t="str">
        <f t="shared" si="49"/>
        <v/>
      </c>
      <c r="AJ54" s="62" t="str">
        <f t="shared" si="50"/>
        <v/>
      </c>
      <c r="AK54" s="61" t="str">
        <f t="shared" si="51"/>
        <v/>
      </c>
      <c r="AL54" s="61" t="str">
        <f t="shared" si="52"/>
        <v/>
      </c>
      <c r="AM54" s="61" t="str">
        <f t="shared" si="53"/>
        <v/>
      </c>
      <c r="AN54" s="61">
        <v>52</v>
      </c>
      <c r="AO54" s="61" t="str">
        <f t="shared" si="54"/>
        <v/>
      </c>
      <c r="AP54" s="61" t="str">
        <f t="shared" si="55"/>
        <v/>
      </c>
      <c r="AQ54" s="62" t="str">
        <f t="shared" si="56"/>
        <v/>
      </c>
      <c r="AR54" s="62" t="str">
        <f t="shared" si="57"/>
        <v/>
      </c>
      <c r="AS54" s="62" t="str">
        <f t="shared" si="58"/>
        <v/>
      </c>
      <c r="AT54" s="61" t="str">
        <f t="shared" si="59"/>
        <v/>
      </c>
      <c r="AU54" s="61" t="str">
        <f t="shared" si="60"/>
        <v/>
      </c>
      <c r="AV54" s="61" t="str">
        <f t="shared" si="61"/>
        <v/>
      </c>
      <c r="AW54" s="62" t="str">
        <f>IF($AY54="","",IF($AK54="PKのみ",$AH54,CHOOSE(MOD($AY54-1,6)+1,12,17,22,27,32,37)))</f>
        <v/>
      </c>
      <c r="AX54" s="62" t="str">
        <f>IF($AY54="","",IF($AK54="PKのみ",CHOOSE(MOD($AY54-1,6)+1,12,17,22,27,32,37),$AI54))</f>
        <v/>
      </c>
      <c r="AY54" s="62" t="str">
        <f>IF($AK54="PKのみ",COUNTIFS($AK$3:$AK$62,"PKのみ",$AH$3:$AH$62,"&lt;"&amp;$AH54)+1,IF($AK54="梱包のみ",COUNTIFS($AK$3:$AK$62,"梱包のみ",$AI$3:$AI$62,"&lt;"&amp;$AI54)+1,""))</f>
        <v/>
      </c>
      <c r="BD54" s="62" t="str">
        <f>IF($AG54="","",IF(OR(AND(ISNUMBER($AH54),OR($AH54&lt;10,$AH54&gt;190)),AND(ISNUMBER($AI54),OR($AI54&lt;10,$AI54&gt;190))),1,0))</f>
        <v/>
      </c>
    </row>
    <row r="55" spans="1:64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IF(梱包!$K$59="","",梱包!$K$59)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IF(梱包!$I$59="","",梱包!$I$59)</f>
        <v/>
      </c>
      <c r="G55" s="61" t="str">
        <f>IF(梱包!$D$59="","",梱包!$D$59)</f>
        <v/>
      </c>
      <c r="H55" s="61">
        <f t="shared" si="31"/>
        <v>0</v>
      </c>
      <c r="I55" s="61" t="str">
        <f>IF(H55=1,SUM(H$3:H55),"")</f>
        <v/>
      </c>
      <c r="J55" s="62" t="str">
        <f t="shared" si="32"/>
        <v/>
      </c>
      <c r="K55" s="61" t="str">
        <f t="shared" si="33"/>
        <v/>
      </c>
      <c r="L55" s="62" t="str">
        <f t="shared" si="34"/>
        <v/>
      </c>
      <c r="M55" s="62" t="str">
        <f t="shared" si="35"/>
        <v/>
      </c>
      <c r="N55" s="62" t="str">
        <f t="shared" si="36"/>
        <v/>
      </c>
      <c r="O55" s="61" t="str">
        <f t="shared" si="37"/>
        <v/>
      </c>
      <c r="P55" s="61">
        <v>53</v>
      </c>
      <c r="Q55" s="62" t="str">
        <f t="shared" si="38"/>
        <v/>
      </c>
      <c r="R55" s="61" t="str">
        <f t="shared" si="39"/>
        <v/>
      </c>
      <c r="S55" s="62" t="str">
        <f t="shared" si="40"/>
        <v/>
      </c>
      <c r="T55" s="62" t="str">
        <f t="shared" si="41"/>
        <v/>
      </c>
      <c r="U55" s="61" t="str">
        <f t="shared" si="42"/>
        <v/>
      </c>
      <c r="AB55" s="61">
        <f t="shared" si="43"/>
        <v>0</v>
      </c>
      <c r="AC55" s="61" t="str">
        <f>IF(AB55=1,SUM(AB$3:AB55),"")</f>
        <v/>
      </c>
      <c r="AD55" s="62" t="str">
        <f t="shared" si="44"/>
        <v/>
      </c>
      <c r="AE55" s="61" t="str">
        <f t="shared" si="45"/>
        <v/>
      </c>
      <c r="AF55" s="61" t="str">
        <f t="shared" si="46"/>
        <v/>
      </c>
      <c r="AG55" s="61" t="str">
        <f t="shared" si="47"/>
        <v/>
      </c>
      <c r="AH55" s="62" t="str">
        <f t="shared" si="48"/>
        <v/>
      </c>
      <c r="AI55" s="62" t="str">
        <f t="shared" si="49"/>
        <v/>
      </c>
      <c r="AJ55" s="62" t="str">
        <f t="shared" si="50"/>
        <v/>
      </c>
      <c r="AK55" s="61" t="str">
        <f t="shared" si="51"/>
        <v/>
      </c>
      <c r="AL55" s="61" t="str">
        <f t="shared" si="52"/>
        <v/>
      </c>
      <c r="AM55" s="61" t="str">
        <f t="shared" si="53"/>
        <v/>
      </c>
      <c r="AN55" s="61">
        <v>53</v>
      </c>
      <c r="AO55" s="61" t="str">
        <f t="shared" si="54"/>
        <v/>
      </c>
      <c r="AP55" s="61" t="str">
        <f t="shared" si="55"/>
        <v/>
      </c>
      <c r="AQ55" s="62" t="str">
        <f t="shared" si="56"/>
        <v/>
      </c>
      <c r="AR55" s="62" t="str">
        <f t="shared" si="57"/>
        <v/>
      </c>
      <c r="AS55" s="62" t="str">
        <f t="shared" si="58"/>
        <v/>
      </c>
      <c r="AT55" s="61" t="str">
        <f t="shared" si="59"/>
        <v/>
      </c>
      <c r="AU55" s="61" t="str">
        <f t="shared" si="60"/>
        <v/>
      </c>
      <c r="AV55" s="61" t="str">
        <f t="shared" si="61"/>
        <v/>
      </c>
      <c r="AW55" s="62" t="str">
        <f>IF($AY55="","",IF($AK55="PKのみ",$AH55,CHOOSE(MOD($AY55-1,6)+1,12,17,22,27,32,37)))</f>
        <v/>
      </c>
      <c r="AX55" s="62" t="str">
        <f>IF($AY55="","",IF($AK55="PKのみ",CHOOSE(MOD($AY55-1,6)+1,12,17,22,27,32,37),$AI55))</f>
        <v/>
      </c>
      <c r="AY55" s="62" t="str">
        <f>IF($AK55="PKのみ",COUNTIFS($AK$3:$AK$62,"PKのみ",$AH$3:$AH$62,"&lt;"&amp;$AH55)+1,IF($AK55="梱包のみ",COUNTIFS($AK$3:$AK$62,"梱包のみ",$AI$3:$AI$62,"&lt;"&amp;$AI55)+1,""))</f>
        <v/>
      </c>
      <c r="BD55" s="62" t="str">
        <f>IF($AG55="","",IF(OR(AND(ISNUMBER($AH55),OR($AH55&lt;10,$AH55&gt;190)),AND(ISNUMBER($AI55),OR($AI55&lt;10,$AI55&gt;190))),1,0))</f>
        <v/>
      </c>
    </row>
    <row r="56" spans="1:64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IF(梱包!$K$60="","",梱包!$K$60)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IF(梱包!$I$60="","",梱包!$I$60)</f>
        <v/>
      </c>
      <c r="G56" s="61" t="str">
        <f>IF(梱包!$D$60="","",梱包!$D$60)</f>
        <v/>
      </c>
      <c r="H56" s="61">
        <f t="shared" si="31"/>
        <v>0</v>
      </c>
      <c r="I56" s="61" t="str">
        <f>IF(H56=1,SUM(H$3:H56),"")</f>
        <v/>
      </c>
      <c r="J56" s="62" t="str">
        <f t="shared" si="32"/>
        <v/>
      </c>
      <c r="K56" s="61" t="str">
        <f t="shared" si="33"/>
        <v/>
      </c>
      <c r="L56" s="62" t="str">
        <f t="shared" si="34"/>
        <v/>
      </c>
      <c r="M56" s="62" t="str">
        <f t="shared" si="35"/>
        <v/>
      </c>
      <c r="N56" s="62" t="str">
        <f t="shared" si="36"/>
        <v/>
      </c>
      <c r="O56" s="61" t="str">
        <f t="shared" si="37"/>
        <v/>
      </c>
      <c r="P56" s="61">
        <v>54</v>
      </c>
      <c r="Q56" s="62" t="str">
        <f t="shared" si="38"/>
        <v/>
      </c>
      <c r="R56" s="61" t="str">
        <f t="shared" si="39"/>
        <v/>
      </c>
      <c r="S56" s="62" t="str">
        <f t="shared" si="40"/>
        <v/>
      </c>
      <c r="T56" s="62" t="str">
        <f t="shared" si="41"/>
        <v/>
      </c>
      <c r="U56" s="61" t="str">
        <f t="shared" si="42"/>
        <v/>
      </c>
      <c r="AB56" s="61">
        <f t="shared" si="43"/>
        <v>0</v>
      </c>
      <c r="AC56" s="61" t="str">
        <f>IF(AB56=1,SUM(AB$3:AB56),"")</f>
        <v/>
      </c>
      <c r="AD56" s="62" t="str">
        <f t="shared" si="44"/>
        <v/>
      </c>
      <c r="AE56" s="61" t="str">
        <f t="shared" si="45"/>
        <v/>
      </c>
      <c r="AF56" s="61" t="str">
        <f t="shared" si="46"/>
        <v/>
      </c>
      <c r="AG56" s="61" t="str">
        <f t="shared" si="47"/>
        <v/>
      </c>
      <c r="AH56" s="62" t="str">
        <f t="shared" si="48"/>
        <v/>
      </c>
      <c r="AI56" s="62" t="str">
        <f t="shared" si="49"/>
        <v/>
      </c>
      <c r="AJ56" s="62" t="str">
        <f t="shared" si="50"/>
        <v/>
      </c>
      <c r="AK56" s="61" t="str">
        <f t="shared" si="51"/>
        <v/>
      </c>
      <c r="AL56" s="61" t="str">
        <f t="shared" si="52"/>
        <v/>
      </c>
      <c r="AM56" s="61" t="str">
        <f t="shared" si="53"/>
        <v/>
      </c>
      <c r="AN56" s="61">
        <v>54</v>
      </c>
      <c r="AO56" s="61" t="str">
        <f t="shared" si="54"/>
        <v/>
      </c>
      <c r="AP56" s="61" t="str">
        <f t="shared" si="55"/>
        <v/>
      </c>
      <c r="AQ56" s="62" t="str">
        <f t="shared" si="56"/>
        <v/>
      </c>
      <c r="AR56" s="62" t="str">
        <f t="shared" si="57"/>
        <v/>
      </c>
      <c r="AS56" s="62" t="str">
        <f t="shared" si="58"/>
        <v/>
      </c>
      <c r="AT56" s="61" t="str">
        <f t="shared" si="59"/>
        <v/>
      </c>
      <c r="AU56" s="61" t="str">
        <f t="shared" si="60"/>
        <v/>
      </c>
      <c r="AV56" s="61" t="str">
        <f t="shared" si="61"/>
        <v/>
      </c>
      <c r="AW56" s="62" t="str">
        <f>IF($AY56="","",IF($AK56="PKのみ",$AH56,CHOOSE(MOD($AY56-1,6)+1,12,17,22,27,32,37)))</f>
        <v/>
      </c>
      <c r="AX56" s="62" t="str">
        <f>IF($AY56="","",IF($AK56="PKのみ",CHOOSE(MOD($AY56-1,6)+1,12,17,22,27,32,37),$AI56))</f>
        <v/>
      </c>
      <c r="AY56" s="62" t="str">
        <f>IF($AK56="PKのみ",COUNTIFS($AK$3:$AK$62,"PKのみ",$AH$3:$AH$62,"&lt;"&amp;$AH56)+1,IF($AK56="梱包のみ",COUNTIFS($AK$3:$AK$62,"梱包のみ",$AI$3:$AI$62,"&lt;"&amp;$AI56)+1,""))</f>
        <v/>
      </c>
      <c r="BD56" s="62" t="str">
        <f>IF($AG56="","",IF(OR(AND(ISNUMBER($AH56),OR($AH56&lt;10,$AH56&gt;190)),AND(ISNUMBER($AI56),OR($AI56&lt;10,$AI56&gt;190))),1,0))</f>
        <v/>
      </c>
    </row>
    <row r="57" spans="1:64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IF(梱包!$K$61="","",梱包!$K$61)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IF(梱包!$I$61="","",梱包!$I$61)</f>
        <v/>
      </c>
      <c r="G57" s="61" t="str">
        <f>IF(梱包!$D$61="","",梱包!$D$61)</f>
        <v/>
      </c>
      <c r="H57" s="61">
        <f t="shared" si="31"/>
        <v>0</v>
      </c>
      <c r="I57" s="61" t="str">
        <f>IF(H57=1,SUM(H$3:H57),"")</f>
        <v/>
      </c>
      <c r="J57" s="62" t="str">
        <f t="shared" si="32"/>
        <v/>
      </c>
      <c r="K57" s="61" t="str">
        <f t="shared" si="33"/>
        <v/>
      </c>
      <c r="L57" s="62" t="str">
        <f t="shared" si="34"/>
        <v/>
      </c>
      <c r="M57" s="62" t="str">
        <f t="shared" si="35"/>
        <v/>
      </c>
      <c r="N57" s="62" t="str">
        <f t="shared" si="36"/>
        <v/>
      </c>
      <c r="O57" s="61" t="str">
        <f t="shared" si="37"/>
        <v/>
      </c>
      <c r="P57" s="61">
        <v>55</v>
      </c>
      <c r="Q57" s="62" t="str">
        <f t="shared" si="38"/>
        <v/>
      </c>
      <c r="R57" s="61" t="str">
        <f t="shared" si="39"/>
        <v/>
      </c>
      <c r="S57" s="62" t="str">
        <f t="shared" si="40"/>
        <v/>
      </c>
      <c r="T57" s="62" t="str">
        <f t="shared" si="41"/>
        <v/>
      </c>
      <c r="U57" s="61" t="str">
        <f t="shared" si="42"/>
        <v/>
      </c>
      <c r="AB57" s="61">
        <f t="shared" si="43"/>
        <v>0</v>
      </c>
      <c r="AC57" s="61" t="str">
        <f>IF(AB57=1,SUM(AB$3:AB57),"")</f>
        <v/>
      </c>
      <c r="AD57" s="62" t="str">
        <f t="shared" si="44"/>
        <v/>
      </c>
      <c r="AE57" s="61" t="str">
        <f t="shared" si="45"/>
        <v/>
      </c>
      <c r="AF57" s="61" t="str">
        <f t="shared" si="46"/>
        <v/>
      </c>
      <c r="AG57" s="61" t="str">
        <f t="shared" si="47"/>
        <v/>
      </c>
      <c r="AH57" s="62" t="str">
        <f t="shared" si="48"/>
        <v/>
      </c>
      <c r="AI57" s="62" t="str">
        <f t="shared" si="49"/>
        <v/>
      </c>
      <c r="AJ57" s="62" t="str">
        <f t="shared" si="50"/>
        <v/>
      </c>
      <c r="AK57" s="61" t="str">
        <f t="shared" si="51"/>
        <v/>
      </c>
      <c r="AL57" s="61" t="str">
        <f t="shared" si="52"/>
        <v/>
      </c>
      <c r="AM57" s="61" t="str">
        <f t="shared" si="53"/>
        <v/>
      </c>
      <c r="AN57" s="61">
        <v>55</v>
      </c>
      <c r="AO57" s="61" t="str">
        <f t="shared" si="54"/>
        <v/>
      </c>
      <c r="AP57" s="61" t="str">
        <f t="shared" si="55"/>
        <v/>
      </c>
      <c r="AQ57" s="62" t="str">
        <f t="shared" si="56"/>
        <v/>
      </c>
      <c r="AR57" s="62" t="str">
        <f t="shared" si="57"/>
        <v/>
      </c>
      <c r="AS57" s="62" t="str">
        <f t="shared" si="58"/>
        <v/>
      </c>
      <c r="AT57" s="61" t="str">
        <f t="shared" si="59"/>
        <v/>
      </c>
      <c r="AU57" s="61" t="str">
        <f t="shared" si="60"/>
        <v/>
      </c>
      <c r="AV57" s="61" t="str">
        <f t="shared" si="61"/>
        <v/>
      </c>
      <c r="AW57" s="62" t="str">
        <f>IF($AY57="","",IF($AK57="PKのみ",$AH57,CHOOSE(MOD($AY57-1,6)+1,12,17,22,27,32,37)))</f>
        <v/>
      </c>
      <c r="AX57" s="62" t="str">
        <f>IF($AY57="","",IF($AK57="PKのみ",CHOOSE(MOD($AY57-1,6)+1,12,17,22,27,32,37),$AI57))</f>
        <v/>
      </c>
      <c r="AY57" s="62" t="str">
        <f>IF($AK57="PKのみ",COUNTIFS($AK$3:$AK$62,"PKのみ",$AH$3:$AH$62,"&lt;"&amp;$AH57)+1,IF($AK57="梱包のみ",COUNTIFS($AK$3:$AK$62,"梱包のみ",$AI$3:$AI$62,"&lt;"&amp;$AI57)+1,""))</f>
        <v/>
      </c>
      <c r="BD57" s="62" t="str">
        <f>IF($AG57="","",IF(OR(AND(ISNUMBER($AH57),OR($AH57&lt;10,$AH57&gt;190)),AND(ISNUMBER($AI57),OR($AI57&lt;10,$AI57&gt;190))),1,0))</f>
        <v/>
      </c>
    </row>
    <row r="58" spans="1:64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IF(梱包!$K$62="","",梱包!$K$62)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IF(梱包!$I$62="","",梱包!$I$62)</f>
        <v/>
      </c>
      <c r="G58" s="61" t="str">
        <f>IF(梱包!$D$62="","",梱包!$D$62)</f>
        <v/>
      </c>
      <c r="H58" s="61">
        <f t="shared" si="31"/>
        <v>0</v>
      </c>
      <c r="I58" s="61" t="str">
        <f>IF(H58=1,SUM(H$3:H58),"")</f>
        <v/>
      </c>
      <c r="J58" s="62" t="str">
        <f t="shared" si="32"/>
        <v/>
      </c>
      <c r="K58" s="61" t="str">
        <f t="shared" si="33"/>
        <v/>
      </c>
      <c r="L58" s="62" t="str">
        <f t="shared" si="34"/>
        <v/>
      </c>
      <c r="M58" s="62" t="str">
        <f t="shared" si="35"/>
        <v/>
      </c>
      <c r="N58" s="62" t="str">
        <f t="shared" si="36"/>
        <v/>
      </c>
      <c r="O58" s="61" t="str">
        <f t="shared" si="37"/>
        <v/>
      </c>
      <c r="P58" s="61">
        <v>56</v>
      </c>
      <c r="Q58" s="62" t="str">
        <f t="shared" si="38"/>
        <v/>
      </c>
      <c r="R58" s="61" t="str">
        <f t="shared" si="39"/>
        <v/>
      </c>
      <c r="S58" s="62" t="str">
        <f t="shared" si="40"/>
        <v/>
      </c>
      <c r="T58" s="62" t="str">
        <f t="shared" si="41"/>
        <v/>
      </c>
      <c r="U58" s="61" t="str">
        <f t="shared" si="42"/>
        <v/>
      </c>
      <c r="AB58" s="61">
        <f t="shared" si="43"/>
        <v>0</v>
      </c>
      <c r="AC58" s="61" t="str">
        <f>IF(AB58=1,SUM(AB$3:AB58),"")</f>
        <v/>
      </c>
      <c r="AD58" s="62" t="str">
        <f t="shared" si="44"/>
        <v/>
      </c>
      <c r="AE58" s="61" t="str">
        <f t="shared" si="45"/>
        <v/>
      </c>
      <c r="AF58" s="61" t="str">
        <f t="shared" si="46"/>
        <v/>
      </c>
      <c r="AG58" s="61" t="str">
        <f t="shared" si="47"/>
        <v/>
      </c>
      <c r="AH58" s="62" t="str">
        <f t="shared" si="48"/>
        <v/>
      </c>
      <c r="AI58" s="62" t="str">
        <f t="shared" si="49"/>
        <v/>
      </c>
      <c r="AJ58" s="62" t="str">
        <f t="shared" si="50"/>
        <v/>
      </c>
      <c r="AK58" s="61" t="str">
        <f t="shared" si="51"/>
        <v/>
      </c>
      <c r="AL58" s="61" t="str">
        <f t="shared" si="52"/>
        <v/>
      </c>
      <c r="AM58" s="61" t="str">
        <f t="shared" si="53"/>
        <v/>
      </c>
      <c r="AN58" s="61">
        <v>56</v>
      </c>
      <c r="AO58" s="61" t="str">
        <f t="shared" si="54"/>
        <v/>
      </c>
      <c r="AP58" s="61" t="str">
        <f t="shared" si="55"/>
        <v/>
      </c>
      <c r="AQ58" s="62" t="str">
        <f t="shared" si="56"/>
        <v/>
      </c>
      <c r="AR58" s="62" t="str">
        <f t="shared" si="57"/>
        <v/>
      </c>
      <c r="AS58" s="62" t="str">
        <f t="shared" si="58"/>
        <v/>
      </c>
      <c r="AT58" s="61" t="str">
        <f t="shared" si="59"/>
        <v/>
      </c>
      <c r="AU58" s="61" t="str">
        <f t="shared" si="60"/>
        <v/>
      </c>
      <c r="AV58" s="61" t="str">
        <f t="shared" si="61"/>
        <v/>
      </c>
      <c r="AW58" s="62" t="str">
        <f>IF($AY58="","",IF($AK58="PKのみ",$AH58,CHOOSE(MOD($AY58-1,6)+1,12,17,22,27,32,37)))</f>
        <v/>
      </c>
      <c r="AX58" s="62" t="str">
        <f>IF($AY58="","",IF($AK58="PKのみ",CHOOSE(MOD($AY58-1,6)+1,12,17,22,27,32,37),$AI58))</f>
        <v/>
      </c>
      <c r="AY58" s="62" t="str">
        <f>IF($AK58="PKのみ",COUNTIFS($AK$3:$AK$62,"PKのみ",$AH$3:$AH$62,"&lt;"&amp;$AH58)+1,IF($AK58="梱包のみ",COUNTIFS($AK$3:$AK$62,"梱包のみ",$AI$3:$AI$62,"&lt;"&amp;$AI58)+1,""))</f>
        <v/>
      </c>
      <c r="BD58" s="62" t="str">
        <f>IF($AG58="","",IF(OR(AND(ISNUMBER($AH58),OR($AH58&lt;10,$AH58&gt;190)),AND(ISNUMBER($AI58),OR($AI58&lt;10,$AI58&gt;190))),1,0))</f>
        <v/>
      </c>
    </row>
    <row r="59" spans="1:64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IF(梱包!$K$63="","",梱包!$K$63)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IF(梱包!$I$63="","",梱包!$I$63)</f>
        <v/>
      </c>
      <c r="G59" s="61" t="str">
        <f>IF(梱包!$D$63="","",梱包!$D$63)</f>
        <v/>
      </c>
      <c r="H59" s="61">
        <f t="shared" si="31"/>
        <v>0</v>
      </c>
      <c r="I59" s="61" t="str">
        <f>IF(H59=1,SUM(H$3:H59),"")</f>
        <v/>
      </c>
      <c r="J59" s="62" t="str">
        <f t="shared" si="32"/>
        <v/>
      </c>
      <c r="K59" s="61" t="str">
        <f t="shared" si="33"/>
        <v/>
      </c>
      <c r="L59" s="62" t="str">
        <f t="shared" si="34"/>
        <v/>
      </c>
      <c r="M59" s="62" t="str">
        <f t="shared" si="35"/>
        <v/>
      </c>
      <c r="N59" s="62" t="str">
        <f t="shared" si="36"/>
        <v/>
      </c>
      <c r="O59" s="61" t="str">
        <f t="shared" si="37"/>
        <v/>
      </c>
      <c r="P59" s="61">
        <v>57</v>
      </c>
      <c r="Q59" s="62" t="str">
        <f t="shared" si="38"/>
        <v/>
      </c>
      <c r="R59" s="61" t="str">
        <f t="shared" si="39"/>
        <v/>
      </c>
      <c r="S59" s="62" t="str">
        <f t="shared" si="40"/>
        <v/>
      </c>
      <c r="T59" s="62" t="str">
        <f t="shared" si="41"/>
        <v/>
      </c>
      <c r="U59" s="61" t="str">
        <f t="shared" si="42"/>
        <v/>
      </c>
      <c r="AB59" s="61">
        <f t="shared" si="43"/>
        <v>0</v>
      </c>
      <c r="AC59" s="61" t="str">
        <f>IF(AB59=1,SUM(AB$3:AB59),"")</f>
        <v/>
      </c>
      <c r="AD59" s="62" t="str">
        <f t="shared" si="44"/>
        <v/>
      </c>
      <c r="AE59" s="61" t="str">
        <f t="shared" si="45"/>
        <v/>
      </c>
      <c r="AF59" s="61" t="str">
        <f t="shared" si="46"/>
        <v/>
      </c>
      <c r="AG59" s="61" t="str">
        <f t="shared" si="47"/>
        <v/>
      </c>
      <c r="AH59" s="62" t="str">
        <f t="shared" si="48"/>
        <v/>
      </c>
      <c r="AI59" s="62" t="str">
        <f t="shared" si="49"/>
        <v/>
      </c>
      <c r="AJ59" s="62" t="str">
        <f t="shared" si="50"/>
        <v/>
      </c>
      <c r="AK59" s="61" t="str">
        <f t="shared" si="51"/>
        <v/>
      </c>
      <c r="AL59" s="61" t="str">
        <f t="shared" si="52"/>
        <v/>
      </c>
      <c r="AM59" s="61" t="str">
        <f t="shared" si="53"/>
        <v/>
      </c>
      <c r="AN59" s="61">
        <v>57</v>
      </c>
      <c r="AO59" s="61" t="str">
        <f t="shared" si="54"/>
        <v/>
      </c>
      <c r="AP59" s="61" t="str">
        <f t="shared" si="55"/>
        <v/>
      </c>
      <c r="AQ59" s="62" t="str">
        <f t="shared" si="56"/>
        <v/>
      </c>
      <c r="AR59" s="62" t="str">
        <f t="shared" si="57"/>
        <v/>
      </c>
      <c r="AS59" s="62" t="str">
        <f t="shared" si="58"/>
        <v/>
      </c>
      <c r="AT59" s="61" t="str">
        <f t="shared" si="59"/>
        <v/>
      </c>
      <c r="AU59" s="61" t="str">
        <f t="shared" si="60"/>
        <v/>
      </c>
      <c r="AV59" s="61" t="str">
        <f t="shared" si="61"/>
        <v/>
      </c>
      <c r="AW59" s="62" t="str">
        <f>IF($AY59="","",IF($AK59="PKのみ",$AH59,CHOOSE(MOD($AY59-1,6)+1,12,17,22,27,32,37)))</f>
        <v/>
      </c>
      <c r="AX59" s="62" t="str">
        <f>IF($AY59="","",IF($AK59="PKのみ",CHOOSE(MOD($AY59-1,6)+1,12,17,22,27,32,37),$AI59))</f>
        <v/>
      </c>
      <c r="AY59" s="62" t="str">
        <f>IF($AK59="PKのみ",COUNTIFS($AK$3:$AK$62,"PKのみ",$AH$3:$AH$62,"&lt;"&amp;$AH59)+1,IF($AK59="梱包のみ",COUNTIFS($AK$3:$AK$62,"梱包のみ",$AI$3:$AI$62,"&lt;"&amp;$AI59)+1,""))</f>
        <v/>
      </c>
      <c r="BD59" s="62" t="str">
        <f>IF($AG59="","",IF(OR(AND(ISNUMBER($AH59),OR($AH59&lt;10,$AH59&gt;190)),AND(ISNUMBER($AI59),OR($AI59&lt;10,$AI59&gt;190))),1,0))</f>
        <v/>
      </c>
    </row>
    <row r="60" spans="1:64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IF(梱包!$K$64="","",梱包!$K$64)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IF(梱包!$I$64="","",梱包!$I$64)</f>
        <v/>
      </c>
      <c r="G60" s="61" t="str">
        <f>IF(梱包!$D$64="","",梱包!$D$64)</f>
        <v/>
      </c>
      <c r="H60" s="61">
        <f t="shared" si="31"/>
        <v>0</v>
      </c>
      <c r="I60" s="61" t="str">
        <f>IF(H60=1,SUM(H$3:H60),"")</f>
        <v/>
      </c>
      <c r="J60" s="62" t="str">
        <f t="shared" si="32"/>
        <v/>
      </c>
      <c r="K60" s="61" t="str">
        <f t="shared" si="33"/>
        <v/>
      </c>
      <c r="L60" s="62" t="str">
        <f t="shared" si="34"/>
        <v/>
      </c>
      <c r="M60" s="62" t="str">
        <f t="shared" si="35"/>
        <v/>
      </c>
      <c r="N60" s="62" t="str">
        <f t="shared" si="36"/>
        <v/>
      </c>
      <c r="O60" s="61" t="str">
        <f t="shared" si="37"/>
        <v/>
      </c>
      <c r="P60" s="61">
        <v>58</v>
      </c>
      <c r="Q60" s="62" t="str">
        <f t="shared" si="38"/>
        <v/>
      </c>
      <c r="R60" s="61" t="str">
        <f t="shared" si="39"/>
        <v/>
      </c>
      <c r="S60" s="62" t="str">
        <f t="shared" si="40"/>
        <v/>
      </c>
      <c r="T60" s="62" t="str">
        <f t="shared" si="41"/>
        <v/>
      </c>
      <c r="U60" s="61" t="str">
        <f t="shared" si="42"/>
        <v/>
      </c>
      <c r="AB60" s="61">
        <f t="shared" si="43"/>
        <v>0</v>
      </c>
      <c r="AC60" s="61" t="str">
        <f>IF(AB60=1,SUM(AB$3:AB60),"")</f>
        <v/>
      </c>
      <c r="AD60" s="62" t="str">
        <f t="shared" si="44"/>
        <v/>
      </c>
      <c r="AE60" s="61" t="str">
        <f t="shared" si="45"/>
        <v/>
      </c>
      <c r="AF60" s="61" t="str">
        <f t="shared" si="46"/>
        <v/>
      </c>
      <c r="AG60" s="61" t="str">
        <f t="shared" si="47"/>
        <v/>
      </c>
      <c r="AH60" s="62" t="str">
        <f t="shared" si="48"/>
        <v/>
      </c>
      <c r="AI60" s="62" t="str">
        <f t="shared" si="49"/>
        <v/>
      </c>
      <c r="AJ60" s="62" t="str">
        <f t="shared" si="50"/>
        <v/>
      </c>
      <c r="AK60" s="61" t="str">
        <f t="shared" si="51"/>
        <v/>
      </c>
      <c r="AL60" s="61" t="str">
        <f t="shared" si="52"/>
        <v/>
      </c>
      <c r="AM60" s="61" t="str">
        <f t="shared" si="53"/>
        <v/>
      </c>
      <c r="AN60" s="61">
        <v>58</v>
      </c>
      <c r="AO60" s="61" t="str">
        <f t="shared" si="54"/>
        <v/>
      </c>
      <c r="AP60" s="61" t="str">
        <f t="shared" si="55"/>
        <v/>
      </c>
      <c r="AQ60" s="62" t="str">
        <f t="shared" si="56"/>
        <v/>
      </c>
      <c r="AR60" s="62" t="str">
        <f t="shared" si="57"/>
        <v/>
      </c>
      <c r="AS60" s="62" t="str">
        <f t="shared" si="58"/>
        <v/>
      </c>
      <c r="AT60" s="61" t="str">
        <f t="shared" si="59"/>
        <v/>
      </c>
      <c r="AU60" s="61" t="str">
        <f t="shared" si="60"/>
        <v/>
      </c>
      <c r="AV60" s="61" t="str">
        <f t="shared" si="61"/>
        <v/>
      </c>
      <c r="AW60" s="62" t="str">
        <f>IF($AY60="","",IF($AK60="PKのみ",$AH60,CHOOSE(MOD($AY60-1,6)+1,12,17,22,27,32,37)))</f>
        <v/>
      </c>
      <c r="AX60" s="62" t="str">
        <f>IF($AY60="","",IF($AK60="PKのみ",CHOOSE(MOD($AY60-1,6)+1,12,17,22,27,32,37),$AI60))</f>
        <v/>
      </c>
      <c r="AY60" s="62" t="str">
        <f>IF($AK60="PKのみ",COUNTIFS($AK$3:$AK$62,"PKのみ",$AH$3:$AH$62,"&lt;"&amp;$AH60)+1,IF($AK60="梱包のみ",COUNTIFS($AK$3:$AK$62,"梱包のみ",$AI$3:$AI$62,"&lt;"&amp;$AI60)+1,""))</f>
        <v/>
      </c>
      <c r="BD60" s="62" t="str">
        <f>IF($AG60="","",IF(OR(AND(ISNUMBER($AH60),OR($AH60&lt;10,$AH60&gt;190)),AND(ISNUMBER($AI60),OR($AI60&lt;10,$AI60&gt;190))),1,0))</f>
        <v/>
      </c>
    </row>
    <row r="61" spans="1:64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IF(梱包!$K$65="","",梱包!$K$65)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IF(梱包!$I$65="","",梱包!$I$65)</f>
        <v/>
      </c>
      <c r="G61" s="61" t="str">
        <f>IF(梱包!$D$65="","",梱包!$D$65)</f>
        <v/>
      </c>
      <c r="H61" s="61">
        <f t="shared" si="31"/>
        <v>0</v>
      </c>
      <c r="I61" s="61" t="str">
        <f>IF(H61=1,SUM(H$3:H61),"")</f>
        <v/>
      </c>
      <c r="J61" s="62" t="str">
        <f t="shared" si="32"/>
        <v/>
      </c>
      <c r="K61" s="61" t="str">
        <f t="shared" si="33"/>
        <v/>
      </c>
      <c r="L61" s="62" t="str">
        <f t="shared" si="34"/>
        <v/>
      </c>
      <c r="M61" s="62" t="str">
        <f t="shared" si="35"/>
        <v/>
      </c>
      <c r="N61" s="62" t="str">
        <f t="shared" si="36"/>
        <v/>
      </c>
      <c r="O61" s="61" t="str">
        <f t="shared" si="37"/>
        <v/>
      </c>
      <c r="P61" s="61">
        <v>59</v>
      </c>
      <c r="Q61" s="62" t="str">
        <f t="shared" si="38"/>
        <v/>
      </c>
      <c r="R61" s="61" t="str">
        <f t="shared" si="39"/>
        <v/>
      </c>
      <c r="S61" s="62" t="str">
        <f t="shared" si="40"/>
        <v/>
      </c>
      <c r="T61" s="62" t="str">
        <f t="shared" si="41"/>
        <v/>
      </c>
      <c r="U61" s="61" t="str">
        <f t="shared" si="42"/>
        <v/>
      </c>
      <c r="AB61" s="61">
        <f t="shared" si="43"/>
        <v>0</v>
      </c>
      <c r="AC61" s="61" t="str">
        <f>IF(AB61=1,SUM(AB$3:AB61),"")</f>
        <v/>
      </c>
      <c r="AD61" s="62" t="str">
        <f t="shared" si="44"/>
        <v/>
      </c>
      <c r="AE61" s="61" t="str">
        <f t="shared" si="45"/>
        <v/>
      </c>
      <c r="AF61" s="61" t="str">
        <f t="shared" si="46"/>
        <v/>
      </c>
      <c r="AG61" s="61" t="str">
        <f t="shared" si="47"/>
        <v/>
      </c>
      <c r="AH61" s="62" t="str">
        <f t="shared" si="48"/>
        <v/>
      </c>
      <c r="AI61" s="62" t="str">
        <f t="shared" si="49"/>
        <v/>
      </c>
      <c r="AJ61" s="62" t="str">
        <f t="shared" si="50"/>
        <v/>
      </c>
      <c r="AK61" s="61" t="str">
        <f t="shared" si="51"/>
        <v/>
      </c>
      <c r="AL61" s="61" t="str">
        <f t="shared" si="52"/>
        <v/>
      </c>
      <c r="AM61" s="61" t="str">
        <f t="shared" si="53"/>
        <v/>
      </c>
      <c r="AN61" s="61">
        <v>59</v>
      </c>
      <c r="AO61" s="61" t="str">
        <f t="shared" si="54"/>
        <v/>
      </c>
      <c r="AP61" s="61" t="str">
        <f t="shared" si="55"/>
        <v/>
      </c>
      <c r="AQ61" s="62" t="str">
        <f t="shared" si="56"/>
        <v/>
      </c>
      <c r="AR61" s="62" t="str">
        <f t="shared" si="57"/>
        <v/>
      </c>
      <c r="AS61" s="62" t="str">
        <f t="shared" si="58"/>
        <v/>
      </c>
      <c r="AT61" s="61" t="str">
        <f t="shared" si="59"/>
        <v/>
      </c>
      <c r="AU61" s="61" t="str">
        <f t="shared" si="60"/>
        <v/>
      </c>
      <c r="AV61" s="61" t="str">
        <f t="shared" si="61"/>
        <v/>
      </c>
      <c r="AW61" s="62" t="str">
        <f>IF($AY61="","",IF($AK61="PKのみ",$AH61,CHOOSE(MOD($AY61-1,6)+1,12,17,22,27,32,37)))</f>
        <v/>
      </c>
      <c r="AX61" s="62" t="str">
        <f>IF($AY61="","",IF($AK61="PKのみ",CHOOSE(MOD($AY61-1,6)+1,12,17,22,27,32,37),$AI61))</f>
        <v/>
      </c>
      <c r="AY61" s="62" t="str">
        <f>IF($AK61="PKのみ",COUNTIFS($AK$3:$AK$62,"PKのみ",$AH$3:$AH$62,"&lt;"&amp;$AH61)+1,IF($AK61="梱包のみ",COUNTIFS($AK$3:$AK$62,"梱包のみ",$AI$3:$AI$62,"&lt;"&amp;$AI61)+1,""))</f>
        <v/>
      </c>
      <c r="BD61" s="62" t="str">
        <f>IF($AG61="","",IF(OR(AND(ISNUMBER($AH61),OR($AH61&lt;10,$AH61&gt;190)),AND(ISNUMBER($AI61),OR($AI61&lt;10,$AI61&gt;190))),1,0))</f>
        <v/>
      </c>
    </row>
    <row r="62" spans="1:64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IF(梱包!$K$66="","",梱包!$K$66)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IF(梱包!$I$66="","",梱包!$I$66)</f>
        <v/>
      </c>
      <c r="G62" s="61" t="str">
        <f>IF(梱包!$D$66="","",梱包!$D$66)</f>
        <v/>
      </c>
      <c r="H62" s="61">
        <f t="shared" si="31"/>
        <v>0</v>
      </c>
      <c r="I62" s="61" t="str">
        <f>IF(H62=1,SUM(H$3:H62),"")</f>
        <v/>
      </c>
      <c r="J62" s="62" t="str">
        <f t="shared" si="32"/>
        <v/>
      </c>
      <c r="K62" s="61" t="str">
        <f t="shared" si="33"/>
        <v/>
      </c>
      <c r="L62" s="62" t="str">
        <f t="shared" si="34"/>
        <v/>
      </c>
      <c r="M62" s="62" t="str">
        <f t="shared" si="35"/>
        <v/>
      </c>
      <c r="N62" s="62" t="str">
        <f t="shared" si="36"/>
        <v/>
      </c>
      <c r="O62" s="61" t="str">
        <f t="shared" si="37"/>
        <v/>
      </c>
      <c r="P62" s="61">
        <v>60</v>
      </c>
      <c r="Q62" s="62" t="str">
        <f t="shared" si="38"/>
        <v/>
      </c>
      <c r="R62" s="61" t="str">
        <f t="shared" si="39"/>
        <v/>
      </c>
      <c r="S62" s="62" t="str">
        <f t="shared" si="40"/>
        <v/>
      </c>
      <c r="T62" s="62" t="str">
        <f t="shared" si="41"/>
        <v/>
      </c>
      <c r="U62" s="61" t="str">
        <f t="shared" si="42"/>
        <v/>
      </c>
      <c r="AB62" s="61">
        <f t="shared" si="43"/>
        <v>0</v>
      </c>
      <c r="AC62" s="61" t="str">
        <f>IF(AB62=1,SUM(AB$3:AB62),"")</f>
        <v/>
      </c>
      <c r="AD62" s="62" t="str">
        <f t="shared" si="44"/>
        <v/>
      </c>
      <c r="AE62" s="61" t="str">
        <f t="shared" si="45"/>
        <v/>
      </c>
      <c r="AF62" s="61" t="str">
        <f t="shared" si="46"/>
        <v/>
      </c>
      <c r="AG62" s="61" t="str">
        <f t="shared" si="47"/>
        <v/>
      </c>
      <c r="AH62" s="62" t="str">
        <f t="shared" si="48"/>
        <v/>
      </c>
      <c r="AI62" s="62" t="str">
        <f t="shared" si="49"/>
        <v/>
      </c>
      <c r="AJ62" s="62" t="str">
        <f t="shared" si="50"/>
        <v/>
      </c>
      <c r="AK62" s="61" t="str">
        <f t="shared" si="51"/>
        <v/>
      </c>
      <c r="AL62" s="61" t="str">
        <f t="shared" si="52"/>
        <v/>
      </c>
      <c r="AM62" s="61" t="str">
        <f t="shared" si="53"/>
        <v/>
      </c>
      <c r="AN62" s="61">
        <v>60</v>
      </c>
      <c r="AO62" s="61" t="str">
        <f t="shared" si="54"/>
        <v/>
      </c>
      <c r="AP62" s="61" t="str">
        <f t="shared" si="55"/>
        <v/>
      </c>
      <c r="AQ62" s="62" t="str">
        <f t="shared" si="56"/>
        <v/>
      </c>
      <c r="AR62" s="62" t="str">
        <f t="shared" si="57"/>
        <v/>
      </c>
      <c r="AS62" s="62" t="str">
        <f t="shared" si="58"/>
        <v/>
      </c>
      <c r="AT62" s="61" t="str">
        <f t="shared" si="59"/>
        <v/>
      </c>
      <c r="AU62" s="61" t="str">
        <f t="shared" si="60"/>
        <v/>
      </c>
      <c r="AV62" s="61" t="str">
        <f t="shared" si="61"/>
        <v/>
      </c>
      <c r="AW62" s="62" t="str">
        <f>IF($AY62="","",IF($AK62="PKのみ",$AH62,CHOOSE(MOD($AY62-1,6)+1,12,17,22,27,32,37)))</f>
        <v/>
      </c>
      <c r="AX62" s="62" t="str">
        <f>IF($AY62="","",IF($AK62="PKのみ",CHOOSE(MOD($AY62-1,6)+1,12,17,22,27,32,37),$AI62))</f>
        <v/>
      </c>
      <c r="AY62" s="62" t="str">
        <f>IF($AK62="PKのみ",COUNTIFS($AK$3:$AK$62,"PKのみ",$AH$3:$AH$62,"&lt;"&amp;$AH62)+1,IF($AK62="梱包のみ",COUNTIFS($AK$3:$AK$62,"梱包のみ",$AI$3:$AI$62,"&lt;"&amp;$AI62)+1,""))</f>
        <v/>
      </c>
      <c r="BD62" s="62" t="str">
        <f>IF($AG62="","",IF(OR(AND(ISNUMBER($AH62),OR($AH62&lt;10,$AH62&gt;190)),AND(ISNUMBER($AI62),OR($AI62&lt;10,$AI62&gt;190))),1,0))</f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1</vt:i4>
      </vt:variant>
    </vt:vector>
  </HeadingPairs>
  <TitlesOfParts>
    <vt:vector size="13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印刷用!Print_Area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dcterms:created xsi:type="dcterms:W3CDTF">2026-08-07T01:30:59Z</dcterms:created>
  <dcterms:modified xsi:type="dcterms:W3CDTF">2026-08-18T01:53:49Z</dcterms:modified>
</cp:coreProperties>
</file>